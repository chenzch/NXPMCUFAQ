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carlos_goyarzu_nxp_com/Documents/Documents/0 - AMCU End Nodes/1. S32K1xx/5. SOC Architecture/Pinout/Bridge devices/"/>
    </mc:Choice>
  </mc:AlternateContent>
  <xr:revisionPtr revIDLastSave="463" documentId="8_{73207F46-6B74-47B3-9C92-C7DCEED99454}" xr6:coauthVersionLast="47" xr6:coauthVersionMax="47" xr10:uidLastSave="{6C3EB80A-F053-40FF-98F3-CF0E4A561417}"/>
  <bookViews>
    <workbookView xWindow="-120" yWindow="-120" windowWidth="29040" windowHeight="15720" activeTab="1" xr2:uid="{5021E1B3-1603-40CD-872B-668D2222EB14}"/>
  </bookViews>
  <sheets>
    <sheet name="Rev History" sheetId="2" r:id="rId1"/>
    <sheet name="S32K116V Pinout" sheetId="6" r:id="rId2"/>
    <sheet name="S32K116V_48lqfp" sheetId="9" r:id="rId3"/>
    <sheet name="S32K116V_32qfn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1" i="6" l="1"/>
  <c r="AD51" i="6"/>
  <c r="AC52" i="6"/>
  <c r="AD52" i="6"/>
  <c r="AC53" i="6"/>
  <c r="AD53" i="6"/>
  <c r="AC54" i="6"/>
  <c r="AD54" i="6"/>
  <c r="AC55" i="6"/>
  <c r="AD55" i="6"/>
  <c r="AC56" i="6"/>
  <c r="AD56" i="6"/>
  <c r="AC57" i="6"/>
  <c r="AD57" i="6"/>
  <c r="AC58" i="6"/>
  <c r="AD58" i="6"/>
  <c r="AC59" i="6"/>
  <c r="AD59" i="6"/>
  <c r="AC60" i="6"/>
  <c r="AD60" i="6"/>
  <c r="AC61" i="6"/>
  <c r="AD61" i="6"/>
  <c r="AC62" i="6"/>
  <c r="AD62" i="6"/>
  <c r="AC63" i="6"/>
  <c r="AD63" i="6"/>
  <c r="AC64" i="6"/>
  <c r="AD64" i="6"/>
  <c r="AC65" i="6"/>
  <c r="AD65" i="6"/>
  <c r="AC66" i="6"/>
  <c r="AD66" i="6"/>
  <c r="AC67" i="6"/>
  <c r="AD67" i="6"/>
  <c r="AC68" i="6"/>
  <c r="AD68" i="6"/>
  <c r="AC69" i="6"/>
  <c r="AD69" i="6"/>
  <c r="AC70" i="6"/>
  <c r="AD70" i="6"/>
  <c r="AC71" i="6"/>
  <c r="AD71" i="6"/>
  <c r="AC72" i="6"/>
  <c r="AD72" i="6"/>
  <c r="AC73" i="6"/>
  <c r="AD73" i="6"/>
  <c r="AC74" i="6"/>
  <c r="AD74" i="6"/>
  <c r="AC75" i="6"/>
  <c r="AD75" i="6"/>
  <c r="AC76" i="6"/>
  <c r="AD76" i="6"/>
  <c r="AC77" i="6"/>
  <c r="AD77" i="6"/>
  <c r="AC78" i="6"/>
  <c r="AD78" i="6"/>
  <c r="AC79" i="6"/>
  <c r="AD79" i="6"/>
  <c r="AC80" i="6"/>
  <c r="AD80" i="6"/>
  <c r="AC81" i="6"/>
  <c r="AD81" i="6"/>
  <c r="AC82" i="6"/>
  <c r="AD82" i="6"/>
  <c r="AC83" i="6"/>
  <c r="AD83" i="6"/>
  <c r="AC84" i="6"/>
  <c r="AD84" i="6"/>
  <c r="AC85" i="6"/>
  <c r="AD85" i="6"/>
  <c r="AC86" i="6"/>
  <c r="AD86" i="6"/>
  <c r="AC87" i="6"/>
  <c r="AD87" i="6"/>
  <c r="AC88" i="6"/>
  <c r="AD88" i="6"/>
  <c r="AC89" i="6"/>
  <c r="AD89" i="6"/>
  <c r="AC90" i="6"/>
  <c r="AD90" i="6"/>
  <c r="AC91" i="6"/>
  <c r="AD91" i="6"/>
  <c r="AC92" i="6"/>
  <c r="AD92" i="6"/>
  <c r="AC93" i="6"/>
  <c r="AD93" i="6"/>
  <c r="AC94" i="6"/>
  <c r="AD94" i="6"/>
  <c r="AC95" i="6"/>
  <c r="AD95" i="6"/>
  <c r="AC96" i="6"/>
  <c r="AD96" i="6"/>
  <c r="AC97" i="6"/>
  <c r="AD97" i="6"/>
  <c r="AC98" i="6"/>
  <c r="AD98" i="6"/>
  <c r="AC99" i="6"/>
  <c r="AD99" i="6"/>
  <c r="AC100" i="6"/>
  <c r="AD100" i="6"/>
  <c r="AC101" i="6"/>
  <c r="AD101" i="6"/>
  <c r="AC102" i="6"/>
  <c r="AD102" i="6"/>
  <c r="B51" i="6" l="1"/>
  <c r="A51" i="6"/>
</calcChain>
</file>

<file path=xl/sharedStrings.xml><?xml version="1.0" encoding="utf-8"?>
<sst xmlns="http://schemas.openxmlformats.org/spreadsheetml/2006/main" count="719" uniqueCount="241">
  <si>
    <t>Revision</t>
  </si>
  <si>
    <t>Date</t>
  </si>
  <si>
    <t>Comments</t>
  </si>
  <si>
    <t>v1</t>
  </si>
  <si>
    <t>Pin Name</t>
  </si>
  <si>
    <t>DEFAULT</t>
  </si>
  <si>
    <t>ALT0</t>
  </si>
  <si>
    <t>ALT1</t>
  </si>
  <si>
    <t>ALT2</t>
  </si>
  <si>
    <t>ALT3</t>
  </si>
  <si>
    <t>ALT4</t>
  </si>
  <si>
    <t>ALT5</t>
  </si>
  <si>
    <t>ALT6</t>
  </si>
  <si>
    <t>ALT7</t>
  </si>
  <si>
    <t>DISABLED</t>
  </si>
  <si>
    <t>LPUART1_RTS</t>
  </si>
  <si>
    <t>FXIO_D3</t>
  </si>
  <si>
    <t>FXIO_D2</t>
  </si>
  <si>
    <t>PTD1</t>
  </si>
  <si>
    <t>FTM0_CH3</t>
  </si>
  <si>
    <t>FXIO_D1</t>
  </si>
  <si>
    <t>TRGMUX_OUT2</t>
  </si>
  <si>
    <t>PTD0</t>
  </si>
  <si>
    <t>FTM0_CH2</t>
  </si>
  <si>
    <t>FXIO_D0</t>
  </si>
  <si>
    <t>TRGMUX_OUT1</t>
  </si>
  <si>
    <t>FXIO_D5</t>
  </si>
  <si>
    <t>CLKOUT</t>
  </si>
  <si>
    <t>FXIO_D4</t>
  </si>
  <si>
    <t>PTE5</t>
  </si>
  <si>
    <t>CAN0_TX</t>
  </si>
  <si>
    <t>FXIO_D7</t>
  </si>
  <si>
    <t>PTE4</t>
  </si>
  <si>
    <t>CAN0_RX</t>
  </si>
  <si>
    <t>FXIO_D6</t>
  </si>
  <si>
    <t>VDD</t>
  </si>
  <si>
    <t>VDDA</t>
  </si>
  <si>
    <t>VSS</t>
  </si>
  <si>
    <t>PTB7</t>
  </si>
  <si>
    <t>EXTAL</t>
  </si>
  <si>
    <t>LPI2C0_SCL</t>
  </si>
  <si>
    <t>PTB7/LPI2C0_SCL/EXTAL</t>
  </si>
  <si>
    <t>PTB6</t>
  </si>
  <si>
    <t>XTAL</t>
  </si>
  <si>
    <t>LPI2C0_SDA</t>
  </si>
  <si>
    <t>PTB6/LPI2C0_SDA/XTAL</t>
  </si>
  <si>
    <t>CMP0_OUT</t>
  </si>
  <si>
    <t>FTM0_FLT2</t>
  </si>
  <si>
    <t>PTD16</t>
  </si>
  <si>
    <t>FTM0_CH1</t>
  </si>
  <si>
    <t>LPSPI0_SIN</t>
  </si>
  <si>
    <t>CMP0_RRT</t>
  </si>
  <si>
    <t>PTD16/FTM0_CH1/LPSPI0_SIN/CMP0_RRT</t>
  </si>
  <si>
    <t>PTD15</t>
  </si>
  <si>
    <t>FTM0_CH0</t>
  </si>
  <si>
    <t>LPSPI0_SCK</t>
  </si>
  <si>
    <t>PTD15/FTM0_CH0/LPSPI0_SCK</t>
  </si>
  <si>
    <t>PTE9</t>
  </si>
  <si>
    <t>FTM0_CH7</t>
  </si>
  <si>
    <t>PTE9/FTM0_CH7</t>
  </si>
  <si>
    <t>LPUART1_TX</t>
  </si>
  <si>
    <t>LPUART1_RX</t>
  </si>
  <si>
    <t>PTE8</t>
  </si>
  <si>
    <t>CMP0_IN3</t>
  </si>
  <si>
    <t>FTM0_CH6</t>
  </si>
  <si>
    <t>PTE8/FTM0_CH6/CMP0_IN3</t>
  </si>
  <si>
    <t>PTB5</t>
  </si>
  <si>
    <t>FTM0_CH5</t>
  </si>
  <si>
    <t>LPSPI0_PCS1</t>
  </si>
  <si>
    <t>LPSPI0_PCS0</t>
  </si>
  <si>
    <t>TRGMUX_IN0</t>
  </si>
  <si>
    <t>PTB5/FTM0_CH5/LPSPI0_PCS1/LPSPI0_PCS0/CLKOUT/TRGMUX_IN0</t>
  </si>
  <si>
    <t>PTB4</t>
  </si>
  <si>
    <t>FTM0_CH4</t>
  </si>
  <si>
    <t>LPSPI0_SOUT</t>
  </si>
  <si>
    <t>TRGMUX_IN1</t>
  </si>
  <si>
    <t>PTB4/FTM0_CH4/LPSPI0_SOUT/TRGMUX_IN1</t>
  </si>
  <si>
    <t>PTC3</t>
  </si>
  <si>
    <t>ADC0_SE11/CMP0_IN4</t>
  </si>
  <si>
    <t>LPUART0_TX</t>
  </si>
  <si>
    <t>PTC3/FTM0_CH3/CAN0_TX/LPUART0_TX/ADC0_SE11/CMP0_IN4</t>
  </si>
  <si>
    <t>PTC2</t>
  </si>
  <si>
    <t>ADC0_SE10/CMP0_IN5</t>
  </si>
  <si>
    <t>LPUART0_RX</t>
  </si>
  <si>
    <t>PTC2/FTM0_CH2/CAN0_RX/LPUART0_RX/ADC0_SE10/CMP0_IN5</t>
  </si>
  <si>
    <t>PTD5</t>
  </si>
  <si>
    <t>LPTMR0_ALT2</t>
  </si>
  <si>
    <t>TRGMUX_IN7</t>
  </si>
  <si>
    <t>PTC1</t>
  </si>
  <si>
    <t>ADC0_SE9</t>
  </si>
  <si>
    <t>FTM1_CH7</t>
  </si>
  <si>
    <t>PTC1/FTM0_CH1/FTM1_CH7/ADC0_SE9</t>
  </si>
  <si>
    <t>FTM1_CH6</t>
  </si>
  <si>
    <t>FTM1_CH5</t>
  </si>
  <si>
    <t>FTM1_CH4</t>
  </si>
  <si>
    <t>PTC16</t>
  </si>
  <si>
    <t>ADC0_SE14</t>
  </si>
  <si>
    <t>FTM1_FLT2</t>
  </si>
  <si>
    <t>PTC16/FTM1_FLT2/ADC0_SE14</t>
  </si>
  <si>
    <t>PTC15</t>
  </si>
  <si>
    <t>ADC0_SE13</t>
  </si>
  <si>
    <t>FTM1_CH3</t>
  </si>
  <si>
    <t>TRGMUX_IN8</t>
  </si>
  <si>
    <t>PTC15/FTM1_CH3/TRGMUX_IN8/ADC0_SE13</t>
  </si>
  <si>
    <t>PTC14</t>
  </si>
  <si>
    <t>ADC0_SE12</t>
  </si>
  <si>
    <t>FTM1_CH2</t>
  </si>
  <si>
    <t>TRGMUX_IN9</t>
  </si>
  <si>
    <t>PTC14/FTM1_CH2/TRGMUX_IN9/ADC0_SE12</t>
  </si>
  <si>
    <t>PTB3</t>
  </si>
  <si>
    <t>ADC0_SE7</t>
  </si>
  <si>
    <t>FTM1_CH1</t>
  </si>
  <si>
    <t>FTM1_QD_PHA</t>
  </si>
  <si>
    <t>TRGMUX_IN2</t>
  </si>
  <si>
    <t>PTB3/FTM1_CH1/LPSPI0_SIN/FTM1_QD_PHA/TRGMUX_IN2/ADC0_SE7</t>
  </si>
  <si>
    <t>PTB2</t>
  </si>
  <si>
    <t>ADC0_SE6</t>
  </si>
  <si>
    <t>FTM1_CH0</t>
  </si>
  <si>
    <t>FTM1_QD_PHB</t>
  </si>
  <si>
    <t>TRGMUX_IN3</t>
  </si>
  <si>
    <t>PTB2/FTM1_CH0/LPSPI0_SCK/FTM1_QD_PHB/TRGMUX_IN3/ADC0_SE6</t>
  </si>
  <si>
    <t>PTB1</t>
  </si>
  <si>
    <t>TCLK0</t>
  </si>
  <si>
    <t>PTB0</t>
  </si>
  <si>
    <t>LPTMR0_ALT3</t>
  </si>
  <si>
    <t>PTC9</t>
  </si>
  <si>
    <t>FTM1_FLT1</t>
  </si>
  <si>
    <t>LPUART0_RTS</t>
  </si>
  <si>
    <t>PTC9/LPUART1_TX/FTM1_FLT1/LPUART0_RTS</t>
  </si>
  <si>
    <t>PTC8</t>
  </si>
  <si>
    <t>FTM1_FLT0</t>
  </si>
  <si>
    <t>LPUART0_CTS</t>
  </si>
  <si>
    <t>PTC8/LPUART1_RX/FTM1_FLT0/LPUART0_CTS</t>
  </si>
  <si>
    <t>PTA7</t>
  </si>
  <si>
    <t>ADC0_SE3</t>
  </si>
  <si>
    <t>PTB13</t>
  </si>
  <si>
    <t>PTD3</t>
  </si>
  <si>
    <t>TRGMUX_IN4</t>
  </si>
  <si>
    <t>NMI_b</t>
  </si>
  <si>
    <t>PTD2</t>
  </si>
  <si>
    <t>TRGMUX_IN5</t>
  </si>
  <si>
    <t>PTA3</t>
  </si>
  <si>
    <t>ADC1_SE1</t>
  </si>
  <si>
    <t>PTA2</t>
  </si>
  <si>
    <t>LPI2C0_SDAS</t>
  </si>
  <si>
    <t>LPI2C0_SCLS</t>
  </si>
  <si>
    <t>PTA1</t>
  </si>
  <si>
    <t>ADC0_SE1/CMP0_IN1</t>
  </si>
  <si>
    <t>TRGMUX_OUT0</t>
  </si>
  <si>
    <t>PTA1/FTM1_CH1/LPI2C0_SDAS/FXIO_D3/FTM1_QD_PHA/LPUART0_RTS/TRGMUX_OUT0/ADC0_SE1/CMP0_IN1</t>
  </si>
  <si>
    <t>PTA0</t>
  </si>
  <si>
    <t>ADC0_SE0/CMP0_IN0</t>
  </si>
  <si>
    <t>TRGMUX_OUT3</t>
  </si>
  <si>
    <t>PTC7</t>
  </si>
  <si>
    <t>PTC6</t>
  </si>
  <si>
    <t>ADC1_SE4</t>
  </si>
  <si>
    <t>LPSPI0_PCS3</t>
  </si>
  <si>
    <t>LPSPI0_PCS2</t>
  </si>
  <si>
    <t>PTA13</t>
  </si>
  <si>
    <t>PTA12</t>
  </si>
  <si>
    <t>PTA11</t>
  </si>
  <si>
    <t>PTA11/FTM1_CH5/FXIO_D1/CMP0_RRT</t>
  </si>
  <si>
    <t>PTA10</t>
  </si>
  <si>
    <t>TCLK1</t>
  </si>
  <si>
    <t>PTC5</t>
  </si>
  <si>
    <t>JTAG_TDI</t>
  </si>
  <si>
    <t>PTC4</t>
  </si>
  <si>
    <t>JTAG_TCLK/SWD_CLK</t>
  </si>
  <si>
    <t>CMP0_IN2</t>
  </si>
  <si>
    <t>PTA5</t>
  </si>
  <si>
    <t>RESET_b</t>
  </si>
  <si>
    <t>PTA5/TCLK1/RESET_b</t>
  </si>
  <si>
    <t>PTA4</t>
  </si>
  <si>
    <t>JTAG_TMS/SWD_DIO</t>
  </si>
  <si>
    <t>S32K129_32QFN</t>
  </si>
  <si>
    <t>S32K129_48lqfp</t>
  </si>
  <si>
    <t>S32K129 Composite Pin Name</t>
  </si>
  <si>
    <t>PTD1/FTM0_CH3/FXIO_D1/TRGMUX_OUT2</t>
  </si>
  <si>
    <t>PTD0/FTM0_CH2/FXIO_D0/TRGMUX_OUT1</t>
  </si>
  <si>
    <t>PTE5/CAN0_TX/FXIO_D7</t>
  </si>
  <si>
    <t>PTE4/CAN0_RX/FXIO_D6</t>
  </si>
  <si>
    <r>
      <t>PTD16/FTM0_CH1/LPSPI0_SIN/CMP0_RRT/</t>
    </r>
    <r>
      <rPr>
        <sz val="11"/>
        <color rgb="FF00B050"/>
        <rFont val="Calibri"/>
        <family val="2"/>
      </rPr>
      <t>LPUART1_TX</t>
    </r>
  </si>
  <si>
    <r>
      <t>PTD15/FTM0_CH0/LPSPI0_SCK/</t>
    </r>
    <r>
      <rPr>
        <sz val="11"/>
        <color rgb="FF00B050"/>
        <rFont val="Calibri"/>
        <family val="2"/>
      </rPr>
      <t>LPUART1_RX</t>
    </r>
  </si>
  <si>
    <r>
      <t>PTE9/FTM0_CH7/</t>
    </r>
    <r>
      <rPr>
        <sz val="11"/>
        <color rgb="FF00B050"/>
        <rFont val="Calibri"/>
        <family val="2"/>
      </rPr>
      <t>LPSPI0_PCS3</t>
    </r>
  </si>
  <si>
    <r>
      <t>PTE8/FTM0_CH6/</t>
    </r>
    <r>
      <rPr>
        <sz val="11"/>
        <color rgb="FF00B050"/>
        <rFont val="Calibri"/>
        <family val="2"/>
      </rPr>
      <t>LPSPI0_PCS2</t>
    </r>
    <r>
      <rPr>
        <sz val="11"/>
        <rFont val="Calibri"/>
        <family val="2"/>
      </rPr>
      <t>/CMP0_IN3</t>
    </r>
  </si>
  <si>
    <r>
      <t>PTC3/FTM0_CH3/CAN0_TX/LPUART0_TX/</t>
    </r>
    <r>
      <rPr>
        <sz val="11"/>
        <color rgb="FF00B0F0"/>
        <rFont val="Calibri"/>
        <family val="2"/>
      </rPr>
      <t>ADC1_SE3</t>
    </r>
    <r>
      <rPr>
        <sz val="11"/>
        <rFont val="Calibri"/>
        <family val="2"/>
      </rPr>
      <t>/CMP0_IN4</t>
    </r>
  </si>
  <si>
    <r>
      <t>PTC2/FTM0_CH2/CAN0_RX/LPUART0_RX/</t>
    </r>
    <r>
      <rPr>
        <sz val="11"/>
        <color rgb="FF00B0F0"/>
        <rFont val="Calibri"/>
        <family val="2"/>
      </rPr>
      <t>ADC1_SE2</t>
    </r>
    <r>
      <rPr>
        <sz val="11"/>
        <rFont val="Calibri"/>
        <family val="2"/>
      </rPr>
      <t>/</t>
    </r>
    <r>
      <rPr>
        <sz val="11"/>
        <color rgb="FF00B0F0"/>
        <rFont val="Calibri"/>
        <family val="2"/>
      </rPr>
      <t>CMP0_IN0</t>
    </r>
  </si>
  <si>
    <t>PTD5/LPTMR0_ALT2/TRGMUX_IN7</t>
  </si>
  <si>
    <r>
      <t>PTC1/FTM0_CH1/FTM1_CH7/</t>
    </r>
    <r>
      <rPr>
        <sz val="11"/>
        <color rgb="FF00B0F0"/>
        <rFont val="Calibri"/>
        <family val="2"/>
      </rPr>
      <t>ADC1_SE1</t>
    </r>
  </si>
  <si>
    <r>
      <t>PTC16/FTM1_FLT2/</t>
    </r>
    <r>
      <rPr>
        <sz val="11"/>
        <color rgb="FF00B0F0"/>
        <rFont val="Calibri"/>
        <family val="2"/>
      </rPr>
      <t>ADC1_SE6</t>
    </r>
    <r>
      <rPr>
        <sz val="11"/>
        <rFont val="Calibri"/>
        <family val="2"/>
      </rPr>
      <t>/</t>
    </r>
    <r>
      <rPr>
        <sz val="11"/>
        <color rgb="FF00B050"/>
        <rFont val="Calibri"/>
        <family val="2"/>
      </rPr>
      <t>CMP0_IN2</t>
    </r>
  </si>
  <si>
    <r>
      <t>PTC15/FTM1_CH3/TRGMUX_IN8/</t>
    </r>
    <r>
      <rPr>
        <sz val="11"/>
        <color rgb="FF00B0F0"/>
        <rFont val="Calibri"/>
        <family val="2"/>
      </rPr>
      <t>ADC1_SE5</t>
    </r>
    <r>
      <rPr>
        <sz val="11"/>
        <rFont val="Calibri"/>
        <family val="2"/>
      </rPr>
      <t>/</t>
    </r>
    <r>
      <rPr>
        <sz val="11"/>
        <color rgb="FF00B050"/>
        <rFont val="Calibri"/>
        <family val="2"/>
      </rPr>
      <t>CMP0_IN3</t>
    </r>
  </si>
  <si>
    <r>
      <t>PTC14/FTM1_CH2/TRGMUX_IN9/</t>
    </r>
    <r>
      <rPr>
        <sz val="11"/>
        <color rgb="FF00B0F0"/>
        <rFont val="Calibri"/>
        <family val="2"/>
      </rPr>
      <t>ADC1_SE4</t>
    </r>
  </si>
  <si>
    <r>
      <t>PTB1/LPUART0_TX/LPSPI0_SOUT/TCLK0/CAN0_TX/ADC0_SE5/</t>
    </r>
    <r>
      <rPr>
        <sz val="11"/>
        <color rgb="FF00B050"/>
        <rFont val="Calibri"/>
        <family val="2"/>
      </rPr>
      <t>ADC1_SE4</t>
    </r>
  </si>
  <si>
    <r>
      <t>PTB0/LPUART0_RX/LPSPI0_PCS0/LPTMR0_ALT3/CAN0_RX/</t>
    </r>
    <r>
      <rPr>
        <sz val="11"/>
        <color rgb="FF00B050"/>
        <rFont val="Calibri"/>
        <family val="2"/>
      </rPr>
      <t>FCCU_EOUT1</t>
    </r>
    <r>
      <rPr>
        <sz val="11"/>
        <rFont val="Calibri"/>
        <family val="2"/>
      </rPr>
      <t>/ADC0_SE4</t>
    </r>
  </si>
  <si>
    <r>
      <t>PTA7/FTM0_FLT2/LPUART1_RTS/</t>
    </r>
    <r>
      <rPr>
        <sz val="11"/>
        <color rgb="FF00B050"/>
        <rFont val="Calibri"/>
        <family val="2"/>
      </rPr>
      <t>FCCU_EOUT0</t>
    </r>
    <r>
      <rPr>
        <sz val="11"/>
        <rFont val="Calibri"/>
        <family val="2"/>
      </rPr>
      <t>/ADC0_SE3</t>
    </r>
  </si>
  <si>
    <t>PTB13/FTM0_CH1</t>
  </si>
  <si>
    <r>
      <t>PTD3/LPSPI0_PCS0/FXIO_D5/FXIO_D7/TRGMUX_IN4/NMI_b/</t>
    </r>
    <r>
      <rPr>
        <sz val="11"/>
        <color rgb="FF00B050"/>
        <rFont val="Calibri"/>
        <family val="2"/>
      </rPr>
      <t>LPSPI0_SOUT</t>
    </r>
  </si>
  <si>
    <r>
      <t>PTD2/FXIO_D4/FXIO_D6/TRGMUX_IN5/</t>
    </r>
    <r>
      <rPr>
        <sz val="11"/>
        <color rgb="FF00B050"/>
        <rFont val="Calibri"/>
        <family val="2"/>
      </rPr>
      <t>LPSPI0_PCS2</t>
    </r>
  </si>
  <si>
    <r>
      <t>PTA3/LPI2C0_SCL/FXIO_D5/LPUART0_TX/</t>
    </r>
    <r>
      <rPr>
        <sz val="11"/>
        <color rgb="FF00B050"/>
        <rFont val="Calibri"/>
        <family val="2"/>
      </rPr>
      <t>LPSPI0_SIN</t>
    </r>
  </si>
  <si>
    <r>
      <t>PTA2/LPI2C0_SDA/FXIO_D4/LPUART0_RX/</t>
    </r>
    <r>
      <rPr>
        <sz val="11"/>
        <color rgb="FF00B050"/>
        <rFont val="Calibri"/>
        <family val="2"/>
      </rPr>
      <t>LPSPI0_SCK</t>
    </r>
  </si>
  <si>
    <r>
      <t>PTA1/FTM1_CH1/LPI2C0_SDAS/FXIO_D3/FTM1_QD_PHA/LPUART0_RTS/TRGMUX_OUT0/</t>
    </r>
    <r>
      <rPr>
        <sz val="11"/>
        <color rgb="FF00B050"/>
        <rFont val="Calibri"/>
        <family val="2"/>
      </rPr>
      <t>LPSPI0_PC3</t>
    </r>
    <r>
      <rPr>
        <sz val="11"/>
        <rFont val="Calibri"/>
        <family val="2"/>
      </rPr>
      <t>/ADC0_SE1/CMP0_IN1</t>
    </r>
  </si>
  <si>
    <r>
      <t>PTA0/LPI2C0_SCLS/FXIO_D2/LPUART0_CTS/TRGMUX_OUT3/ADC0_SE0/</t>
    </r>
    <r>
      <rPr>
        <sz val="11"/>
        <color rgb="FF00B0F0"/>
        <rFont val="Calibri"/>
        <family val="2"/>
      </rPr>
      <t>CMP0_IN5</t>
    </r>
  </si>
  <si>
    <t>PTC7/LPUART1_TX/FTM1_QD_PHA</t>
  </si>
  <si>
    <t>PTC6/LPUART1_RX/FTM1_QD_PHB</t>
  </si>
  <si>
    <r>
      <t>PTA13/FTM1_CH7/</t>
    </r>
    <r>
      <rPr>
        <sz val="11"/>
        <color rgb="FF00B050"/>
        <rFont val="Calibri"/>
        <family val="2"/>
      </rPr>
      <t>LPI2C0_SDA</t>
    </r>
  </si>
  <si>
    <r>
      <t>PTA12/FTM1_CH6/</t>
    </r>
    <r>
      <rPr>
        <sz val="11"/>
        <color rgb="FF00B050"/>
        <rFont val="Calibri"/>
        <family val="2"/>
      </rPr>
      <t>LPI2C0_SCL</t>
    </r>
  </si>
  <si>
    <t>PTA10/FTM1_CH4/FXIO_D0/JTAG_TDO</t>
  </si>
  <si>
    <t>PTC5/JTAG_TDI</t>
  </si>
  <si>
    <t>PTC4/FTM1_CH0/FTM1_QD_PHB/JTAG_TCLK/SWD_CLK/CMP0_IN2</t>
  </si>
  <si>
    <t>PTA4/CMP0_OUT/JTAG_TMS/SWD_DIO</t>
  </si>
  <si>
    <t>JTAG_TDO</t>
  </si>
  <si>
    <t>PTA7/FTM0_FLT2/LPUART1_RTS/ADC0_SE3</t>
  </si>
  <si>
    <t>PTA0/LPI2C0_SCLS/FXIO_D2/LPUART0_CTS/TRGMUX_OUT3/ADC0_SE0/CMP0_IN0</t>
  </si>
  <si>
    <t>PTA12/FTM1_CH6</t>
  </si>
  <si>
    <t>PTA13/FTM1_CH7</t>
  </si>
  <si>
    <t>S32K129</t>
  </si>
  <si>
    <t>ALT8</t>
  </si>
  <si>
    <t>FCCU_EOUT1</t>
  </si>
  <si>
    <t>FCCU_EOUT0</t>
  </si>
  <si>
    <t>ADC1_SE3/CMP0_IN4</t>
  </si>
  <si>
    <t>ADC1_SE2/CMP0_IN0</t>
  </si>
  <si>
    <t>ADC1_SE6/CMP0_IN2</t>
  </si>
  <si>
    <t>ADC1_SE5/CMP0_IN3</t>
  </si>
  <si>
    <t>ADC0_SE5/ADC1_SE4</t>
  </si>
  <si>
    <t>ADC0_SE4</t>
  </si>
  <si>
    <t>ADC0_SE0/CMP0_IN5</t>
  </si>
  <si>
    <t>PTB1/LPUART0_TX/LPSPI0_SOUT/TCLK0/CAN0_TX/ADC0_SE5</t>
  </si>
  <si>
    <t>PTB0/LPUART0_RX/LPSPI0_PCS0/LPTMR0_ALT3/CAN0_RX/ADC0_SE4</t>
  </si>
  <si>
    <t>PTD3/FXIO_D5/FXIO_D7/TRGMUX_IN4/NMI_b</t>
  </si>
  <si>
    <t>PTD2/FXIO_D4/FXIO_D6/TRGMUX_IN5</t>
  </si>
  <si>
    <t>PTA3/LPI2C0_SCL/FXIO_D5/LPUART0_TX</t>
  </si>
  <si>
    <t>PTA2/LPI2C0_SDA/FXIO_D4/LPUART0_RX</t>
  </si>
  <si>
    <t>ADC0_SE5</t>
  </si>
  <si>
    <t>S32K116V 48LQFP</t>
  </si>
  <si>
    <t>S32K116V 32QFN</t>
  </si>
  <si>
    <t>S32K116V_48lqfp</t>
  </si>
  <si>
    <t>S32K116V Composite Pin Name</t>
  </si>
  <si>
    <t>S32K116V</t>
  </si>
  <si>
    <t>Functions not available in S32K116V, compared to S32K116.</t>
  </si>
  <si>
    <t>Initial release for S32K116V pinout.</t>
  </si>
  <si>
    <t>S32K116V_32qfn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</si>
</sst>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2060"/>
      <name val="Calibri"/>
      <family val="2"/>
    </font>
    <font>
      <b/>
      <sz val="15"/>
      <color rgb="FF002060"/>
      <name val="Calibri"/>
      <family val="2"/>
    </font>
    <font>
      <sz val="15"/>
      <color rgb="FF000000"/>
      <name val="Calibri"/>
      <family val="2"/>
    </font>
    <font>
      <b/>
      <sz val="11"/>
      <color rgb="FF0070C0"/>
      <name val="Calibri"/>
      <family val="2"/>
    </font>
    <font>
      <sz val="11"/>
      <name val="Calibri"/>
      <family val="2"/>
    </font>
    <font>
      <sz val="11"/>
      <color rgb="FF00B050"/>
      <name val="Calibri"/>
      <family val="2"/>
    </font>
    <font>
      <sz val="11"/>
      <color rgb="FF00B0F0"/>
      <name val="Calibri"/>
      <family val="2"/>
    </font>
    <font>
      <b/>
      <sz val="15"/>
      <color theme="3" tint="0.249977111117893"/>
      <name val="Calibri"/>
      <family val="2"/>
    </font>
    <font>
      <strike/>
      <sz val="11"/>
      <name val="Calibri"/>
      <family val="2"/>
    </font>
    <font>
      <b/>
      <strike/>
      <sz val="11"/>
      <name val="Calibri"/>
      <family val="2"/>
    </font>
    <font>
      <sz val="16"/>
      <color rgb="FF000000"/>
      <name val="Calibri"/>
      <family val="2"/>
    </font>
    <font>
      <sz val="11"/>
      <color rgb="FF000000"/>
      <name val="Calibri"/>
    </font>
    <font>
      <sz val="8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0A23"/>
        <bgColor rgb="FF000000"/>
      </patternFill>
    </fill>
    <fill>
      <patternFill patternType="solid">
        <fgColor rgb="FF47C8FF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 diagonalUp="1">
      <left/>
      <right/>
      <top/>
      <bottom/>
      <diagonal style="thick">
        <color rgb="FF000000"/>
      </diagonal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15" fillId="0" borderId="0"/>
  </cellStyleXfs>
  <cellXfs count="101">
    <xf numFmtId="0" fontId="0" fillId="0" borderId="0" xfId="0"/>
    <xf numFmtId="0" fontId="1" fillId="0" borderId="1" xfId="0" applyFont="1" applyBorder="1"/>
    <xf numFmtId="0" fontId="0" fillId="0" borderId="1" xfId="0" applyBorder="1"/>
    <xf numFmtId="15" fontId="0" fillId="0" borderId="1" xfId="0" applyNumberFormat="1" applyBorder="1"/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3" fillId="0" borderId="0" xfId="1"/>
    <xf numFmtId="0" fontId="8" fillId="0" borderId="0" xfId="0" applyFont="1"/>
    <xf numFmtId="0" fontId="0" fillId="7" borderId="2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9" borderId="1" xfId="1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14" fillId="14" borderId="0" xfId="2" applyFont="1" applyFill="1" applyAlignment="1">
      <alignment horizontal="left" vertical="center"/>
    </xf>
    <xf numFmtId="0" fontId="6" fillId="0" borderId="0" xfId="3" applyFont="1"/>
    <xf numFmtId="0" fontId="15" fillId="0" borderId="0" xfId="3"/>
    <xf numFmtId="0" fontId="15" fillId="7" borderId="0" xfId="3" applyFill="1"/>
    <xf numFmtId="0" fontId="3" fillId="0" borderId="0" xfId="3" applyFont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7" fillId="5" borderId="2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12" fillId="4" borderId="10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/>
    </xf>
    <xf numFmtId="0" fontId="8" fillId="4" borderId="10" xfId="1" applyFont="1" applyFill="1" applyBorder="1"/>
    <xf numFmtId="0" fontId="13" fillId="4" borderId="10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8" borderId="10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11" borderId="9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8" fillId="13" borderId="9" xfId="0" applyFont="1" applyFill="1" applyBorder="1" applyAlignment="1">
      <alignment horizontal="center"/>
    </xf>
    <xf numFmtId="0" fontId="8" fillId="9" borderId="11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8" fillId="12" borderId="8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5" fillId="0" borderId="5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11" fillId="0" borderId="29" xfId="1" applyFont="1" applyBorder="1" applyAlignment="1">
      <alignment horizontal="center"/>
    </xf>
    <xf numFmtId="0" fontId="11" fillId="0" borderId="30" xfId="1" applyFont="1" applyBorder="1" applyAlignment="1">
      <alignment horizontal="center"/>
    </xf>
    <xf numFmtId="0" fontId="14" fillId="14" borderId="0" xfId="3" applyFont="1" applyFill="1" applyAlignment="1">
      <alignment horizontal="left" vertical="center"/>
    </xf>
    <xf numFmtId="0" fontId="16" fillId="14" borderId="0" xfId="3" applyFont="1" applyFill="1" applyAlignment="1">
      <alignment horizontal="right" vertical="center"/>
    </xf>
    <xf numFmtId="0" fontId="16" fillId="15" borderId="0" xfId="3" applyFont="1" applyFill="1" applyAlignment="1">
      <alignment horizontal="center" textRotation="90"/>
    </xf>
    <xf numFmtId="0" fontId="16" fillId="14" borderId="0" xfId="3" applyFont="1" applyFill="1" applyAlignment="1">
      <alignment horizontal="left" vertical="center"/>
    </xf>
    <xf numFmtId="0" fontId="16" fillId="14" borderId="18" xfId="3" applyFont="1" applyFill="1" applyBorder="1" applyAlignment="1">
      <alignment horizontal="right" vertical="center"/>
    </xf>
    <xf numFmtId="0" fontId="16" fillId="14" borderId="19" xfId="3" applyFont="1" applyFill="1" applyBorder="1" applyAlignment="1">
      <alignment horizontal="center" textRotation="90"/>
    </xf>
    <xf numFmtId="0" fontId="16" fillId="14" borderId="20" xfId="3" applyFont="1" applyFill="1" applyBorder="1" applyAlignment="1">
      <alignment horizontal="left" vertical="center"/>
    </xf>
    <xf numFmtId="0" fontId="16" fillId="15" borderId="0" xfId="3" applyFont="1" applyFill="1" applyAlignment="1">
      <alignment horizontal="right" vertical="center"/>
    </xf>
    <xf numFmtId="0" fontId="16" fillId="14" borderId="21" xfId="3" applyFont="1" applyFill="1" applyBorder="1" applyAlignment="1">
      <alignment horizontal="right" vertical="center"/>
    </xf>
    <xf numFmtId="0" fontId="16" fillId="14" borderId="22" xfId="3" applyFont="1" applyFill="1" applyBorder="1" applyAlignment="1">
      <alignment horizontal="left" vertical="center"/>
    </xf>
    <xf numFmtId="0" fontId="16" fillId="15" borderId="0" xfId="3" applyFont="1" applyFill="1" applyAlignment="1">
      <alignment horizontal="left" vertical="center"/>
    </xf>
    <xf numFmtId="0" fontId="16" fillId="16" borderId="0" xfId="3" applyFont="1" applyFill="1" applyAlignment="1">
      <alignment horizontal="right" vertical="center"/>
    </xf>
    <xf numFmtId="0" fontId="16" fillId="16" borderId="0" xfId="3" applyFont="1" applyFill="1" applyAlignment="1">
      <alignment horizontal="left" vertical="center"/>
    </xf>
    <xf numFmtId="0" fontId="16" fillId="17" borderId="0" xfId="3" applyFont="1" applyFill="1" applyAlignment="1">
      <alignment horizontal="right" vertical="center"/>
    </xf>
    <xf numFmtId="0" fontId="16" fillId="17" borderId="0" xfId="3" applyFont="1" applyFill="1" applyAlignment="1">
      <alignment horizontal="left" vertical="center"/>
    </xf>
    <xf numFmtId="0" fontId="16" fillId="14" borderId="23" xfId="3" applyFont="1" applyFill="1" applyBorder="1" applyAlignment="1">
      <alignment horizontal="right" vertical="center"/>
    </xf>
    <xf numFmtId="0" fontId="16" fillId="14" borderId="24" xfId="3" applyFont="1" applyFill="1" applyBorder="1" applyAlignment="1">
      <alignment horizontal="center" vertical="top" textRotation="90"/>
    </xf>
    <xf numFmtId="0" fontId="16" fillId="14" borderId="25" xfId="3" applyFont="1" applyFill="1" applyBorder="1" applyAlignment="1">
      <alignment horizontal="left" vertical="center"/>
    </xf>
    <xf numFmtId="0" fontId="16" fillId="15" borderId="0" xfId="3" applyFont="1" applyFill="1" applyAlignment="1">
      <alignment horizontal="center" vertical="top" textRotation="90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3" borderId="31" xfId="3" applyFont="1" applyFill="1" applyBorder="1" applyAlignment="1">
      <alignment horizontal="center" vertical="center"/>
    </xf>
    <xf numFmtId="0" fontId="4" fillId="3" borderId="13" xfId="3" applyFont="1" applyFill="1" applyBorder="1" applyAlignment="1">
      <alignment horizontal="center" vertical="center"/>
    </xf>
    <xf numFmtId="0" fontId="2" fillId="4" borderId="3" xfId="3" applyFont="1" applyFill="1" applyBorder="1" applyAlignment="1">
      <alignment horizontal="center" vertical="center"/>
    </xf>
    <xf numFmtId="0" fontId="2" fillId="4" borderId="4" xfId="3" applyFont="1" applyFill="1" applyBorder="1" applyAlignment="1">
      <alignment horizontal="center" vertical="center"/>
    </xf>
    <xf numFmtId="0" fontId="2" fillId="4" borderId="13" xfId="3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4" fillId="3" borderId="3" xfId="3" applyFont="1" applyFill="1" applyBorder="1" applyAlignment="1">
      <alignment horizontal="center" vertical="center"/>
    </xf>
    <xf numFmtId="0" fontId="4" fillId="3" borderId="4" xfId="3" applyFont="1" applyFill="1" applyBorder="1" applyAlignment="1">
      <alignment horizontal="center" vertical="center"/>
    </xf>
  </cellXfs>
  <cellStyles count="4">
    <cellStyle name="Normal" xfId="0" builtinId="0"/>
    <cellStyle name="Normal 2" xfId="1" xr:uid="{6D43E9E5-A425-4EFB-8DBE-614E7D771362}"/>
    <cellStyle name="Normal 2 2" xfId="2" xr:uid="{96A08453-1011-4AAA-AB02-C50FFAF8CB9A}"/>
    <cellStyle name="Normal 2 3" xfId="3" xr:uid="{620FCB45-D81B-4FF0-BBB3-8931FB426D27}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9E83-FE99-4C82-ABC8-BC1E456DD55A}">
  <dimension ref="A1:C4"/>
  <sheetViews>
    <sheetView workbookViewId="0">
      <selection activeCell="C3" sqref="C3"/>
    </sheetView>
  </sheetViews>
  <sheetFormatPr defaultRowHeight="15" x14ac:dyDescent="0.25"/>
  <cols>
    <col min="1" max="1" width="9.7109375" customWidth="1"/>
    <col min="2" max="2" width="12.85546875" customWidth="1"/>
    <col min="3" max="3" width="65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46151</v>
      </c>
      <c r="C2" s="2" t="s">
        <v>239</v>
      </c>
    </row>
    <row r="3" spans="1:3" x14ac:dyDescent="0.25">
      <c r="A3" s="2"/>
      <c r="B3" s="3"/>
      <c r="C3" s="2"/>
    </row>
    <row r="4" spans="1:3" x14ac:dyDescent="0.25">
      <c r="A4" s="2"/>
      <c r="B4" s="3"/>
      <c r="C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7FFD-D1D4-4D17-A45B-618728CFECA7}">
  <sheetPr>
    <tabColor theme="4" tint="0.79998168889431442"/>
  </sheetPr>
  <dimension ref="A1:AD102"/>
  <sheetViews>
    <sheetView tabSelected="1" zoomScale="85" zoomScaleNormal="85" workbookViewId="0">
      <pane ySplit="2" topLeftCell="A3" activePane="bottomLeft" state="frozen"/>
      <selection activeCell="I69" sqref="I69"/>
      <selection pane="bottomLeft" activeCell="A3" sqref="A3"/>
    </sheetView>
  </sheetViews>
  <sheetFormatPr defaultRowHeight="15" x14ac:dyDescent="0.25"/>
  <cols>
    <col min="1" max="1" width="21" customWidth="1"/>
    <col min="2" max="2" width="21.5703125" customWidth="1"/>
    <col min="3" max="3" width="10.5703125" customWidth="1"/>
    <col min="4" max="4" width="99.140625" customWidth="1"/>
    <col min="5" max="5" width="20.85546875" customWidth="1"/>
    <col min="6" max="6" width="20.28515625" customWidth="1"/>
    <col min="7" max="7" width="7" customWidth="1"/>
    <col min="8" max="12" width="14" customWidth="1"/>
    <col min="13" max="13" width="19.85546875" customWidth="1"/>
    <col min="14" max="14" width="15.28515625" style="28" customWidth="1"/>
    <col min="15" max="15" width="14.85546875" style="28" customWidth="1"/>
    <col min="16" max="16" width="110.42578125" style="8" customWidth="1"/>
    <col min="17" max="17" width="21.28515625" style="7" hidden="1" customWidth="1"/>
    <col min="18" max="18" width="27" style="7" hidden="1" customWidth="1"/>
    <col min="19" max="19" width="11.5703125" style="7" hidden="1" customWidth="1"/>
    <col min="20" max="20" width="12.7109375" style="7" hidden="1" customWidth="1"/>
    <col min="21" max="21" width="20" style="7" hidden="1" customWidth="1"/>
    <col min="22" max="22" width="20.85546875" style="7" hidden="1" customWidth="1"/>
    <col min="23" max="23" width="20" style="7" hidden="1" customWidth="1"/>
    <col min="24" max="24" width="19.42578125" style="7" hidden="1" customWidth="1"/>
    <col min="25" max="25" width="19.85546875" style="7" hidden="1" customWidth="1"/>
    <col min="26" max="26" width="13.42578125" style="7" hidden="1" customWidth="1"/>
    <col min="27" max="27" width="9.140625" customWidth="1"/>
  </cols>
  <sheetData>
    <row r="1" spans="1:26" ht="20.25" thickBot="1" x14ac:dyDescent="0.35">
      <c r="E1" s="58" t="s">
        <v>237</v>
      </c>
      <c r="F1" s="59"/>
      <c r="G1" s="59"/>
      <c r="H1" s="59"/>
      <c r="I1" s="59"/>
      <c r="J1" s="59"/>
      <c r="K1" s="59"/>
      <c r="L1" s="59"/>
      <c r="M1" s="60"/>
      <c r="N1" s="27"/>
      <c r="O1" s="27"/>
      <c r="P1" s="27"/>
      <c r="Q1" s="61" t="s">
        <v>215</v>
      </c>
      <c r="R1" s="61"/>
      <c r="S1" s="61"/>
      <c r="T1" s="61"/>
      <c r="U1" s="61"/>
      <c r="V1" s="61"/>
      <c r="W1" s="61"/>
      <c r="X1" s="61"/>
      <c r="Y1" s="61"/>
      <c r="Z1" s="62"/>
    </row>
    <row r="2" spans="1:26" x14ac:dyDescent="0.25">
      <c r="A2" s="99" t="s">
        <v>240</v>
      </c>
      <c r="B2" s="100" t="s">
        <v>235</v>
      </c>
      <c r="C2" s="89" t="s">
        <v>4</v>
      </c>
      <c r="D2" s="90" t="s">
        <v>236</v>
      </c>
      <c r="E2" s="91" t="s">
        <v>5</v>
      </c>
      <c r="F2" s="92" t="s">
        <v>6</v>
      </c>
      <c r="G2" s="92" t="s">
        <v>7</v>
      </c>
      <c r="H2" s="92" t="s">
        <v>8</v>
      </c>
      <c r="I2" s="92" t="s">
        <v>9</v>
      </c>
      <c r="J2" s="92" t="s">
        <v>10</v>
      </c>
      <c r="K2" s="92" t="s">
        <v>11</v>
      </c>
      <c r="L2" s="92" t="s">
        <v>12</v>
      </c>
      <c r="M2" s="93" t="s">
        <v>13</v>
      </c>
      <c r="N2" s="35" t="s">
        <v>174</v>
      </c>
      <c r="O2" s="94" t="s">
        <v>175</v>
      </c>
      <c r="P2" s="95" t="s">
        <v>176</v>
      </c>
      <c r="Q2" s="96" t="s">
        <v>5</v>
      </c>
      <c r="R2" s="97" t="s">
        <v>6</v>
      </c>
      <c r="S2" s="97" t="s">
        <v>7</v>
      </c>
      <c r="T2" s="97" t="s">
        <v>8</v>
      </c>
      <c r="U2" s="97" t="s">
        <v>9</v>
      </c>
      <c r="V2" s="97" t="s">
        <v>10</v>
      </c>
      <c r="W2" s="97" t="s">
        <v>11</v>
      </c>
      <c r="X2" s="97" t="s">
        <v>12</v>
      </c>
      <c r="Y2" s="97" t="s">
        <v>13</v>
      </c>
      <c r="Z2" s="98" t="s">
        <v>216</v>
      </c>
    </row>
    <row r="3" spans="1:26" x14ac:dyDescent="0.25">
      <c r="A3" s="84"/>
      <c r="B3" s="87">
        <v>1</v>
      </c>
      <c r="C3" s="82" t="s">
        <v>18</v>
      </c>
      <c r="D3" s="10" t="s">
        <v>177</v>
      </c>
      <c r="E3" s="11" t="s">
        <v>14</v>
      </c>
      <c r="F3" s="4"/>
      <c r="G3" s="5" t="s">
        <v>18</v>
      </c>
      <c r="H3" s="5" t="s">
        <v>19</v>
      </c>
      <c r="I3" s="9"/>
      <c r="J3" s="9"/>
      <c r="K3" s="4"/>
      <c r="L3" s="5" t="s">
        <v>20</v>
      </c>
      <c r="M3" s="10" t="s">
        <v>21</v>
      </c>
      <c r="N3" s="36"/>
      <c r="O3" s="6">
        <v>1</v>
      </c>
      <c r="P3" s="37" t="s">
        <v>177</v>
      </c>
      <c r="Q3" s="42" t="s">
        <v>14</v>
      </c>
      <c r="R3" s="16"/>
      <c r="S3" s="15" t="s">
        <v>18</v>
      </c>
      <c r="T3" s="15" t="s">
        <v>19</v>
      </c>
      <c r="U3" s="17"/>
      <c r="V3" s="18"/>
      <c r="W3" s="18"/>
      <c r="X3" s="15" t="s">
        <v>20</v>
      </c>
      <c r="Y3" s="15" t="s">
        <v>21</v>
      </c>
      <c r="Z3" s="43"/>
    </row>
    <row r="4" spans="1:26" x14ac:dyDescent="0.25">
      <c r="A4" s="84"/>
      <c r="B4" s="87">
        <v>2</v>
      </c>
      <c r="C4" s="82" t="s">
        <v>22</v>
      </c>
      <c r="D4" s="10" t="s">
        <v>178</v>
      </c>
      <c r="E4" s="11" t="s">
        <v>14</v>
      </c>
      <c r="F4" s="4"/>
      <c r="G4" s="5" t="s">
        <v>22</v>
      </c>
      <c r="H4" s="5" t="s">
        <v>23</v>
      </c>
      <c r="I4" s="9"/>
      <c r="J4" s="9"/>
      <c r="K4" s="4"/>
      <c r="L4" s="5" t="s">
        <v>24</v>
      </c>
      <c r="M4" s="10" t="s">
        <v>25</v>
      </c>
      <c r="N4" s="36"/>
      <c r="O4" s="6">
        <v>2</v>
      </c>
      <c r="P4" s="37" t="s">
        <v>178</v>
      </c>
      <c r="Q4" s="42" t="s">
        <v>14</v>
      </c>
      <c r="R4" s="16"/>
      <c r="S4" s="15" t="s">
        <v>22</v>
      </c>
      <c r="T4" s="15" t="s">
        <v>23</v>
      </c>
      <c r="U4" s="17"/>
      <c r="V4" s="18"/>
      <c r="W4" s="18"/>
      <c r="X4" s="15" t="s">
        <v>24</v>
      </c>
      <c r="Y4" s="15" t="s">
        <v>25</v>
      </c>
      <c r="Z4" s="44"/>
    </row>
    <row r="5" spans="1:26" x14ac:dyDescent="0.25">
      <c r="A5" s="85">
        <v>1</v>
      </c>
      <c r="B5" s="87">
        <v>3</v>
      </c>
      <c r="C5" s="82" t="s">
        <v>29</v>
      </c>
      <c r="D5" s="10" t="s">
        <v>179</v>
      </c>
      <c r="E5" s="11" t="s">
        <v>14</v>
      </c>
      <c r="F5" s="4"/>
      <c r="G5" s="5" t="s">
        <v>29</v>
      </c>
      <c r="H5" s="9"/>
      <c r="I5" s="9"/>
      <c r="J5" s="9"/>
      <c r="K5" s="5" t="s">
        <v>30</v>
      </c>
      <c r="L5" s="5" t="s">
        <v>31</v>
      </c>
      <c r="M5" s="13"/>
      <c r="N5" s="38">
        <v>1</v>
      </c>
      <c r="O5" s="6">
        <v>3</v>
      </c>
      <c r="P5" s="37" t="s">
        <v>179</v>
      </c>
      <c r="Q5" s="42" t="s">
        <v>14</v>
      </c>
      <c r="R5" s="16"/>
      <c r="S5" s="15" t="s">
        <v>29</v>
      </c>
      <c r="T5" s="19"/>
      <c r="U5" s="18"/>
      <c r="V5" s="18"/>
      <c r="W5" s="15" t="s">
        <v>30</v>
      </c>
      <c r="X5" s="15" t="s">
        <v>31</v>
      </c>
      <c r="Y5" s="18"/>
      <c r="Z5" s="46"/>
    </row>
    <row r="6" spans="1:26" x14ac:dyDescent="0.25">
      <c r="A6" s="85">
        <v>2</v>
      </c>
      <c r="B6" s="87">
        <v>4</v>
      </c>
      <c r="C6" s="82" t="s">
        <v>32</v>
      </c>
      <c r="D6" s="10" t="s">
        <v>180</v>
      </c>
      <c r="E6" s="11" t="s">
        <v>14</v>
      </c>
      <c r="F6" s="4"/>
      <c r="G6" s="5" t="s">
        <v>32</v>
      </c>
      <c r="H6" s="4"/>
      <c r="I6" s="9"/>
      <c r="J6" s="9"/>
      <c r="K6" s="5" t="s">
        <v>33</v>
      </c>
      <c r="L6" s="5" t="s">
        <v>34</v>
      </c>
      <c r="M6" s="13"/>
      <c r="N6" s="38">
        <v>2</v>
      </c>
      <c r="O6" s="6">
        <v>4</v>
      </c>
      <c r="P6" s="37" t="s">
        <v>180</v>
      </c>
      <c r="Q6" s="42" t="s">
        <v>14</v>
      </c>
      <c r="R6" s="16"/>
      <c r="S6" s="15" t="s">
        <v>32</v>
      </c>
      <c r="T6" s="16"/>
      <c r="U6" s="18"/>
      <c r="V6" s="18"/>
      <c r="W6" s="15" t="s">
        <v>33</v>
      </c>
      <c r="X6" s="15" t="s">
        <v>34</v>
      </c>
      <c r="Y6" s="18"/>
      <c r="Z6" s="46"/>
    </row>
    <row r="7" spans="1:26" x14ac:dyDescent="0.25">
      <c r="A7" s="85">
        <v>3</v>
      </c>
      <c r="B7" s="87">
        <v>5</v>
      </c>
      <c r="C7" s="82" t="s">
        <v>35</v>
      </c>
      <c r="D7" s="10" t="s">
        <v>35</v>
      </c>
      <c r="E7" s="11" t="s">
        <v>35</v>
      </c>
      <c r="F7" s="5" t="s">
        <v>35</v>
      </c>
      <c r="G7" s="4"/>
      <c r="H7" s="4"/>
      <c r="I7" s="4"/>
      <c r="J7" s="4"/>
      <c r="K7" s="4"/>
      <c r="L7" s="4"/>
      <c r="M7" s="14"/>
      <c r="N7" s="38">
        <v>3</v>
      </c>
      <c r="O7" s="6">
        <v>5</v>
      </c>
      <c r="P7" s="37" t="s">
        <v>35</v>
      </c>
      <c r="Q7" s="42" t="s">
        <v>35</v>
      </c>
      <c r="R7" s="15" t="s">
        <v>35</v>
      </c>
      <c r="S7" s="16"/>
      <c r="T7" s="16"/>
      <c r="U7" s="16"/>
      <c r="V7" s="16"/>
      <c r="W7" s="16"/>
      <c r="X7" s="16"/>
      <c r="Y7" s="18"/>
      <c r="Z7" s="45"/>
    </row>
    <row r="8" spans="1:26" x14ac:dyDescent="0.25">
      <c r="A8" s="84"/>
      <c r="B8" s="87">
        <v>6</v>
      </c>
      <c r="C8" s="82" t="s">
        <v>36</v>
      </c>
      <c r="D8" s="10" t="s">
        <v>36</v>
      </c>
      <c r="E8" s="11" t="s">
        <v>36</v>
      </c>
      <c r="F8" s="5" t="s">
        <v>36</v>
      </c>
      <c r="G8" s="4"/>
      <c r="H8" s="4"/>
      <c r="I8" s="4"/>
      <c r="J8" s="4"/>
      <c r="K8" s="4"/>
      <c r="L8" s="4"/>
      <c r="M8" s="14"/>
      <c r="N8" s="36"/>
      <c r="O8" s="6">
        <v>6</v>
      </c>
      <c r="P8" s="37" t="s">
        <v>36</v>
      </c>
      <c r="Q8" s="42" t="s">
        <v>36</v>
      </c>
      <c r="R8" s="15" t="s">
        <v>36</v>
      </c>
      <c r="S8" s="16"/>
      <c r="T8" s="16"/>
      <c r="U8" s="16"/>
      <c r="V8" s="16"/>
      <c r="W8" s="16"/>
      <c r="X8" s="16"/>
      <c r="Y8" s="18"/>
      <c r="Z8" s="45"/>
    </row>
    <row r="9" spans="1:26" x14ac:dyDescent="0.25">
      <c r="A9" s="85">
        <v>4</v>
      </c>
      <c r="B9" s="87">
        <v>7</v>
      </c>
      <c r="C9" s="82" t="s">
        <v>37</v>
      </c>
      <c r="D9" s="10" t="s">
        <v>37</v>
      </c>
      <c r="E9" s="11" t="s">
        <v>37</v>
      </c>
      <c r="F9" s="5" t="s">
        <v>37</v>
      </c>
      <c r="G9" s="4"/>
      <c r="H9" s="4"/>
      <c r="I9" s="4"/>
      <c r="J9" s="4"/>
      <c r="K9" s="4"/>
      <c r="L9" s="4"/>
      <c r="M9" s="14"/>
      <c r="N9" s="38">
        <v>4</v>
      </c>
      <c r="O9" s="6">
        <v>7</v>
      </c>
      <c r="P9" s="37" t="s">
        <v>37</v>
      </c>
      <c r="Q9" s="42" t="s">
        <v>37</v>
      </c>
      <c r="R9" s="15" t="s">
        <v>37</v>
      </c>
      <c r="S9" s="16"/>
      <c r="T9" s="16"/>
      <c r="U9" s="16"/>
      <c r="V9" s="16"/>
      <c r="W9" s="16"/>
      <c r="X9" s="16"/>
      <c r="Y9" s="18"/>
      <c r="Z9" s="45"/>
    </row>
    <row r="10" spans="1:26" x14ac:dyDescent="0.25">
      <c r="A10" s="85">
        <v>5</v>
      </c>
      <c r="B10" s="87">
        <v>8</v>
      </c>
      <c r="C10" s="82" t="s">
        <v>38</v>
      </c>
      <c r="D10" s="10" t="s">
        <v>41</v>
      </c>
      <c r="E10" s="11" t="s">
        <v>39</v>
      </c>
      <c r="F10" s="5" t="s">
        <v>39</v>
      </c>
      <c r="G10" s="5" t="s">
        <v>38</v>
      </c>
      <c r="H10" s="5" t="s">
        <v>40</v>
      </c>
      <c r="I10" s="4"/>
      <c r="J10" s="4"/>
      <c r="K10" s="4"/>
      <c r="L10" s="4"/>
      <c r="M10" s="14"/>
      <c r="N10" s="38">
        <v>5</v>
      </c>
      <c r="O10" s="6">
        <v>8</v>
      </c>
      <c r="P10" s="37" t="s">
        <v>41</v>
      </c>
      <c r="Q10" s="42" t="s">
        <v>39</v>
      </c>
      <c r="R10" s="15" t="s">
        <v>39</v>
      </c>
      <c r="S10" s="20" t="s">
        <v>38</v>
      </c>
      <c r="T10" s="15" t="s">
        <v>40</v>
      </c>
      <c r="U10" s="16"/>
      <c r="V10" s="16"/>
      <c r="W10" s="16"/>
      <c r="X10" s="16"/>
      <c r="Y10" s="18"/>
      <c r="Z10" s="45"/>
    </row>
    <row r="11" spans="1:26" x14ac:dyDescent="0.25">
      <c r="A11" s="85">
        <v>6</v>
      </c>
      <c r="B11" s="87">
        <v>9</v>
      </c>
      <c r="C11" s="82" t="s">
        <v>42</v>
      </c>
      <c r="D11" s="10" t="s">
        <v>45</v>
      </c>
      <c r="E11" s="11" t="s">
        <v>43</v>
      </c>
      <c r="F11" s="5" t="s">
        <v>43</v>
      </c>
      <c r="G11" s="5" t="s">
        <v>42</v>
      </c>
      <c r="H11" s="5" t="s">
        <v>44</v>
      </c>
      <c r="I11" s="4"/>
      <c r="J11" s="4"/>
      <c r="K11" s="4"/>
      <c r="L11" s="4"/>
      <c r="M11" s="14"/>
      <c r="N11" s="38">
        <v>6</v>
      </c>
      <c r="O11" s="6">
        <v>9</v>
      </c>
      <c r="P11" s="37" t="s">
        <v>45</v>
      </c>
      <c r="Q11" s="42" t="s">
        <v>43</v>
      </c>
      <c r="R11" s="15" t="s">
        <v>43</v>
      </c>
      <c r="S11" s="20" t="s">
        <v>42</v>
      </c>
      <c r="T11" s="15" t="s">
        <v>44</v>
      </c>
      <c r="U11" s="16"/>
      <c r="V11" s="16"/>
      <c r="W11" s="16"/>
      <c r="X11" s="16"/>
      <c r="Y11" s="18"/>
      <c r="Z11" s="45"/>
    </row>
    <row r="12" spans="1:26" x14ac:dyDescent="0.25">
      <c r="A12" s="85">
        <v>7</v>
      </c>
      <c r="B12" s="87">
        <v>10</v>
      </c>
      <c r="C12" s="82" t="s">
        <v>48</v>
      </c>
      <c r="D12" s="10" t="s">
        <v>52</v>
      </c>
      <c r="E12" s="11" t="s">
        <v>14</v>
      </c>
      <c r="F12" s="4"/>
      <c r="G12" s="5" t="s">
        <v>48</v>
      </c>
      <c r="H12" s="5" t="s">
        <v>49</v>
      </c>
      <c r="I12" s="4"/>
      <c r="J12" s="5" t="s">
        <v>50</v>
      </c>
      <c r="K12" s="5" t="s">
        <v>51</v>
      </c>
      <c r="L12" s="4"/>
      <c r="M12" s="14"/>
      <c r="N12" s="38">
        <v>7</v>
      </c>
      <c r="O12" s="6">
        <v>10</v>
      </c>
      <c r="P12" s="37" t="s">
        <v>181</v>
      </c>
      <c r="Q12" s="42" t="s">
        <v>14</v>
      </c>
      <c r="R12" s="16"/>
      <c r="S12" s="15" t="s">
        <v>48</v>
      </c>
      <c r="T12" s="15" t="s">
        <v>49</v>
      </c>
      <c r="U12" s="16"/>
      <c r="V12" s="15" t="s">
        <v>50</v>
      </c>
      <c r="W12" s="15" t="s">
        <v>51</v>
      </c>
      <c r="X12" s="16"/>
      <c r="Y12" s="16"/>
      <c r="Z12" s="48" t="s">
        <v>60</v>
      </c>
    </row>
    <row r="13" spans="1:26" x14ac:dyDescent="0.25">
      <c r="A13" s="85">
        <v>8</v>
      </c>
      <c r="B13" s="87">
        <v>11</v>
      </c>
      <c r="C13" s="82" t="s">
        <v>53</v>
      </c>
      <c r="D13" s="10" t="s">
        <v>56</v>
      </c>
      <c r="E13" s="11" t="s">
        <v>14</v>
      </c>
      <c r="F13" s="4"/>
      <c r="G13" s="5" t="s">
        <v>53</v>
      </c>
      <c r="H13" s="5" t="s">
        <v>54</v>
      </c>
      <c r="I13" s="4"/>
      <c r="J13" s="5" t="s">
        <v>55</v>
      </c>
      <c r="K13" s="4"/>
      <c r="L13" s="4"/>
      <c r="M13" s="14"/>
      <c r="N13" s="38">
        <v>8</v>
      </c>
      <c r="O13" s="6">
        <v>11</v>
      </c>
      <c r="P13" s="37" t="s">
        <v>182</v>
      </c>
      <c r="Q13" s="42" t="s">
        <v>14</v>
      </c>
      <c r="R13" s="16"/>
      <c r="S13" s="15" t="s">
        <v>53</v>
      </c>
      <c r="T13" s="15" t="s">
        <v>54</v>
      </c>
      <c r="U13" s="16"/>
      <c r="V13" s="15" t="s">
        <v>55</v>
      </c>
      <c r="W13" s="16"/>
      <c r="X13" s="16"/>
      <c r="Y13" s="16"/>
      <c r="Z13" s="48" t="s">
        <v>61</v>
      </c>
    </row>
    <row r="14" spans="1:26" x14ac:dyDescent="0.25">
      <c r="A14" s="84"/>
      <c r="B14" s="87">
        <v>12</v>
      </c>
      <c r="C14" s="82" t="s">
        <v>57</v>
      </c>
      <c r="D14" s="10" t="s">
        <v>59</v>
      </c>
      <c r="E14" s="11" t="s">
        <v>14</v>
      </c>
      <c r="F14" s="4"/>
      <c r="G14" s="5" t="s">
        <v>57</v>
      </c>
      <c r="H14" s="5" t="s">
        <v>58</v>
      </c>
      <c r="I14" s="4"/>
      <c r="J14" s="4"/>
      <c r="K14" s="4"/>
      <c r="L14" s="4"/>
      <c r="M14" s="14"/>
      <c r="N14" s="36"/>
      <c r="O14" s="6">
        <v>12</v>
      </c>
      <c r="P14" s="37" t="s">
        <v>183</v>
      </c>
      <c r="Q14" s="42" t="s">
        <v>14</v>
      </c>
      <c r="R14" s="16"/>
      <c r="S14" s="15" t="s">
        <v>57</v>
      </c>
      <c r="T14" s="15" t="s">
        <v>58</v>
      </c>
      <c r="U14" s="18"/>
      <c r="V14" s="16"/>
      <c r="W14" s="16"/>
      <c r="X14" s="16"/>
      <c r="Y14" s="16"/>
      <c r="Z14" s="48" t="s">
        <v>156</v>
      </c>
    </row>
    <row r="15" spans="1:26" x14ac:dyDescent="0.25">
      <c r="A15" s="85">
        <v>9</v>
      </c>
      <c r="B15" s="87">
        <v>13</v>
      </c>
      <c r="C15" s="82" t="s">
        <v>62</v>
      </c>
      <c r="D15" s="10" t="s">
        <v>65</v>
      </c>
      <c r="E15" s="11" t="s">
        <v>63</v>
      </c>
      <c r="F15" s="5" t="s">
        <v>63</v>
      </c>
      <c r="G15" s="5" t="s">
        <v>62</v>
      </c>
      <c r="H15" s="5" t="s">
        <v>64</v>
      </c>
      <c r="I15" s="4"/>
      <c r="J15" s="4"/>
      <c r="K15" s="4"/>
      <c r="L15" s="4"/>
      <c r="M15" s="14"/>
      <c r="N15" s="38">
        <v>9</v>
      </c>
      <c r="O15" s="6">
        <v>13</v>
      </c>
      <c r="P15" s="37" t="s">
        <v>184</v>
      </c>
      <c r="Q15" s="42" t="s">
        <v>63</v>
      </c>
      <c r="R15" s="15" t="s">
        <v>63</v>
      </c>
      <c r="S15" s="15" t="s">
        <v>62</v>
      </c>
      <c r="T15" s="15" t="s">
        <v>64</v>
      </c>
      <c r="U15" s="16"/>
      <c r="V15" s="16"/>
      <c r="W15" s="16"/>
      <c r="X15" s="16"/>
      <c r="Y15" s="16"/>
      <c r="Z15" s="48" t="s">
        <v>157</v>
      </c>
    </row>
    <row r="16" spans="1:26" x14ac:dyDescent="0.25">
      <c r="A16" s="85">
        <v>10</v>
      </c>
      <c r="B16" s="87">
        <v>14</v>
      </c>
      <c r="C16" s="82" t="s">
        <v>66</v>
      </c>
      <c r="D16" s="10" t="s">
        <v>71</v>
      </c>
      <c r="E16" s="11" t="s">
        <v>14</v>
      </c>
      <c r="F16" s="4"/>
      <c r="G16" s="5" t="s">
        <v>66</v>
      </c>
      <c r="H16" s="5" t="s">
        <v>67</v>
      </c>
      <c r="I16" s="5" t="s">
        <v>68</v>
      </c>
      <c r="J16" s="5" t="s">
        <v>69</v>
      </c>
      <c r="K16" s="5" t="s">
        <v>27</v>
      </c>
      <c r="L16" s="5" t="s">
        <v>70</v>
      </c>
      <c r="M16" s="14"/>
      <c r="N16" s="38">
        <v>10</v>
      </c>
      <c r="O16" s="6">
        <v>14</v>
      </c>
      <c r="P16" s="37" t="s">
        <v>71</v>
      </c>
      <c r="Q16" s="42" t="s">
        <v>14</v>
      </c>
      <c r="R16" s="16"/>
      <c r="S16" s="15" t="s">
        <v>66</v>
      </c>
      <c r="T16" s="15" t="s">
        <v>67</v>
      </c>
      <c r="U16" s="15" t="s">
        <v>68</v>
      </c>
      <c r="V16" s="15" t="s">
        <v>69</v>
      </c>
      <c r="W16" s="15" t="s">
        <v>27</v>
      </c>
      <c r="X16" s="15" t="s">
        <v>70</v>
      </c>
      <c r="Y16" s="16"/>
      <c r="Z16" s="49"/>
    </row>
    <row r="17" spans="1:26" x14ac:dyDescent="0.25">
      <c r="A17" s="85">
        <v>11</v>
      </c>
      <c r="B17" s="87">
        <v>15</v>
      </c>
      <c r="C17" s="82" t="s">
        <v>72</v>
      </c>
      <c r="D17" s="10" t="s">
        <v>76</v>
      </c>
      <c r="E17" s="11" t="s">
        <v>14</v>
      </c>
      <c r="F17" s="4"/>
      <c r="G17" s="5" t="s">
        <v>72</v>
      </c>
      <c r="H17" s="5" t="s">
        <v>73</v>
      </c>
      <c r="I17" s="5" t="s">
        <v>74</v>
      </c>
      <c r="J17" s="4"/>
      <c r="K17" s="4"/>
      <c r="L17" s="5" t="s">
        <v>75</v>
      </c>
      <c r="M17" s="14"/>
      <c r="N17" s="38">
        <v>11</v>
      </c>
      <c r="O17" s="6">
        <v>15</v>
      </c>
      <c r="P17" s="37" t="s">
        <v>76</v>
      </c>
      <c r="Q17" s="42" t="s">
        <v>14</v>
      </c>
      <c r="R17" s="16"/>
      <c r="S17" s="15" t="s">
        <v>72</v>
      </c>
      <c r="T17" s="15" t="s">
        <v>73</v>
      </c>
      <c r="U17" s="15" t="s">
        <v>74</v>
      </c>
      <c r="V17" s="16"/>
      <c r="W17" s="16"/>
      <c r="X17" s="15" t="s">
        <v>75</v>
      </c>
      <c r="Y17" s="16"/>
      <c r="Z17" s="49"/>
    </row>
    <row r="18" spans="1:26" x14ac:dyDescent="0.25">
      <c r="A18" s="85">
        <v>12</v>
      </c>
      <c r="B18" s="87">
        <v>16</v>
      </c>
      <c r="C18" s="82" t="s">
        <v>77</v>
      </c>
      <c r="D18" s="10" t="s">
        <v>80</v>
      </c>
      <c r="E18" s="11" t="s">
        <v>78</v>
      </c>
      <c r="F18" s="5" t="s">
        <v>78</v>
      </c>
      <c r="G18" s="5" t="s">
        <v>77</v>
      </c>
      <c r="H18" s="5" t="s">
        <v>19</v>
      </c>
      <c r="I18" s="5" t="s">
        <v>30</v>
      </c>
      <c r="J18" s="5" t="s">
        <v>79</v>
      </c>
      <c r="K18" s="4"/>
      <c r="L18" s="4"/>
      <c r="M18" s="14"/>
      <c r="N18" s="38">
        <v>12</v>
      </c>
      <c r="O18" s="6">
        <v>16</v>
      </c>
      <c r="P18" s="37" t="s">
        <v>185</v>
      </c>
      <c r="Q18" s="50" t="s">
        <v>219</v>
      </c>
      <c r="R18" s="21" t="s">
        <v>219</v>
      </c>
      <c r="S18" s="15" t="s">
        <v>77</v>
      </c>
      <c r="T18" s="15" t="s">
        <v>19</v>
      </c>
      <c r="U18" s="15" t="s">
        <v>30</v>
      </c>
      <c r="V18" s="15" t="s">
        <v>79</v>
      </c>
      <c r="W18" s="16"/>
      <c r="X18" s="16"/>
      <c r="Y18" s="16"/>
      <c r="Z18" s="49"/>
    </row>
    <row r="19" spans="1:26" x14ac:dyDescent="0.25">
      <c r="A19" s="85">
        <v>13</v>
      </c>
      <c r="B19" s="87">
        <v>17</v>
      </c>
      <c r="C19" s="82" t="s">
        <v>81</v>
      </c>
      <c r="D19" s="10" t="s">
        <v>84</v>
      </c>
      <c r="E19" s="11" t="s">
        <v>82</v>
      </c>
      <c r="F19" s="5" t="s">
        <v>82</v>
      </c>
      <c r="G19" s="5" t="s">
        <v>81</v>
      </c>
      <c r="H19" s="5" t="s">
        <v>23</v>
      </c>
      <c r="I19" s="5" t="s">
        <v>33</v>
      </c>
      <c r="J19" s="5" t="s">
        <v>83</v>
      </c>
      <c r="K19" s="4"/>
      <c r="L19" s="4"/>
      <c r="M19" s="14"/>
      <c r="N19" s="38">
        <v>13</v>
      </c>
      <c r="O19" s="6">
        <v>17</v>
      </c>
      <c r="P19" s="37" t="s">
        <v>186</v>
      </c>
      <c r="Q19" s="50" t="s">
        <v>220</v>
      </c>
      <c r="R19" s="21" t="s">
        <v>220</v>
      </c>
      <c r="S19" s="15" t="s">
        <v>81</v>
      </c>
      <c r="T19" s="15" t="s">
        <v>23</v>
      </c>
      <c r="U19" s="15" t="s">
        <v>33</v>
      </c>
      <c r="V19" s="15" t="s">
        <v>83</v>
      </c>
      <c r="W19" s="16"/>
      <c r="X19" s="16"/>
      <c r="Y19" s="16"/>
      <c r="Z19" s="49"/>
    </row>
    <row r="20" spans="1:26" x14ac:dyDescent="0.25">
      <c r="A20" s="85">
        <v>14</v>
      </c>
      <c r="B20" s="87">
        <v>18</v>
      </c>
      <c r="C20" s="82" t="s">
        <v>85</v>
      </c>
      <c r="D20" s="10" t="s">
        <v>187</v>
      </c>
      <c r="E20" s="11" t="s">
        <v>14</v>
      </c>
      <c r="F20" s="4"/>
      <c r="G20" s="5" t="s">
        <v>85</v>
      </c>
      <c r="H20" s="9"/>
      <c r="I20" s="5" t="s">
        <v>86</v>
      </c>
      <c r="J20" s="9"/>
      <c r="K20" s="4"/>
      <c r="L20" s="5" t="s">
        <v>87</v>
      </c>
      <c r="M20" s="14"/>
      <c r="N20" s="38">
        <v>14</v>
      </c>
      <c r="O20" s="6">
        <v>18</v>
      </c>
      <c r="P20" s="37" t="s">
        <v>187</v>
      </c>
      <c r="Q20" s="42" t="s">
        <v>14</v>
      </c>
      <c r="R20" s="16"/>
      <c r="S20" s="15" t="s">
        <v>85</v>
      </c>
      <c r="T20" s="18"/>
      <c r="U20" s="15" t="s">
        <v>86</v>
      </c>
      <c r="V20" s="18"/>
      <c r="W20" s="16"/>
      <c r="X20" s="15" t="s">
        <v>87</v>
      </c>
      <c r="Y20" s="16"/>
      <c r="Z20" s="49"/>
    </row>
    <row r="21" spans="1:26" x14ac:dyDescent="0.25">
      <c r="A21" s="84"/>
      <c r="B21" s="87">
        <v>19</v>
      </c>
      <c r="C21" s="82" t="s">
        <v>88</v>
      </c>
      <c r="D21" s="10" t="s">
        <v>91</v>
      </c>
      <c r="E21" s="11" t="s">
        <v>89</v>
      </c>
      <c r="F21" s="5" t="s">
        <v>89</v>
      </c>
      <c r="G21" s="5" t="s">
        <v>88</v>
      </c>
      <c r="H21" s="5" t="s">
        <v>49</v>
      </c>
      <c r="I21" s="4"/>
      <c r="J21" s="4"/>
      <c r="K21" s="4"/>
      <c r="L21" s="5" t="s">
        <v>90</v>
      </c>
      <c r="M21" s="14"/>
      <c r="N21" s="36"/>
      <c r="O21" s="6">
        <v>19</v>
      </c>
      <c r="P21" s="37" t="s">
        <v>188</v>
      </c>
      <c r="Q21" s="50" t="s">
        <v>142</v>
      </c>
      <c r="R21" s="21" t="s">
        <v>142</v>
      </c>
      <c r="S21" s="15" t="s">
        <v>88</v>
      </c>
      <c r="T21" s="15" t="s">
        <v>49</v>
      </c>
      <c r="U21" s="22"/>
      <c r="V21" s="16"/>
      <c r="W21" s="16"/>
      <c r="X21" s="15" t="s">
        <v>90</v>
      </c>
      <c r="Y21" s="16"/>
      <c r="Z21" s="49"/>
    </row>
    <row r="22" spans="1:26" x14ac:dyDescent="0.25">
      <c r="A22" s="84"/>
      <c r="B22" s="87">
        <v>20</v>
      </c>
      <c r="C22" s="82" t="s">
        <v>95</v>
      </c>
      <c r="D22" s="10" t="s">
        <v>98</v>
      </c>
      <c r="E22" s="11" t="s">
        <v>96</v>
      </c>
      <c r="F22" s="5" t="s">
        <v>96</v>
      </c>
      <c r="G22" s="5" t="s">
        <v>95</v>
      </c>
      <c r="H22" s="5" t="s">
        <v>97</v>
      </c>
      <c r="I22" s="4"/>
      <c r="J22" s="4"/>
      <c r="K22" s="4"/>
      <c r="L22" s="4"/>
      <c r="M22" s="14"/>
      <c r="N22" s="36"/>
      <c r="O22" s="6">
        <v>20</v>
      </c>
      <c r="P22" s="37" t="s">
        <v>189</v>
      </c>
      <c r="Q22" s="51" t="s">
        <v>221</v>
      </c>
      <c r="R22" s="23" t="s">
        <v>221</v>
      </c>
      <c r="S22" s="15" t="s">
        <v>95</v>
      </c>
      <c r="T22" s="15" t="s">
        <v>97</v>
      </c>
      <c r="U22" s="18"/>
      <c r="V22" s="22"/>
      <c r="W22" s="16"/>
      <c r="X22" s="16"/>
      <c r="Y22" s="16"/>
      <c r="Z22" s="49"/>
    </row>
    <row r="23" spans="1:26" x14ac:dyDescent="0.25">
      <c r="A23" s="84"/>
      <c r="B23" s="87">
        <v>21</v>
      </c>
      <c r="C23" s="82" t="s">
        <v>99</v>
      </c>
      <c r="D23" s="10" t="s">
        <v>103</v>
      </c>
      <c r="E23" s="11" t="s">
        <v>100</v>
      </c>
      <c r="F23" s="5" t="s">
        <v>100</v>
      </c>
      <c r="G23" s="5" t="s">
        <v>99</v>
      </c>
      <c r="H23" s="5" t="s">
        <v>101</v>
      </c>
      <c r="I23" s="4"/>
      <c r="J23" s="4"/>
      <c r="K23" s="4"/>
      <c r="L23" s="5" t="s">
        <v>102</v>
      </c>
      <c r="M23" s="14"/>
      <c r="N23" s="36"/>
      <c r="O23" s="6">
        <v>21</v>
      </c>
      <c r="P23" s="37" t="s">
        <v>190</v>
      </c>
      <c r="Q23" s="51" t="s">
        <v>222</v>
      </c>
      <c r="R23" s="23" t="s">
        <v>222</v>
      </c>
      <c r="S23" s="15" t="s">
        <v>99</v>
      </c>
      <c r="T23" s="15" t="s">
        <v>101</v>
      </c>
      <c r="U23" s="18"/>
      <c r="V23" s="16"/>
      <c r="W23" s="16"/>
      <c r="X23" s="15" t="s">
        <v>102</v>
      </c>
      <c r="Y23" s="16"/>
      <c r="Z23" s="49"/>
    </row>
    <row r="24" spans="1:26" x14ac:dyDescent="0.25">
      <c r="A24" s="84"/>
      <c r="B24" s="87">
        <v>22</v>
      </c>
      <c r="C24" s="82" t="s">
        <v>104</v>
      </c>
      <c r="D24" s="10" t="s">
        <v>108</v>
      </c>
      <c r="E24" s="11" t="s">
        <v>105</v>
      </c>
      <c r="F24" s="5" t="s">
        <v>105</v>
      </c>
      <c r="G24" s="5" t="s">
        <v>104</v>
      </c>
      <c r="H24" s="5" t="s">
        <v>106</v>
      </c>
      <c r="I24" s="4"/>
      <c r="J24" s="4"/>
      <c r="K24" s="4"/>
      <c r="L24" s="5" t="s">
        <v>107</v>
      </c>
      <c r="M24" s="14"/>
      <c r="N24" s="36"/>
      <c r="O24" s="6">
        <v>22</v>
      </c>
      <c r="P24" s="37" t="s">
        <v>191</v>
      </c>
      <c r="Q24" s="50" t="s">
        <v>155</v>
      </c>
      <c r="R24" s="21" t="s">
        <v>155</v>
      </c>
      <c r="S24" s="15" t="s">
        <v>104</v>
      </c>
      <c r="T24" s="15" t="s">
        <v>106</v>
      </c>
      <c r="U24" s="18"/>
      <c r="V24" s="16"/>
      <c r="W24" s="16"/>
      <c r="X24" s="15" t="s">
        <v>107</v>
      </c>
      <c r="Y24" s="16"/>
      <c r="Z24" s="49"/>
    </row>
    <row r="25" spans="1:26" x14ac:dyDescent="0.25">
      <c r="A25" s="85">
        <v>15</v>
      </c>
      <c r="B25" s="87">
        <v>23</v>
      </c>
      <c r="C25" s="82" t="s">
        <v>109</v>
      </c>
      <c r="D25" s="10" t="s">
        <v>114</v>
      </c>
      <c r="E25" s="11" t="s">
        <v>110</v>
      </c>
      <c r="F25" s="5" t="s">
        <v>110</v>
      </c>
      <c r="G25" s="5" t="s">
        <v>109</v>
      </c>
      <c r="H25" s="5" t="s">
        <v>111</v>
      </c>
      <c r="I25" s="5" t="s">
        <v>50</v>
      </c>
      <c r="J25" s="5" t="s">
        <v>112</v>
      </c>
      <c r="K25" s="4"/>
      <c r="L25" s="5" t="s">
        <v>113</v>
      </c>
      <c r="M25" s="14"/>
      <c r="N25" s="38">
        <v>15</v>
      </c>
      <c r="O25" s="6">
        <v>23</v>
      </c>
      <c r="P25" s="37" t="s">
        <v>114</v>
      </c>
      <c r="Q25" s="42" t="s">
        <v>110</v>
      </c>
      <c r="R25" s="15" t="s">
        <v>110</v>
      </c>
      <c r="S25" s="15" t="s">
        <v>109</v>
      </c>
      <c r="T25" s="15" t="s">
        <v>111</v>
      </c>
      <c r="U25" s="15" t="s">
        <v>50</v>
      </c>
      <c r="V25" s="15" t="s">
        <v>112</v>
      </c>
      <c r="W25" s="16"/>
      <c r="X25" s="15" t="s">
        <v>113</v>
      </c>
      <c r="Y25" s="16"/>
      <c r="Z25" s="49"/>
    </row>
    <row r="26" spans="1:26" x14ac:dyDescent="0.25">
      <c r="A26" s="85">
        <v>16</v>
      </c>
      <c r="B26" s="87">
        <v>24</v>
      </c>
      <c r="C26" s="82" t="s">
        <v>115</v>
      </c>
      <c r="D26" s="10" t="s">
        <v>120</v>
      </c>
      <c r="E26" s="11" t="s">
        <v>116</v>
      </c>
      <c r="F26" s="5" t="s">
        <v>116</v>
      </c>
      <c r="G26" s="5" t="s">
        <v>115</v>
      </c>
      <c r="H26" s="5" t="s">
        <v>117</v>
      </c>
      <c r="I26" s="5" t="s">
        <v>55</v>
      </c>
      <c r="J26" s="5" t="s">
        <v>118</v>
      </c>
      <c r="K26" s="4"/>
      <c r="L26" s="5" t="s">
        <v>119</v>
      </c>
      <c r="M26" s="14"/>
      <c r="N26" s="38">
        <v>16</v>
      </c>
      <c r="O26" s="6">
        <v>24</v>
      </c>
      <c r="P26" s="37" t="s">
        <v>120</v>
      </c>
      <c r="Q26" s="42" t="s">
        <v>116</v>
      </c>
      <c r="R26" s="15" t="s">
        <v>116</v>
      </c>
      <c r="S26" s="15" t="s">
        <v>115</v>
      </c>
      <c r="T26" s="15" t="s">
        <v>117</v>
      </c>
      <c r="U26" s="15" t="s">
        <v>55</v>
      </c>
      <c r="V26" s="15" t="s">
        <v>118</v>
      </c>
      <c r="W26" s="16"/>
      <c r="X26" s="15" t="s">
        <v>119</v>
      </c>
      <c r="Y26" s="16"/>
      <c r="Z26" s="49"/>
    </row>
    <row r="27" spans="1:26" x14ac:dyDescent="0.25">
      <c r="A27" s="85">
        <v>17</v>
      </c>
      <c r="B27" s="87">
        <v>25</v>
      </c>
      <c r="C27" s="82" t="s">
        <v>121</v>
      </c>
      <c r="D27" s="10" t="s">
        <v>226</v>
      </c>
      <c r="E27" s="11" t="s">
        <v>232</v>
      </c>
      <c r="F27" s="5" t="s">
        <v>232</v>
      </c>
      <c r="G27" s="5" t="s">
        <v>121</v>
      </c>
      <c r="H27" s="5" t="s">
        <v>79</v>
      </c>
      <c r="I27" s="5" t="s">
        <v>74</v>
      </c>
      <c r="J27" s="5" t="s">
        <v>122</v>
      </c>
      <c r="K27" s="5" t="s">
        <v>30</v>
      </c>
      <c r="L27" s="4"/>
      <c r="M27" s="14"/>
      <c r="N27" s="38">
        <v>17</v>
      </c>
      <c r="O27" s="6">
        <v>25</v>
      </c>
      <c r="P27" s="37" t="s">
        <v>192</v>
      </c>
      <c r="Q27" s="52" t="s">
        <v>223</v>
      </c>
      <c r="R27" s="24" t="s">
        <v>223</v>
      </c>
      <c r="S27" s="15" t="s">
        <v>121</v>
      </c>
      <c r="T27" s="15" t="s">
        <v>79</v>
      </c>
      <c r="U27" s="15" t="s">
        <v>74</v>
      </c>
      <c r="V27" s="15" t="s">
        <v>122</v>
      </c>
      <c r="W27" s="15" t="s">
        <v>30</v>
      </c>
      <c r="X27" s="16"/>
      <c r="Y27" s="16"/>
      <c r="Z27" s="49"/>
    </row>
    <row r="28" spans="1:26" x14ac:dyDescent="0.25">
      <c r="A28" s="85">
        <v>18</v>
      </c>
      <c r="B28" s="87">
        <v>26</v>
      </c>
      <c r="C28" s="82" t="s">
        <v>123</v>
      </c>
      <c r="D28" s="10" t="s">
        <v>227</v>
      </c>
      <c r="E28" s="11" t="s">
        <v>224</v>
      </c>
      <c r="F28" s="5" t="s">
        <v>224</v>
      </c>
      <c r="G28" s="5" t="s">
        <v>123</v>
      </c>
      <c r="H28" s="5" t="s">
        <v>83</v>
      </c>
      <c r="I28" s="5" t="s">
        <v>69</v>
      </c>
      <c r="J28" s="5" t="s">
        <v>124</v>
      </c>
      <c r="K28" s="5" t="s">
        <v>33</v>
      </c>
      <c r="L28" s="4"/>
      <c r="M28" s="14"/>
      <c r="N28" s="38">
        <v>18</v>
      </c>
      <c r="O28" s="6">
        <v>26</v>
      </c>
      <c r="P28" s="37" t="s">
        <v>193</v>
      </c>
      <c r="Q28" s="42" t="s">
        <v>224</v>
      </c>
      <c r="R28" s="15" t="s">
        <v>224</v>
      </c>
      <c r="S28" s="15" t="s">
        <v>123</v>
      </c>
      <c r="T28" s="15" t="s">
        <v>83</v>
      </c>
      <c r="U28" s="15" t="s">
        <v>69</v>
      </c>
      <c r="V28" s="15" t="s">
        <v>124</v>
      </c>
      <c r="W28" s="15" t="s">
        <v>33</v>
      </c>
      <c r="X28" s="16"/>
      <c r="Y28" s="16"/>
      <c r="Z28" s="48" t="s">
        <v>217</v>
      </c>
    </row>
    <row r="29" spans="1:26" x14ac:dyDescent="0.25">
      <c r="A29" s="84"/>
      <c r="B29" s="87">
        <v>27</v>
      </c>
      <c r="C29" s="82" t="s">
        <v>125</v>
      </c>
      <c r="D29" s="10" t="s">
        <v>128</v>
      </c>
      <c r="E29" s="11" t="s">
        <v>14</v>
      </c>
      <c r="F29" s="4"/>
      <c r="G29" s="5" t="s">
        <v>125</v>
      </c>
      <c r="H29" s="5" t="s">
        <v>60</v>
      </c>
      <c r="I29" s="5" t="s">
        <v>126</v>
      </c>
      <c r="J29" s="4"/>
      <c r="K29" s="4"/>
      <c r="L29" s="5" t="s">
        <v>127</v>
      </c>
      <c r="M29" s="14"/>
      <c r="N29" s="36"/>
      <c r="O29" s="6">
        <v>27</v>
      </c>
      <c r="P29" s="37" t="s">
        <v>128</v>
      </c>
      <c r="Q29" s="42" t="s">
        <v>14</v>
      </c>
      <c r="R29" s="16"/>
      <c r="S29" s="15" t="s">
        <v>125</v>
      </c>
      <c r="T29" s="15" t="s">
        <v>60</v>
      </c>
      <c r="U29" s="15" t="s">
        <v>126</v>
      </c>
      <c r="V29" s="16"/>
      <c r="W29" s="16"/>
      <c r="X29" s="15" t="s">
        <v>127</v>
      </c>
      <c r="Y29" s="16"/>
      <c r="Z29" s="44"/>
    </row>
    <row r="30" spans="1:26" x14ac:dyDescent="0.25">
      <c r="A30" s="84"/>
      <c r="B30" s="87">
        <v>28</v>
      </c>
      <c r="C30" s="82" t="s">
        <v>129</v>
      </c>
      <c r="D30" s="10" t="s">
        <v>132</v>
      </c>
      <c r="E30" s="11" t="s">
        <v>14</v>
      </c>
      <c r="F30" s="4"/>
      <c r="G30" s="5" t="s">
        <v>129</v>
      </c>
      <c r="H30" s="5" t="s">
        <v>61</v>
      </c>
      <c r="I30" s="5" t="s">
        <v>130</v>
      </c>
      <c r="J30" s="4"/>
      <c r="K30" s="4"/>
      <c r="L30" s="5" t="s">
        <v>131</v>
      </c>
      <c r="M30" s="14"/>
      <c r="N30" s="36"/>
      <c r="O30" s="6">
        <v>28</v>
      </c>
      <c r="P30" s="37" t="s">
        <v>132</v>
      </c>
      <c r="Q30" s="42" t="s">
        <v>14</v>
      </c>
      <c r="R30" s="16"/>
      <c r="S30" s="15" t="s">
        <v>129</v>
      </c>
      <c r="T30" s="15" t="s">
        <v>61</v>
      </c>
      <c r="U30" s="15" t="s">
        <v>130</v>
      </c>
      <c r="V30" s="16"/>
      <c r="W30" s="16"/>
      <c r="X30" s="15" t="s">
        <v>131</v>
      </c>
      <c r="Y30" s="16"/>
      <c r="Z30" s="44"/>
    </row>
    <row r="31" spans="1:26" x14ac:dyDescent="0.25">
      <c r="A31" s="85">
        <v>19</v>
      </c>
      <c r="B31" s="87">
        <v>29</v>
      </c>
      <c r="C31" s="82" t="s">
        <v>133</v>
      </c>
      <c r="D31" s="10" t="s">
        <v>211</v>
      </c>
      <c r="E31" s="11" t="s">
        <v>134</v>
      </c>
      <c r="F31" s="5" t="s">
        <v>134</v>
      </c>
      <c r="G31" s="5" t="s">
        <v>133</v>
      </c>
      <c r="H31" s="5" t="s">
        <v>47</v>
      </c>
      <c r="I31" s="4"/>
      <c r="J31" s="9"/>
      <c r="K31" s="4"/>
      <c r="L31" s="5" t="s">
        <v>15</v>
      </c>
      <c r="M31" s="14"/>
      <c r="N31" s="38">
        <v>19</v>
      </c>
      <c r="O31" s="6">
        <v>29</v>
      </c>
      <c r="P31" s="37" t="s">
        <v>194</v>
      </c>
      <c r="Q31" s="42" t="s">
        <v>134</v>
      </c>
      <c r="R31" s="15" t="s">
        <v>134</v>
      </c>
      <c r="S31" s="15" t="s">
        <v>133</v>
      </c>
      <c r="T31" s="15" t="s">
        <v>47</v>
      </c>
      <c r="U31" s="16"/>
      <c r="V31" s="19"/>
      <c r="W31" s="16"/>
      <c r="X31" s="15" t="s">
        <v>15</v>
      </c>
      <c r="Y31" s="16"/>
      <c r="Z31" s="48" t="s">
        <v>218</v>
      </c>
    </row>
    <row r="32" spans="1:26" x14ac:dyDescent="0.25">
      <c r="A32" s="85">
        <v>20</v>
      </c>
      <c r="B32" s="87">
        <v>30</v>
      </c>
      <c r="C32" s="82" t="s">
        <v>37</v>
      </c>
      <c r="D32" s="10" t="s">
        <v>37</v>
      </c>
      <c r="E32" s="11" t="s">
        <v>37</v>
      </c>
      <c r="F32" s="5" t="s">
        <v>37</v>
      </c>
      <c r="G32" s="4"/>
      <c r="H32" s="4"/>
      <c r="I32" s="4"/>
      <c r="J32" s="4"/>
      <c r="K32" s="4"/>
      <c r="L32" s="4"/>
      <c r="M32" s="14"/>
      <c r="N32" s="38">
        <v>20</v>
      </c>
      <c r="O32" s="6">
        <v>30</v>
      </c>
      <c r="P32" s="37" t="s">
        <v>37</v>
      </c>
      <c r="Q32" s="42" t="s">
        <v>37</v>
      </c>
      <c r="R32" s="15" t="s">
        <v>37</v>
      </c>
      <c r="S32" s="16"/>
      <c r="T32" s="16"/>
      <c r="U32" s="16"/>
      <c r="V32" s="16"/>
      <c r="W32" s="16"/>
      <c r="X32" s="16"/>
      <c r="Y32" s="16"/>
      <c r="Z32" s="49"/>
    </row>
    <row r="33" spans="1:26" x14ac:dyDescent="0.25">
      <c r="A33" s="85">
        <v>21</v>
      </c>
      <c r="B33" s="87">
        <v>31</v>
      </c>
      <c r="C33" s="82" t="s">
        <v>35</v>
      </c>
      <c r="D33" s="10" t="s">
        <v>35</v>
      </c>
      <c r="E33" s="11" t="s">
        <v>35</v>
      </c>
      <c r="F33" s="5" t="s">
        <v>35</v>
      </c>
      <c r="G33" s="4"/>
      <c r="H33" s="4"/>
      <c r="I33" s="4"/>
      <c r="J33" s="4"/>
      <c r="K33" s="4"/>
      <c r="L33" s="4"/>
      <c r="M33" s="14"/>
      <c r="N33" s="38">
        <v>21</v>
      </c>
      <c r="O33" s="6">
        <v>31</v>
      </c>
      <c r="P33" s="37" t="s">
        <v>35</v>
      </c>
      <c r="Q33" s="42" t="s">
        <v>35</v>
      </c>
      <c r="R33" s="15" t="s">
        <v>35</v>
      </c>
      <c r="S33" s="16"/>
      <c r="T33" s="16"/>
      <c r="U33" s="16"/>
      <c r="V33" s="16"/>
      <c r="W33" s="16"/>
      <c r="X33" s="16"/>
      <c r="Y33" s="16"/>
      <c r="Z33" s="49"/>
    </row>
    <row r="34" spans="1:26" x14ac:dyDescent="0.25">
      <c r="A34" s="84"/>
      <c r="B34" s="87">
        <v>32</v>
      </c>
      <c r="C34" s="82" t="s">
        <v>135</v>
      </c>
      <c r="D34" s="10" t="s">
        <v>195</v>
      </c>
      <c r="E34" s="11" t="s">
        <v>14</v>
      </c>
      <c r="F34" s="5"/>
      <c r="G34" s="5" t="s">
        <v>135</v>
      </c>
      <c r="H34" s="5" t="s">
        <v>49</v>
      </c>
      <c r="I34" s="9"/>
      <c r="J34" s="4"/>
      <c r="K34" s="4"/>
      <c r="L34" s="4"/>
      <c r="M34" s="14"/>
      <c r="N34" s="36"/>
      <c r="O34" s="6">
        <v>32</v>
      </c>
      <c r="P34" s="37" t="s">
        <v>195</v>
      </c>
      <c r="Q34" s="42" t="s">
        <v>14</v>
      </c>
      <c r="R34" s="16"/>
      <c r="S34" s="15" t="s">
        <v>135</v>
      </c>
      <c r="T34" s="15" t="s">
        <v>49</v>
      </c>
      <c r="U34" s="22"/>
      <c r="V34" s="22"/>
      <c r="W34" s="16"/>
      <c r="X34" s="16"/>
      <c r="Y34" s="16"/>
      <c r="Z34" s="49"/>
    </row>
    <row r="35" spans="1:26" x14ac:dyDescent="0.25">
      <c r="A35" s="85">
        <v>22</v>
      </c>
      <c r="B35" s="87">
        <v>33</v>
      </c>
      <c r="C35" s="82" t="s">
        <v>136</v>
      </c>
      <c r="D35" s="10" t="s">
        <v>228</v>
      </c>
      <c r="E35" s="11" t="s">
        <v>14</v>
      </c>
      <c r="F35" s="5"/>
      <c r="G35" s="5" t="s">
        <v>136</v>
      </c>
      <c r="H35" s="9"/>
      <c r="I35" s="9"/>
      <c r="J35" s="5" t="s">
        <v>26</v>
      </c>
      <c r="K35" s="5" t="s">
        <v>31</v>
      </c>
      <c r="L35" s="5" t="s">
        <v>137</v>
      </c>
      <c r="M35" s="10" t="s">
        <v>138</v>
      </c>
      <c r="N35" s="38">
        <v>22</v>
      </c>
      <c r="O35" s="6">
        <v>33</v>
      </c>
      <c r="P35" s="37" t="s">
        <v>196</v>
      </c>
      <c r="Q35" s="42" t="s">
        <v>14</v>
      </c>
      <c r="R35" s="16"/>
      <c r="S35" s="15" t="s">
        <v>136</v>
      </c>
      <c r="T35" s="22"/>
      <c r="U35" s="22"/>
      <c r="V35" s="15" t="s">
        <v>26</v>
      </c>
      <c r="W35" s="15" t="s">
        <v>31</v>
      </c>
      <c r="X35" s="15" t="s">
        <v>137</v>
      </c>
      <c r="Y35" s="15" t="s">
        <v>138</v>
      </c>
      <c r="Z35" s="48" t="s">
        <v>74</v>
      </c>
    </row>
    <row r="36" spans="1:26" x14ac:dyDescent="0.25">
      <c r="A36" s="84"/>
      <c r="B36" s="87">
        <v>34</v>
      </c>
      <c r="C36" s="82" t="s">
        <v>139</v>
      </c>
      <c r="D36" s="10" t="s">
        <v>229</v>
      </c>
      <c r="E36" s="11" t="s">
        <v>14</v>
      </c>
      <c r="F36" s="5"/>
      <c r="G36" s="5" t="s">
        <v>139</v>
      </c>
      <c r="H36" s="9"/>
      <c r="I36" s="9"/>
      <c r="J36" s="5" t="s">
        <v>28</v>
      </c>
      <c r="K36" s="5" t="s">
        <v>34</v>
      </c>
      <c r="L36" s="5" t="s">
        <v>140</v>
      </c>
      <c r="M36" s="14"/>
      <c r="N36" s="36"/>
      <c r="O36" s="6">
        <v>34</v>
      </c>
      <c r="P36" s="37" t="s">
        <v>197</v>
      </c>
      <c r="Q36" s="42" t="s">
        <v>14</v>
      </c>
      <c r="R36" s="16"/>
      <c r="S36" s="15" t="s">
        <v>139</v>
      </c>
      <c r="T36" s="22"/>
      <c r="U36" s="22"/>
      <c r="V36" s="15" t="s">
        <v>28</v>
      </c>
      <c r="W36" s="15" t="s">
        <v>34</v>
      </c>
      <c r="X36" s="15" t="s">
        <v>140</v>
      </c>
      <c r="Y36" s="16"/>
      <c r="Z36" s="48" t="s">
        <v>157</v>
      </c>
    </row>
    <row r="37" spans="1:26" x14ac:dyDescent="0.25">
      <c r="A37" s="85">
        <v>23</v>
      </c>
      <c r="B37" s="87">
        <v>35</v>
      </c>
      <c r="C37" s="82" t="s">
        <v>141</v>
      </c>
      <c r="D37" s="10" t="s">
        <v>230</v>
      </c>
      <c r="E37" s="11" t="s">
        <v>14</v>
      </c>
      <c r="F37" s="5"/>
      <c r="G37" s="5" t="s">
        <v>141</v>
      </c>
      <c r="H37" s="9"/>
      <c r="I37" s="5" t="s">
        <v>40</v>
      </c>
      <c r="J37" s="9"/>
      <c r="K37" s="5" t="s">
        <v>26</v>
      </c>
      <c r="L37" s="5" t="s">
        <v>79</v>
      </c>
      <c r="M37" s="14"/>
      <c r="N37" s="38">
        <v>23</v>
      </c>
      <c r="O37" s="6">
        <v>35</v>
      </c>
      <c r="P37" s="37" t="s">
        <v>198</v>
      </c>
      <c r="Q37" s="42" t="s">
        <v>14</v>
      </c>
      <c r="R37" s="16"/>
      <c r="S37" s="15" t="s">
        <v>141</v>
      </c>
      <c r="T37" s="22"/>
      <c r="U37" s="15" t="s">
        <v>40</v>
      </c>
      <c r="V37" s="22"/>
      <c r="W37" s="15" t="s">
        <v>26</v>
      </c>
      <c r="X37" s="15" t="s">
        <v>79</v>
      </c>
      <c r="Y37" s="16"/>
      <c r="Z37" s="48" t="s">
        <v>50</v>
      </c>
    </row>
    <row r="38" spans="1:26" x14ac:dyDescent="0.25">
      <c r="A38" s="85">
        <v>24</v>
      </c>
      <c r="B38" s="87">
        <v>36</v>
      </c>
      <c r="C38" s="82" t="s">
        <v>143</v>
      </c>
      <c r="D38" s="10" t="s">
        <v>231</v>
      </c>
      <c r="E38" s="11" t="s">
        <v>14</v>
      </c>
      <c r="F38" s="5"/>
      <c r="G38" s="5" t="s">
        <v>143</v>
      </c>
      <c r="H38" s="9"/>
      <c r="I38" s="5" t="s">
        <v>44</v>
      </c>
      <c r="J38" s="9"/>
      <c r="K38" s="5" t="s">
        <v>28</v>
      </c>
      <c r="L38" s="5" t="s">
        <v>83</v>
      </c>
      <c r="M38" s="14"/>
      <c r="N38" s="38">
        <v>24</v>
      </c>
      <c r="O38" s="6">
        <v>36</v>
      </c>
      <c r="P38" s="37" t="s">
        <v>199</v>
      </c>
      <c r="Q38" s="42" t="s">
        <v>14</v>
      </c>
      <c r="R38" s="16"/>
      <c r="S38" s="15" t="s">
        <v>143</v>
      </c>
      <c r="T38" s="22"/>
      <c r="U38" s="15" t="s">
        <v>44</v>
      </c>
      <c r="V38" s="22"/>
      <c r="W38" s="15" t="s">
        <v>28</v>
      </c>
      <c r="X38" s="15" t="s">
        <v>83</v>
      </c>
      <c r="Y38" s="16"/>
      <c r="Z38" s="48" t="s">
        <v>55</v>
      </c>
    </row>
    <row r="39" spans="1:26" x14ac:dyDescent="0.25">
      <c r="A39" s="85">
        <v>25</v>
      </c>
      <c r="B39" s="87">
        <v>37</v>
      </c>
      <c r="C39" s="82" t="s">
        <v>146</v>
      </c>
      <c r="D39" s="10" t="s">
        <v>149</v>
      </c>
      <c r="E39" s="11" t="s">
        <v>147</v>
      </c>
      <c r="F39" s="5" t="s">
        <v>147</v>
      </c>
      <c r="G39" s="5" t="s">
        <v>146</v>
      </c>
      <c r="H39" s="5" t="s">
        <v>111</v>
      </c>
      <c r="I39" s="5" t="s">
        <v>144</v>
      </c>
      <c r="J39" s="5" t="s">
        <v>16</v>
      </c>
      <c r="K39" s="5" t="s">
        <v>112</v>
      </c>
      <c r="L39" s="5" t="s">
        <v>127</v>
      </c>
      <c r="M39" s="10" t="s">
        <v>148</v>
      </c>
      <c r="N39" s="38">
        <v>25</v>
      </c>
      <c r="O39" s="6">
        <v>37</v>
      </c>
      <c r="P39" s="37" t="s">
        <v>200</v>
      </c>
      <c r="Q39" s="42" t="s">
        <v>147</v>
      </c>
      <c r="R39" s="15" t="s">
        <v>147</v>
      </c>
      <c r="S39" s="15" t="s">
        <v>146</v>
      </c>
      <c r="T39" s="15" t="s">
        <v>111</v>
      </c>
      <c r="U39" s="15" t="s">
        <v>144</v>
      </c>
      <c r="V39" s="15" t="s">
        <v>16</v>
      </c>
      <c r="W39" s="15" t="s">
        <v>112</v>
      </c>
      <c r="X39" s="15" t="s">
        <v>127</v>
      </c>
      <c r="Y39" s="15" t="s">
        <v>148</v>
      </c>
      <c r="Z39" s="48" t="s">
        <v>68</v>
      </c>
    </row>
    <row r="40" spans="1:26" x14ac:dyDescent="0.25">
      <c r="A40" s="85">
        <v>26</v>
      </c>
      <c r="B40" s="87">
        <v>38</v>
      </c>
      <c r="C40" s="82" t="s">
        <v>150</v>
      </c>
      <c r="D40" s="10" t="s">
        <v>212</v>
      </c>
      <c r="E40" s="11" t="s">
        <v>151</v>
      </c>
      <c r="F40" s="5" t="s">
        <v>151</v>
      </c>
      <c r="G40" s="5" t="s">
        <v>150</v>
      </c>
      <c r="H40" s="9"/>
      <c r="I40" s="5" t="s">
        <v>145</v>
      </c>
      <c r="J40" s="5" t="s">
        <v>17</v>
      </c>
      <c r="K40" s="9"/>
      <c r="L40" s="5" t="s">
        <v>131</v>
      </c>
      <c r="M40" s="10" t="s">
        <v>152</v>
      </c>
      <c r="N40" s="38">
        <v>26</v>
      </c>
      <c r="O40" s="6">
        <v>38</v>
      </c>
      <c r="P40" s="37" t="s">
        <v>201</v>
      </c>
      <c r="Q40" s="50" t="s">
        <v>225</v>
      </c>
      <c r="R40" s="21" t="s">
        <v>225</v>
      </c>
      <c r="S40" s="15" t="s">
        <v>150</v>
      </c>
      <c r="T40" s="22"/>
      <c r="U40" s="15" t="s">
        <v>145</v>
      </c>
      <c r="V40" s="15" t="s">
        <v>17</v>
      </c>
      <c r="W40" s="22"/>
      <c r="X40" s="15" t="s">
        <v>131</v>
      </c>
      <c r="Y40" s="15" t="s">
        <v>152</v>
      </c>
      <c r="Z40" s="49"/>
    </row>
    <row r="41" spans="1:26" x14ac:dyDescent="0.25">
      <c r="A41" s="84"/>
      <c r="B41" s="87">
        <v>39</v>
      </c>
      <c r="C41" s="82" t="s">
        <v>153</v>
      </c>
      <c r="D41" s="10" t="s">
        <v>202</v>
      </c>
      <c r="E41" s="11" t="s">
        <v>14</v>
      </c>
      <c r="F41" s="5"/>
      <c r="G41" s="5" t="s">
        <v>153</v>
      </c>
      <c r="H41" s="5" t="s">
        <v>60</v>
      </c>
      <c r="I41" s="9"/>
      <c r="J41" s="9"/>
      <c r="K41" s="4"/>
      <c r="L41" s="5" t="s">
        <v>112</v>
      </c>
      <c r="M41" s="14"/>
      <c r="N41" s="36"/>
      <c r="O41" s="6">
        <v>39</v>
      </c>
      <c r="P41" s="37" t="s">
        <v>202</v>
      </c>
      <c r="Q41" s="42" t="s">
        <v>14</v>
      </c>
      <c r="R41" s="16"/>
      <c r="S41" s="15" t="s">
        <v>153</v>
      </c>
      <c r="T41" s="15" t="s">
        <v>60</v>
      </c>
      <c r="U41" s="22"/>
      <c r="V41" s="22"/>
      <c r="W41" s="16"/>
      <c r="X41" s="15" t="s">
        <v>112</v>
      </c>
      <c r="Y41" s="16"/>
      <c r="Z41" s="49"/>
    </row>
    <row r="42" spans="1:26" x14ac:dyDescent="0.25">
      <c r="A42" s="84"/>
      <c r="B42" s="87">
        <v>40</v>
      </c>
      <c r="C42" s="82" t="s">
        <v>154</v>
      </c>
      <c r="D42" s="10" t="s">
        <v>203</v>
      </c>
      <c r="E42" s="11" t="s">
        <v>14</v>
      </c>
      <c r="F42" s="5"/>
      <c r="G42" s="5" t="s">
        <v>154</v>
      </c>
      <c r="H42" s="5" t="s">
        <v>61</v>
      </c>
      <c r="I42" s="9"/>
      <c r="J42" s="9"/>
      <c r="K42" s="4"/>
      <c r="L42" s="5" t="s">
        <v>118</v>
      </c>
      <c r="M42" s="14"/>
      <c r="N42" s="36"/>
      <c r="O42" s="6">
        <v>40</v>
      </c>
      <c r="P42" s="37" t="s">
        <v>203</v>
      </c>
      <c r="Q42" s="42" t="s">
        <v>14</v>
      </c>
      <c r="R42" s="16"/>
      <c r="S42" s="15" t="s">
        <v>154</v>
      </c>
      <c r="T42" s="15" t="s">
        <v>61</v>
      </c>
      <c r="U42" s="22"/>
      <c r="V42" s="22"/>
      <c r="W42" s="16"/>
      <c r="X42" s="15" t="s">
        <v>118</v>
      </c>
      <c r="Y42" s="16"/>
      <c r="Z42" s="49"/>
    </row>
    <row r="43" spans="1:26" x14ac:dyDescent="0.25">
      <c r="A43" s="84"/>
      <c r="B43" s="87">
        <v>41</v>
      </c>
      <c r="C43" s="82" t="s">
        <v>158</v>
      </c>
      <c r="D43" s="10" t="s">
        <v>214</v>
      </c>
      <c r="E43" s="11" t="s">
        <v>14</v>
      </c>
      <c r="F43" s="4"/>
      <c r="G43" s="5" t="s">
        <v>158</v>
      </c>
      <c r="H43" s="5" t="s">
        <v>90</v>
      </c>
      <c r="I43" s="9"/>
      <c r="J43" s="4"/>
      <c r="K43" s="4"/>
      <c r="L43" s="9"/>
      <c r="M43" s="14"/>
      <c r="N43" s="36"/>
      <c r="O43" s="6">
        <v>41</v>
      </c>
      <c r="P43" s="37" t="s">
        <v>204</v>
      </c>
      <c r="Q43" s="42" t="s">
        <v>14</v>
      </c>
      <c r="R43" s="16"/>
      <c r="S43" s="15" t="s">
        <v>158</v>
      </c>
      <c r="T43" s="15" t="s">
        <v>90</v>
      </c>
      <c r="U43" s="22"/>
      <c r="V43" s="16"/>
      <c r="W43" s="16"/>
      <c r="X43" s="22"/>
      <c r="Y43" s="16"/>
      <c r="Z43" s="48" t="s">
        <v>44</v>
      </c>
    </row>
    <row r="44" spans="1:26" x14ac:dyDescent="0.25">
      <c r="A44" s="84"/>
      <c r="B44" s="87">
        <v>42</v>
      </c>
      <c r="C44" s="82" t="s">
        <v>159</v>
      </c>
      <c r="D44" s="10" t="s">
        <v>213</v>
      </c>
      <c r="E44" s="11" t="s">
        <v>14</v>
      </c>
      <c r="F44" s="4"/>
      <c r="G44" s="5" t="s">
        <v>159</v>
      </c>
      <c r="H44" s="5" t="s">
        <v>92</v>
      </c>
      <c r="I44" s="9"/>
      <c r="J44" s="4"/>
      <c r="K44" s="4"/>
      <c r="L44" s="9"/>
      <c r="M44" s="14"/>
      <c r="N44" s="36"/>
      <c r="O44" s="6">
        <v>42</v>
      </c>
      <c r="P44" s="37" t="s">
        <v>205</v>
      </c>
      <c r="Q44" s="42" t="s">
        <v>14</v>
      </c>
      <c r="R44" s="16"/>
      <c r="S44" s="15" t="s">
        <v>159</v>
      </c>
      <c r="T44" s="15" t="s">
        <v>92</v>
      </c>
      <c r="U44" s="22"/>
      <c r="V44" s="16"/>
      <c r="W44" s="16"/>
      <c r="X44" s="22"/>
      <c r="Y44" s="16"/>
      <c r="Z44" s="48" t="s">
        <v>40</v>
      </c>
    </row>
    <row r="45" spans="1:26" x14ac:dyDescent="0.25">
      <c r="A45" s="85">
        <v>27</v>
      </c>
      <c r="B45" s="87">
        <v>43</v>
      </c>
      <c r="C45" s="82" t="s">
        <v>160</v>
      </c>
      <c r="D45" s="10" t="s">
        <v>161</v>
      </c>
      <c r="E45" s="11" t="s">
        <v>14</v>
      </c>
      <c r="F45" s="4"/>
      <c r="G45" s="5" t="s">
        <v>160</v>
      </c>
      <c r="H45" s="5" t="s">
        <v>93</v>
      </c>
      <c r="I45" s="4"/>
      <c r="J45" s="5" t="s">
        <v>20</v>
      </c>
      <c r="K45" s="5" t="s">
        <v>51</v>
      </c>
      <c r="L45" s="4"/>
      <c r="M45" s="14"/>
      <c r="N45" s="38">
        <v>27</v>
      </c>
      <c r="O45" s="6">
        <v>43</v>
      </c>
      <c r="P45" s="37" t="s">
        <v>161</v>
      </c>
      <c r="Q45" s="42" t="s">
        <v>14</v>
      </c>
      <c r="R45" s="16"/>
      <c r="S45" s="15" t="s">
        <v>160</v>
      </c>
      <c r="T45" s="15" t="s">
        <v>93</v>
      </c>
      <c r="U45" s="16"/>
      <c r="V45" s="15" t="s">
        <v>20</v>
      </c>
      <c r="W45" s="15" t="s">
        <v>51</v>
      </c>
      <c r="X45" s="16"/>
      <c r="Y45" s="16"/>
      <c r="Z45" s="49"/>
    </row>
    <row r="46" spans="1:26" x14ac:dyDescent="0.25">
      <c r="A46" s="85">
        <v>28</v>
      </c>
      <c r="B46" s="87">
        <v>44</v>
      </c>
      <c r="C46" s="82" t="s">
        <v>162</v>
      </c>
      <c r="D46" s="10" t="s">
        <v>206</v>
      </c>
      <c r="E46" s="11" t="s">
        <v>210</v>
      </c>
      <c r="F46" s="4"/>
      <c r="G46" s="5" t="s">
        <v>162</v>
      </c>
      <c r="H46" s="5" t="s">
        <v>94</v>
      </c>
      <c r="I46" s="4"/>
      <c r="J46" s="5" t="s">
        <v>24</v>
      </c>
      <c r="K46" s="4"/>
      <c r="L46" s="4"/>
      <c r="M46" s="10" t="s">
        <v>210</v>
      </c>
      <c r="N46" s="38">
        <v>28</v>
      </c>
      <c r="O46" s="6">
        <v>44</v>
      </c>
      <c r="P46" s="37" t="s">
        <v>206</v>
      </c>
      <c r="Q46" s="42" t="s">
        <v>210</v>
      </c>
      <c r="R46" s="16"/>
      <c r="S46" s="15" t="s">
        <v>162</v>
      </c>
      <c r="T46" s="15" t="s">
        <v>94</v>
      </c>
      <c r="U46" s="16"/>
      <c r="V46" s="15" t="s">
        <v>24</v>
      </c>
      <c r="W46" s="16"/>
      <c r="X46" s="16"/>
      <c r="Y46" s="15" t="s">
        <v>210</v>
      </c>
      <c r="Z46" s="47"/>
    </row>
    <row r="47" spans="1:26" x14ac:dyDescent="0.25">
      <c r="A47" s="85">
        <v>29</v>
      </c>
      <c r="B47" s="87">
        <v>45</v>
      </c>
      <c r="C47" s="82" t="s">
        <v>164</v>
      </c>
      <c r="D47" s="10" t="s">
        <v>207</v>
      </c>
      <c r="E47" s="11" t="s">
        <v>165</v>
      </c>
      <c r="F47" s="4"/>
      <c r="G47" s="5" t="s">
        <v>164</v>
      </c>
      <c r="H47" s="9"/>
      <c r="I47" s="9"/>
      <c r="J47" s="4"/>
      <c r="K47" s="4"/>
      <c r="L47" s="9"/>
      <c r="M47" s="10" t="s">
        <v>165</v>
      </c>
      <c r="N47" s="38">
        <v>29</v>
      </c>
      <c r="O47" s="6">
        <v>45</v>
      </c>
      <c r="P47" s="37" t="s">
        <v>207</v>
      </c>
      <c r="Q47" s="42" t="s">
        <v>165</v>
      </c>
      <c r="R47" s="16"/>
      <c r="S47" s="15" t="s">
        <v>164</v>
      </c>
      <c r="T47" s="22"/>
      <c r="U47" s="25"/>
      <c r="V47" s="16"/>
      <c r="W47" s="16"/>
      <c r="X47" s="22"/>
      <c r="Y47" s="15" t="s">
        <v>165</v>
      </c>
      <c r="Z47" s="47"/>
    </row>
    <row r="48" spans="1:26" x14ac:dyDescent="0.25">
      <c r="A48" s="85">
        <v>30</v>
      </c>
      <c r="B48" s="87">
        <v>46</v>
      </c>
      <c r="C48" s="82" t="s">
        <v>166</v>
      </c>
      <c r="D48" s="10" t="s">
        <v>208</v>
      </c>
      <c r="E48" s="11" t="s">
        <v>167</v>
      </c>
      <c r="F48" s="5" t="s">
        <v>168</v>
      </c>
      <c r="G48" s="5" t="s">
        <v>166</v>
      </c>
      <c r="H48" s="5" t="s">
        <v>117</v>
      </c>
      <c r="I48" s="9"/>
      <c r="J48" s="4"/>
      <c r="K48" s="9"/>
      <c r="L48" s="5" t="s">
        <v>118</v>
      </c>
      <c r="M48" s="10" t="s">
        <v>167</v>
      </c>
      <c r="N48" s="38">
        <v>30</v>
      </c>
      <c r="O48" s="6">
        <v>46</v>
      </c>
      <c r="P48" s="37" t="s">
        <v>208</v>
      </c>
      <c r="Q48" s="42" t="s">
        <v>167</v>
      </c>
      <c r="R48" s="15" t="s">
        <v>168</v>
      </c>
      <c r="S48" s="15" t="s">
        <v>166</v>
      </c>
      <c r="T48" s="15" t="s">
        <v>117</v>
      </c>
      <c r="U48" s="25"/>
      <c r="V48" s="16"/>
      <c r="W48" s="22"/>
      <c r="X48" s="15" t="s">
        <v>118</v>
      </c>
      <c r="Y48" s="15" t="s">
        <v>167</v>
      </c>
      <c r="Z48" s="47"/>
    </row>
    <row r="49" spans="1:30" x14ac:dyDescent="0.25">
      <c r="A49" s="85">
        <v>31</v>
      </c>
      <c r="B49" s="87">
        <v>47</v>
      </c>
      <c r="C49" s="82" t="s">
        <v>169</v>
      </c>
      <c r="D49" s="10" t="s">
        <v>171</v>
      </c>
      <c r="E49" s="11" t="s">
        <v>170</v>
      </c>
      <c r="F49" s="4"/>
      <c r="G49" s="5" t="s">
        <v>169</v>
      </c>
      <c r="H49" s="4"/>
      <c r="I49" s="5" t="s">
        <v>163</v>
      </c>
      <c r="J49" s="4"/>
      <c r="K49" s="4"/>
      <c r="L49" s="4"/>
      <c r="M49" s="10" t="s">
        <v>170</v>
      </c>
      <c r="N49" s="38">
        <v>31</v>
      </c>
      <c r="O49" s="6">
        <v>47</v>
      </c>
      <c r="P49" s="37" t="s">
        <v>171</v>
      </c>
      <c r="Q49" s="42" t="s">
        <v>170</v>
      </c>
      <c r="R49" s="16"/>
      <c r="S49" s="15" t="s">
        <v>169</v>
      </c>
      <c r="T49" s="16"/>
      <c r="U49" s="15" t="s">
        <v>163</v>
      </c>
      <c r="V49" s="16"/>
      <c r="W49" s="16"/>
      <c r="X49" s="16"/>
      <c r="Y49" s="15" t="s">
        <v>170</v>
      </c>
      <c r="Z49" s="47"/>
    </row>
    <row r="50" spans="1:30" ht="15.75" thickBot="1" x14ac:dyDescent="0.3">
      <c r="A50" s="86">
        <v>32</v>
      </c>
      <c r="B50" s="88">
        <v>48</v>
      </c>
      <c r="C50" s="83" t="s">
        <v>172</v>
      </c>
      <c r="D50" s="33" t="s">
        <v>209</v>
      </c>
      <c r="E50" s="31" t="s">
        <v>173</v>
      </c>
      <c r="F50" s="12"/>
      <c r="G50" s="32" t="s">
        <v>172</v>
      </c>
      <c r="H50" s="12"/>
      <c r="I50" s="12"/>
      <c r="J50" s="32" t="s">
        <v>46</v>
      </c>
      <c r="K50" s="34"/>
      <c r="L50" s="12"/>
      <c r="M50" s="33" t="s">
        <v>173</v>
      </c>
      <c r="N50" s="39">
        <v>32</v>
      </c>
      <c r="O50" s="40">
        <v>48</v>
      </c>
      <c r="P50" s="41" t="s">
        <v>209</v>
      </c>
      <c r="Q50" s="53" t="s">
        <v>173</v>
      </c>
      <c r="R50" s="54"/>
      <c r="S50" s="55" t="s">
        <v>172</v>
      </c>
      <c r="T50" s="54"/>
      <c r="U50" s="54"/>
      <c r="V50" s="55" t="s">
        <v>46</v>
      </c>
      <c r="W50" s="56"/>
      <c r="X50" s="54"/>
      <c r="Y50" s="55" t="s">
        <v>173</v>
      </c>
      <c r="Z50" s="57"/>
    </row>
    <row r="51" spans="1:30" x14ac:dyDescent="0.25">
      <c r="A51" s="28">
        <f>COUNTA(A3:A50)</f>
        <v>32</v>
      </c>
      <c r="B51" s="28">
        <f>COUNTA(B3:B50)</f>
        <v>48</v>
      </c>
      <c r="AC51" t="str">
        <f t="shared" ref="AC51:AC102" si="0">IF(ISBLANK(N51),IF(ISBLANK(M51),"",M51),CONCATENATE(N51,IF(ISBLANK(O51),"","/"&amp;O51),IF(ISBLANK(P51),"","/"&amp;P51),IF(ISBLANK(Q51),"","/"&amp;Q51),IF(ISBLANK(R51),"","/"&amp;R51),IF(ISBLANK(S51),"","/"&amp;S51),IF(ISBLANK(T51),"","/"&amp;T51),IF(ISBLANK(M51),"","/"&amp;M51)))</f>
        <v/>
      </c>
      <c r="AD51" t="str">
        <f t="shared" ref="AD51:AD102" si="1">IF(ISBLANK(O51),IF(ISBLANK(N51),"",N51),CONCATENATE(O51,IF(ISBLANK(P51),"","/"&amp;P51),IF(ISBLANK(Q51),"","/"&amp;Q51),IF(ISBLANK(R51),"","/"&amp;R51),IF(ISBLANK(S51),"","/"&amp;S51),IF(ISBLANK(T51),"","/"&amp;T51),IF(ISBLANK(U51),"","/"&amp;U51),IF(ISBLANK(N51),"","/"&amp;N51)))</f>
        <v/>
      </c>
    </row>
    <row r="52" spans="1:30" x14ac:dyDescent="0.25">
      <c r="AC52" t="str">
        <f t="shared" si="0"/>
        <v/>
      </c>
      <c r="AD52" t="str">
        <f t="shared" si="1"/>
        <v/>
      </c>
    </row>
    <row r="53" spans="1:30" x14ac:dyDescent="0.25">
      <c r="H53" s="29"/>
      <c r="I53" s="30" t="s">
        <v>238</v>
      </c>
      <c r="AC53" t="str">
        <f t="shared" si="0"/>
        <v/>
      </c>
      <c r="AD53" t="str">
        <f t="shared" si="1"/>
        <v/>
      </c>
    </row>
    <row r="54" spans="1:30" x14ac:dyDescent="0.25">
      <c r="AC54" t="str">
        <f t="shared" si="0"/>
        <v/>
      </c>
      <c r="AD54" t="str">
        <f t="shared" si="1"/>
        <v/>
      </c>
    </row>
    <row r="55" spans="1:30" x14ac:dyDescent="0.25">
      <c r="AC55" t="str">
        <f t="shared" si="0"/>
        <v/>
      </c>
      <c r="AD55" t="str">
        <f t="shared" si="1"/>
        <v/>
      </c>
    </row>
    <row r="56" spans="1:30" x14ac:dyDescent="0.25">
      <c r="AC56" t="str">
        <f t="shared" si="0"/>
        <v/>
      </c>
      <c r="AD56" t="str">
        <f t="shared" si="1"/>
        <v/>
      </c>
    </row>
    <row r="57" spans="1:30" x14ac:dyDescent="0.25">
      <c r="AC57" t="str">
        <f t="shared" si="0"/>
        <v/>
      </c>
      <c r="AD57" t="str">
        <f t="shared" si="1"/>
        <v/>
      </c>
    </row>
    <row r="58" spans="1:30" x14ac:dyDescent="0.25">
      <c r="AC58" t="str">
        <f t="shared" si="0"/>
        <v/>
      </c>
      <c r="AD58" t="str">
        <f t="shared" si="1"/>
        <v/>
      </c>
    </row>
    <row r="59" spans="1:30" x14ac:dyDescent="0.25">
      <c r="AC59" t="str">
        <f t="shared" si="0"/>
        <v/>
      </c>
      <c r="AD59" t="str">
        <f t="shared" si="1"/>
        <v/>
      </c>
    </row>
    <row r="60" spans="1:30" x14ac:dyDescent="0.25">
      <c r="AC60" t="str">
        <f t="shared" si="0"/>
        <v/>
      </c>
      <c r="AD60" t="str">
        <f t="shared" si="1"/>
        <v/>
      </c>
    </row>
    <row r="61" spans="1:30" x14ac:dyDescent="0.25">
      <c r="AC61" t="str">
        <f t="shared" si="0"/>
        <v/>
      </c>
      <c r="AD61" t="str">
        <f t="shared" si="1"/>
        <v/>
      </c>
    </row>
    <row r="62" spans="1:30" x14ac:dyDescent="0.25">
      <c r="AC62" t="str">
        <f t="shared" si="0"/>
        <v/>
      </c>
      <c r="AD62" t="str">
        <f t="shared" si="1"/>
        <v/>
      </c>
    </row>
    <row r="63" spans="1:30" x14ac:dyDescent="0.25">
      <c r="AC63" t="str">
        <f t="shared" si="0"/>
        <v/>
      </c>
      <c r="AD63" t="str">
        <f t="shared" si="1"/>
        <v/>
      </c>
    </row>
    <row r="64" spans="1:30" x14ac:dyDescent="0.25">
      <c r="AC64" t="str">
        <f t="shared" si="0"/>
        <v/>
      </c>
      <c r="AD64" t="str">
        <f t="shared" si="1"/>
        <v/>
      </c>
    </row>
    <row r="65" spans="29:30" x14ac:dyDescent="0.25">
      <c r="AC65" t="str">
        <f t="shared" si="0"/>
        <v/>
      </c>
      <c r="AD65" t="str">
        <f t="shared" si="1"/>
        <v/>
      </c>
    </row>
    <row r="66" spans="29:30" x14ac:dyDescent="0.25">
      <c r="AC66" t="str">
        <f t="shared" si="0"/>
        <v/>
      </c>
      <c r="AD66" t="str">
        <f t="shared" si="1"/>
        <v/>
      </c>
    </row>
    <row r="67" spans="29:30" x14ac:dyDescent="0.25">
      <c r="AC67" t="str">
        <f t="shared" si="0"/>
        <v/>
      </c>
      <c r="AD67" t="str">
        <f t="shared" si="1"/>
        <v/>
      </c>
    </row>
    <row r="68" spans="29:30" x14ac:dyDescent="0.25">
      <c r="AC68" t="str">
        <f t="shared" si="0"/>
        <v/>
      </c>
      <c r="AD68" t="str">
        <f t="shared" si="1"/>
        <v/>
      </c>
    </row>
    <row r="69" spans="29:30" x14ac:dyDescent="0.25">
      <c r="AC69" t="str">
        <f t="shared" si="0"/>
        <v/>
      </c>
      <c r="AD69" t="str">
        <f t="shared" si="1"/>
        <v/>
      </c>
    </row>
    <row r="70" spans="29:30" x14ac:dyDescent="0.25">
      <c r="AC70" t="str">
        <f t="shared" si="0"/>
        <v/>
      </c>
      <c r="AD70" t="str">
        <f t="shared" si="1"/>
        <v/>
      </c>
    </row>
    <row r="71" spans="29:30" x14ac:dyDescent="0.25">
      <c r="AC71" t="str">
        <f t="shared" si="0"/>
        <v/>
      </c>
      <c r="AD71" t="str">
        <f t="shared" si="1"/>
        <v/>
      </c>
    </row>
    <row r="72" spans="29:30" x14ac:dyDescent="0.25">
      <c r="AC72" t="str">
        <f t="shared" si="0"/>
        <v/>
      </c>
      <c r="AD72" t="str">
        <f t="shared" si="1"/>
        <v/>
      </c>
    </row>
    <row r="73" spans="29:30" x14ac:dyDescent="0.25">
      <c r="AC73" t="str">
        <f t="shared" si="0"/>
        <v/>
      </c>
      <c r="AD73" t="str">
        <f t="shared" si="1"/>
        <v/>
      </c>
    </row>
    <row r="74" spans="29:30" x14ac:dyDescent="0.25">
      <c r="AC74" t="str">
        <f t="shared" si="0"/>
        <v/>
      </c>
      <c r="AD74" t="str">
        <f t="shared" si="1"/>
        <v/>
      </c>
    </row>
    <row r="75" spans="29:30" x14ac:dyDescent="0.25">
      <c r="AC75" t="str">
        <f t="shared" si="0"/>
        <v/>
      </c>
      <c r="AD75" t="str">
        <f t="shared" si="1"/>
        <v/>
      </c>
    </row>
    <row r="76" spans="29:30" x14ac:dyDescent="0.25">
      <c r="AC76" t="str">
        <f t="shared" si="0"/>
        <v/>
      </c>
      <c r="AD76" t="str">
        <f t="shared" si="1"/>
        <v/>
      </c>
    </row>
    <row r="77" spans="29:30" x14ac:dyDescent="0.25">
      <c r="AC77" t="str">
        <f t="shared" si="0"/>
        <v/>
      </c>
      <c r="AD77" t="str">
        <f t="shared" si="1"/>
        <v/>
      </c>
    </row>
    <row r="78" spans="29:30" x14ac:dyDescent="0.25">
      <c r="AC78" t="str">
        <f t="shared" si="0"/>
        <v/>
      </c>
      <c r="AD78" t="str">
        <f t="shared" si="1"/>
        <v/>
      </c>
    </row>
    <row r="79" spans="29:30" x14ac:dyDescent="0.25">
      <c r="AC79" t="str">
        <f t="shared" si="0"/>
        <v/>
      </c>
      <c r="AD79" t="str">
        <f t="shared" si="1"/>
        <v/>
      </c>
    </row>
    <row r="80" spans="29:30" x14ac:dyDescent="0.25">
      <c r="AC80" t="str">
        <f t="shared" si="0"/>
        <v/>
      </c>
      <c r="AD80" t="str">
        <f t="shared" si="1"/>
        <v/>
      </c>
    </row>
    <row r="81" spans="29:30" x14ac:dyDescent="0.25">
      <c r="AC81" t="str">
        <f t="shared" si="0"/>
        <v/>
      </c>
      <c r="AD81" t="str">
        <f t="shared" si="1"/>
        <v/>
      </c>
    </row>
    <row r="82" spans="29:30" x14ac:dyDescent="0.25">
      <c r="AC82" t="str">
        <f t="shared" si="0"/>
        <v/>
      </c>
      <c r="AD82" t="str">
        <f t="shared" si="1"/>
        <v/>
      </c>
    </row>
    <row r="83" spans="29:30" x14ac:dyDescent="0.25">
      <c r="AC83" t="str">
        <f t="shared" si="0"/>
        <v/>
      </c>
      <c r="AD83" t="str">
        <f t="shared" si="1"/>
        <v/>
      </c>
    </row>
    <row r="84" spans="29:30" x14ac:dyDescent="0.25">
      <c r="AC84" t="str">
        <f t="shared" si="0"/>
        <v/>
      </c>
      <c r="AD84" t="str">
        <f t="shared" si="1"/>
        <v/>
      </c>
    </row>
    <row r="85" spans="29:30" x14ac:dyDescent="0.25">
      <c r="AC85" t="str">
        <f t="shared" si="0"/>
        <v/>
      </c>
      <c r="AD85" t="str">
        <f t="shared" si="1"/>
        <v/>
      </c>
    </row>
    <row r="86" spans="29:30" x14ac:dyDescent="0.25">
      <c r="AC86" t="str">
        <f t="shared" si="0"/>
        <v/>
      </c>
      <c r="AD86" t="str">
        <f t="shared" si="1"/>
        <v/>
      </c>
    </row>
    <row r="87" spans="29:30" x14ac:dyDescent="0.25">
      <c r="AC87" t="str">
        <f t="shared" si="0"/>
        <v/>
      </c>
      <c r="AD87" t="str">
        <f t="shared" si="1"/>
        <v/>
      </c>
    </row>
    <row r="88" spans="29:30" x14ac:dyDescent="0.25">
      <c r="AC88" t="str">
        <f t="shared" si="0"/>
        <v/>
      </c>
      <c r="AD88" t="str">
        <f t="shared" si="1"/>
        <v/>
      </c>
    </row>
    <row r="89" spans="29:30" x14ac:dyDescent="0.25">
      <c r="AC89" t="str">
        <f t="shared" si="0"/>
        <v/>
      </c>
      <c r="AD89" t="str">
        <f t="shared" si="1"/>
        <v/>
      </c>
    </row>
    <row r="90" spans="29:30" x14ac:dyDescent="0.25">
      <c r="AC90" t="str">
        <f t="shared" si="0"/>
        <v/>
      </c>
      <c r="AD90" t="str">
        <f t="shared" si="1"/>
        <v/>
      </c>
    </row>
    <row r="91" spans="29:30" x14ac:dyDescent="0.25">
      <c r="AC91" t="str">
        <f t="shared" si="0"/>
        <v/>
      </c>
      <c r="AD91" t="str">
        <f t="shared" si="1"/>
        <v/>
      </c>
    </row>
    <row r="92" spans="29:30" x14ac:dyDescent="0.25">
      <c r="AC92" t="str">
        <f t="shared" si="0"/>
        <v/>
      </c>
      <c r="AD92" t="str">
        <f t="shared" si="1"/>
        <v/>
      </c>
    </row>
    <row r="93" spans="29:30" x14ac:dyDescent="0.25">
      <c r="AC93" t="str">
        <f t="shared" si="0"/>
        <v/>
      </c>
      <c r="AD93" t="str">
        <f t="shared" si="1"/>
        <v/>
      </c>
    </row>
    <row r="94" spans="29:30" x14ac:dyDescent="0.25">
      <c r="AC94" t="str">
        <f t="shared" si="0"/>
        <v/>
      </c>
      <c r="AD94" t="str">
        <f t="shared" si="1"/>
        <v/>
      </c>
    </row>
    <row r="95" spans="29:30" x14ac:dyDescent="0.25">
      <c r="AC95" t="str">
        <f t="shared" si="0"/>
        <v/>
      </c>
      <c r="AD95" t="str">
        <f t="shared" si="1"/>
        <v/>
      </c>
    </row>
    <row r="96" spans="29:30" x14ac:dyDescent="0.25">
      <c r="AC96" t="str">
        <f t="shared" si="0"/>
        <v/>
      </c>
      <c r="AD96" t="str">
        <f t="shared" si="1"/>
        <v/>
      </c>
    </row>
    <row r="97" spans="29:30" x14ac:dyDescent="0.25">
      <c r="AC97" t="str">
        <f t="shared" si="0"/>
        <v/>
      </c>
      <c r="AD97" t="str">
        <f t="shared" si="1"/>
        <v/>
      </c>
    </row>
    <row r="98" spans="29:30" x14ac:dyDescent="0.25">
      <c r="AC98" t="str">
        <f t="shared" si="0"/>
        <v/>
      </c>
      <c r="AD98" t="str">
        <f t="shared" si="1"/>
        <v/>
      </c>
    </row>
    <row r="99" spans="29:30" x14ac:dyDescent="0.25">
      <c r="AC99" t="str">
        <f t="shared" si="0"/>
        <v/>
      </c>
      <c r="AD99" t="str">
        <f t="shared" si="1"/>
        <v/>
      </c>
    </row>
    <row r="100" spans="29:30" x14ac:dyDescent="0.25">
      <c r="AC100" t="str">
        <f t="shared" si="0"/>
        <v/>
      </c>
      <c r="AD100" t="str">
        <f t="shared" si="1"/>
        <v/>
      </c>
    </row>
    <row r="101" spans="29:30" x14ac:dyDescent="0.25">
      <c r="AC101" t="str">
        <f t="shared" si="0"/>
        <v/>
      </c>
      <c r="AD101" t="str">
        <f t="shared" si="1"/>
        <v/>
      </c>
    </row>
    <row r="102" spans="29:30" x14ac:dyDescent="0.25">
      <c r="AC102" t="str">
        <f t="shared" si="0"/>
        <v/>
      </c>
      <c r="AD102" t="str">
        <f t="shared" si="1"/>
        <v/>
      </c>
    </row>
  </sheetData>
  <mergeCells count="2">
    <mergeCell ref="E1:M1"/>
    <mergeCell ref="Q1: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924C-95D0-418E-AE06-D5F5725E6437}">
  <sheetPr>
    <tabColor theme="4" tint="0.79998168889431442"/>
  </sheetPr>
  <dimension ref="C2:R20"/>
  <sheetViews>
    <sheetView workbookViewId="0">
      <selection activeCell="H2" sqref="H2"/>
    </sheetView>
  </sheetViews>
  <sheetFormatPr defaultColWidth="2.42578125" defaultRowHeight="9.4" customHeight="1" x14ac:dyDescent="0.25"/>
  <cols>
    <col min="1" max="2" width="2.42578125" style="28"/>
    <col min="3" max="3" width="18" style="28" customWidth="1"/>
    <col min="4" max="4" width="4" style="28" customWidth="1"/>
    <col min="5" max="16" width="2.42578125" style="28"/>
    <col min="17" max="17" width="4" style="28" customWidth="1"/>
    <col min="18" max="18" width="18" style="28" customWidth="1"/>
    <col min="19" max="16384" width="2.42578125" style="28"/>
  </cols>
  <sheetData>
    <row r="2" spans="3:18" ht="19.899999999999999" customHeight="1" x14ac:dyDescent="0.25">
      <c r="H2" s="26" t="s">
        <v>233</v>
      </c>
      <c r="I2" s="63"/>
      <c r="J2" s="63"/>
      <c r="K2" s="63"/>
      <c r="L2" s="63"/>
      <c r="M2" s="63"/>
      <c r="N2" s="63"/>
      <c r="O2" s="63"/>
      <c r="P2" s="63"/>
      <c r="Q2" s="63"/>
    </row>
    <row r="5" spans="3:18" ht="75" customHeight="1" thickBot="1" x14ac:dyDescent="0.3">
      <c r="C5" s="64"/>
      <c r="D5" s="64"/>
      <c r="E5" s="65" t="s">
        <v>172</v>
      </c>
      <c r="F5" s="65" t="s">
        <v>169</v>
      </c>
      <c r="G5" s="65" t="s">
        <v>166</v>
      </c>
      <c r="H5" s="65" t="s">
        <v>164</v>
      </c>
      <c r="I5" s="65" t="s">
        <v>162</v>
      </c>
      <c r="J5" s="65" t="s">
        <v>160</v>
      </c>
      <c r="K5" s="65" t="s">
        <v>159</v>
      </c>
      <c r="L5" s="65" t="s">
        <v>158</v>
      </c>
      <c r="M5" s="65" t="s">
        <v>154</v>
      </c>
      <c r="N5" s="65" t="s">
        <v>153</v>
      </c>
      <c r="O5" s="65" t="s">
        <v>150</v>
      </c>
      <c r="P5" s="65" t="s">
        <v>146</v>
      </c>
      <c r="Q5" s="66"/>
      <c r="R5" s="66"/>
    </row>
    <row r="6" spans="3:18" ht="19.899999999999999" customHeight="1" thickTop="1" x14ac:dyDescent="0.25">
      <c r="C6" s="64"/>
      <c r="D6" s="67"/>
      <c r="E6" s="68">
        <v>48</v>
      </c>
      <c r="F6" s="68">
        <v>47</v>
      </c>
      <c r="G6" s="68">
        <v>46</v>
      </c>
      <c r="H6" s="68">
        <v>45</v>
      </c>
      <c r="I6" s="68">
        <v>44</v>
      </c>
      <c r="J6" s="68">
        <v>43</v>
      </c>
      <c r="K6" s="68">
        <v>42</v>
      </c>
      <c r="L6" s="68">
        <v>41</v>
      </c>
      <c r="M6" s="68">
        <v>40</v>
      </c>
      <c r="N6" s="68">
        <v>39</v>
      </c>
      <c r="O6" s="68">
        <v>38</v>
      </c>
      <c r="P6" s="68">
        <v>37</v>
      </c>
      <c r="Q6" s="69"/>
      <c r="R6" s="66"/>
    </row>
    <row r="7" spans="3:18" ht="15" x14ac:dyDescent="0.25">
      <c r="C7" s="70" t="s">
        <v>18</v>
      </c>
      <c r="D7" s="71">
        <v>1</v>
      </c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72">
        <v>36</v>
      </c>
      <c r="R7" s="73" t="s">
        <v>143</v>
      </c>
    </row>
    <row r="8" spans="3:18" ht="15" x14ac:dyDescent="0.25">
      <c r="C8" s="70" t="s">
        <v>22</v>
      </c>
      <c r="D8" s="71">
        <v>2</v>
      </c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72">
        <v>35</v>
      </c>
      <c r="R8" s="73" t="s">
        <v>141</v>
      </c>
    </row>
    <row r="9" spans="3:18" ht="15" x14ac:dyDescent="0.25">
      <c r="C9" s="70" t="s">
        <v>29</v>
      </c>
      <c r="D9" s="71">
        <v>3</v>
      </c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72">
        <v>34</v>
      </c>
      <c r="R9" s="73" t="s">
        <v>139</v>
      </c>
    </row>
    <row r="10" spans="3:18" ht="15" x14ac:dyDescent="0.25">
      <c r="C10" s="70" t="s">
        <v>32</v>
      </c>
      <c r="D10" s="71">
        <v>4</v>
      </c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72">
        <v>33</v>
      </c>
      <c r="R10" s="73" t="s">
        <v>136</v>
      </c>
    </row>
    <row r="11" spans="3:18" ht="15" x14ac:dyDescent="0.25">
      <c r="C11" s="74" t="s">
        <v>35</v>
      </c>
      <c r="D11" s="71">
        <v>5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72">
        <v>32</v>
      </c>
      <c r="R11" s="73" t="s">
        <v>135</v>
      </c>
    </row>
    <row r="12" spans="3:18" ht="15" x14ac:dyDescent="0.25">
      <c r="C12" s="70" t="s">
        <v>36</v>
      </c>
      <c r="D12" s="71">
        <v>6</v>
      </c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72">
        <v>31</v>
      </c>
      <c r="R12" s="75" t="s">
        <v>35</v>
      </c>
    </row>
    <row r="13" spans="3:18" ht="15" x14ac:dyDescent="0.25">
      <c r="C13" s="76" t="s">
        <v>37</v>
      </c>
      <c r="D13" s="71">
        <v>7</v>
      </c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72">
        <v>30</v>
      </c>
      <c r="R13" s="77" t="s">
        <v>37</v>
      </c>
    </row>
    <row r="14" spans="3:18" ht="15" x14ac:dyDescent="0.25">
      <c r="C14" s="70" t="s">
        <v>38</v>
      </c>
      <c r="D14" s="71">
        <v>8</v>
      </c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72">
        <v>29</v>
      </c>
      <c r="R14" s="73" t="s">
        <v>133</v>
      </c>
    </row>
    <row r="15" spans="3:18" ht="15" x14ac:dyDescent="0.25">
      <c r="C15" s="70" t="s">
        <v>42</v>
      </c>
      <c r="D15" s="71">
        <v>9</v>
      </c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72">
        <v>28</v>
      </c>
      <c r="R15" s="73" t="s">
        <v>129</v>
      </c>
    </row>
    <row r="16" spans="3:18" ht="15" x14ac:dyDescent="0.25">
      <c r="C16" s="70" t="s">
        <v>48</v>
      </c>
      <c r="D16" s="71">
        <v>10</v>
      </c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72">
        <v>27</v>
      </c>
      <c r="R16" s="73" t="s">
        <v>125</v>
      </c>
    </row>
    <row r="17" spans="3:18" ht="15" x14ac:dyDescent="0.25">
      <c r="C17" s="70" t="s">
        <v>53</v>
      </c>
      <c r="D17" s="71">
        <v>11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72">
        <v>26</v>
      </c>
      <c r="R17" s="73" t="s">
        <v>123</v>
      </c>
    </row>
    <row r="18" spans="3:18" ht="15" x14ac:dyDescent="0.25">
      <c r="C18" s="70" t="s">
        <v>57</v>
      </c>
      <c r="D18" s="71">
        <v>12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72">
        <v>25</v>
      </c>
      <c r="R18" s="73" t="s">
        <v>121</v>
      </c>
    </row>
    <row r="19" spans="3:18" ht="19.899999999999999" customHeight="1" thickBot="1" x14ac:dyDescent="0.3">
      <c r="C19" s="64"/>
      <c r="D19" s="78"/>
      <c r="E19" s="79">
        <v>13</v>
      </c>
      <c r="F19" s="79">
        <v>14</v>
      </c>
      <c r="G19" s="79">
        <v>15</v>
      </c>
      <c r="H19" s="79">
        <v>16</v>
      </c>
      <c r="I19" s="79">
        <v>17</v>
      </c>
      <c r="J19" s="79">
        <v>18</v>
      </c>
      <c r="K19" s="79">
        <v>19</v>
      </c>
      <c r="L19" s="79">
        <v>20</v>
      </c>
      <c r="M19" s="79">
        <v>21</v>
      </c>
      <c r="N19" s="79">
        <v>22</v>
      </c>
      <c r="O19" s="79">
        <v>23</v>
      </c>
      <c r="P19" s="79">
        <v>24</v>
      </c>
      <c r="Q19" s="80"/>
      <c r="R19" s="66"/>
    </row>
    <row r="20" spans="3:18" ht="75" customHeight="1" thickTop="1" x14ac:dyDescent="0.25">
      <c r="C20" s="64"/>
      <c r="D20" s="64"/>
      <c r="E20" s="81" t="s">
        <v>62</v>
      </c>
      <c r="F20" s="81" t="s">
        <v>66</v>
      </c>
      <c r="G20" s="81" t="s">
        <v>72</v>
      </c>
      <c r="H20" s="81" t="s">
        <v>77</v>
      </c>
      <c r="I20" s="81" t="s">
        <v>81</v>
      </c>
      <c r="J20" s="81" t="s">
        <v>85</v>
      </c>
      <c r="K20" s="81" t="s">
        <v>88</v>
      </c>
      <c r="L20" s="81" t="s">
        <v>95</v>
      </c>
      <c r="M20" s="81" t="s">
        <v>99</v>
      </c>
      <c r="N20" s="81" t="s">
        <v>104</v>
      </c>
      <c r="O20" s="81" t="s">
        <v>109</v>
      </c>
      <c r="P20" s="81" t="s">
        <v>115</v>
      </c>
      <c r="Q20" s="66"/>
      <c r="R20" s="6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F762-EA98-4BF1-9C53-C968049DFD3C}">
  <sheetPr>
    <tabColor theme="4" tint="0.79998168889431442"/>
  </sheetPr>
  <dimension ref="C2:Q16"/>
  <sheetViews>
    <sheetView workbookViewId="0">
      <selection activeCell="H3" sqref="H3"/>
    </sheetView>
  </sheetViews>
  <sheetFormatPr defaultColWidth="2.42578125" defaultRowHeight="9.4" customHeight="1" x14ac:dyDescent="0.25"/>
  <cols>
    <col min="1" max="2" width="2.42578125" style="28"/>
    <col min="3" max="3" width="18" style="28" customWidth="1"/>
    <col min="4" max="4" width="4" style="28" customWidth="1"/>
    <col min="5" max="12" width="2.42578125" style="28"/>
    <col min="13" max="13" width="4" style="28" customWidth="1"/>
    <col min="14" max="14" width="18" style="28" customWidth="1"/>
    <col min="15" max="16384" width="2.42578125" style="28"/>
  </cols>
  <sheetData>
    <row r="2" spans="3:17" ht="19.899999999999999" customHeight="1" x14ac:dyDescent="0.25">
      <c r="H2" s="26" t="s">
        <v>234</v>
      </c>
      <c r="I2" s="63"/>
      <c r="J2" s="63"/>
      <c r="K2" s="63"/>
      <c r="L2" s="63"/>
      <c r="M2" s="63"/>
      <c r="N2" s="63"/>
      <c r="O2" s="63"/>
      <c r="P2" s="63"/>
      <c r="Q2" s="63"/>
    </row>
    <row r="5" spans="3:17" ht="75" customHeight="1" thickBot="1" x14ac:dyDescent="0.3">
      <c r="C5" s="64"/>
      <c r="D5" s="64"/>
      <c r="E5" s="65" t="s">
        <v>172</v>
      </c>
      <c r="F5" s="65" t="s">
        <v>169</v>
      </c>
      <c r="G5" s="65" t="s">
        <v>166</v>
      </c>
      <c r="H5" s="65" t="s">
        <v>164</v>
      </c>
      <c r="I5" s="65" t="s">
        <v>162</v>
      </c>
      <c r="J5" s="65" t="s">
        <v>160</v>
      </c>
      <c r="K5" s="65" t="s">
        <v>150</v>
      </c>
      <c r="L5" s="65" t="s">
        <v>146</v>
      </c>
      <c r="M5" s="66"/>
      <c r="N5" s="66"/>
    </row>
    <row r="6" spans="3:17" ht="19.899999999999999" customHeight="1" thickTop="1" x14ac:dyDescent="0.25">
      <c r="C6" s="64"/>
      <c r="D6" s="67"/>
      <c r="E6" s="68">
        <v>32</v>
      </c>
      <c r="F6" s="68">
        <v>31</v>
      </c>
      <c r="G6" s="68">
        <v>30</v>
      </c>
      <c r="H6" s="68">
        <v>29</v>
      </c>
      <c r="I6" s="68">
        <v>28</v>
      </c>
      <c r="J6" s="68">
        <v>27</v>
      </c>
      <c r="K6" s="68">
        <v>26</v>
      </c>
      <c r="L6" s="68">
        <v>25</v>
      </c>
      <c r="M6" s="69"/>
      <c r="N6" s="66"/>
    </row>
    <row r="7" spans="3:17" ht="15" x14ac:dyDescent="0.25">
      <c r="C7" s="70" t="s">
        <v>29</v>
      </c>
      <c r="D7" s="71">
        <v>1</v>
      </c>
      <c r="E7" s="66"/>
      <c r="F7" s="66"/>
      <c r="G7" s="66"/>
      <c r="H7" s="66"/>
      <c r="I7" s="66"/>
      <c r="J7" s="66"/>
      <c r="K7" s="66"/>
      <c r="L7" s="66"/>
      <c r="M7" s="72">
        <v>24</v>
      </c>
      <c r="N7" s="73" t="s">
        <v>143</v>
      </c>
    </row>
    <row r="8" spans="3:17" ht="15" x14ac:dyDescent="0.25">
      <c r="C8" s="70" t="s">
        <v>32</v>
      </c>
      <c r="D8" s="71">
        <v>2</v>
      </c>
      <c r="E8" s="66"/>
      <c r="F8" s="66"/>
      <c r="G8" s="66"/>
      <c r="H8" s="66"/>
      <c r="I8" s="66"/>
      <c r="J8" s="66"/>
      <c r="K8" s="66"/>
      <c r="L8" s="66"/>
      <c r="M8" s="72">
        <v>23</v>
      </c>
      <c r="N8" s="73" t="s">
        <v>141</v>
      </c>
    </row>
    <row r="9" spans="3:17" ht="15" x14ac:dyDescent="0.25">
      <c r="C9" s="74" t="s">
        <v>35</v>
      </c>
      <c r="D9" s="71">
        <v>3</v>
      </c>
      <c r="E9" s="66"/>
      <c r="F9" s="66"/>
      <c r="G9" s="66"/>
      <c r="H9" s="66"/>
      <c r="I9" s="66"/>
      <c r="J9" s="66"/>
      <c r="K9" s="66"/>
      <c r="L9" s="66"/>
      <c r="M9" s="72">
        <v>22</v>
      </c>
      <c r="N9" s="73" t="s">
        <v>136</v>
      </c>
    </row>
    <row r="10" spans="3:17" ht="15" x14ac:dyDescent="0.25">
      <c r="C10" s="76" t="s">
        <v>37</v>
      </c>
      <c r="D10" s="71">
        <v>4</v>
      </c>
      <c r="E10" s="66"/>
      <c r="F10" s="66"/>
      <c r="G10" s="66"/>
      <c r="H10" s="66"/>
      <c r="I10" s="66"/>
      <c r="J10" s="66"/>
      <c r="K10" s="66"/>
      <c r="L10" s="66"/>
      <c r="M10" s="72">
        <v>21</v>
      </c>
      <c r="N10" s="75" t="s">
        <v>35</v>
      </c>
    </row>
    <row r="11" spans="3:17" ht="15" x14ac:dyDescent="0.25">
      <c r="C11" s="70" t="s">
        <v>38</v>
      </c>
      <c r="D11" s="71">
        <v>5</v>
      </c>
      <c r="E11" s="66"/>
      <c r="F11" s="66"/>
      <c r="G11" s="66"/>
      <c r="H11" s="66"/>
      <c r="I11" s="66"/>
      <c r="J11" s="66"/>
      <c r="K11" s="66"/>
      <c r="L11" s="66"/>
      <c r="M11" s="72">
        <v>20</v>
      </c>
      <c r="N11" s="77" t="s">
        <v>37</v>
      </c>
    </row>
    <row r="12" spans="3:17" ht="15" x14ac:dyDescent="0.25">
      <c r="C12" s="70" t="s">
        <v>42</v>
      </c>
      <c r="D12" s="71">
        <v>6</v>
      </c>
      <c r="E12" s="66"/>
      <c r="F12" s="66"/>
      <c r="G12" s="66"/>
      <c r="H12" s="66"/>
      <c r="I12" s="66"/>
      <c r="J12" s="66"/>
      <c r="K12" s="66"/>
      <c r="L12" s="66"/>
      <c r="M12" s="72">
        <v>19</v>
      </c>
      <c r="N12" s="73" t="s">
        <v>133</v>
      </c>
    </row>
    <row r="13" spans="3:17" ht="15" x14ac:dyDescent="0.25">
      <c r="C13" s="70" t="s">
        <v>48</v>
      </c>
      <c r="D13" s="71">
        <v>7</v>
      </c>
      <c r="E13" s="66"/>
      <c r="F13" s="66"/>
      <c r="G13" s="66"/>
      <c r="H13" s="66"/>
      <c r="I13" s="66"/>
      <c r="J13" s="66"/>
      <c r="K13" s="66"/>
      <c r="L13" s="66"/>
      <c r="M13" s="72">
        <v>18</v>
      </c>
      <c r="N13" s="73" t="s">
        <v>123</v>
      </c>
    </row>
    <row r="14" spans="3:17" ht="15" x14ac:dyDescent="0.25">
      <c r="C14" s="70" t="s">
        <v>53</v>
      </c>
      <c r="D14" s="71">
        <v>8</v>
      </c>
      <c r="E14" s="66"/>
      <c r="F14" s="66"/>
      <c r="G14" s="66"/>
      <c r="H14" s="66"/>
      <c r="I14" s="66"/>
      <c r="J14" s="66"/>
      <c r="K14" s="66"/>
      <c r="L14" s="66"/>
      <c r="M14" s="72">
        <v>17</v>
      </c>
      <c r="N14" s="73" t="s">
        <v>121</v>
      </c>
    </row>
    <row r="15" spans="3:17" ht="19.899999999999999" customHeight="1" thickBot="1" x14ac:dyDescent="0.3">
      <c r="C15" s="64"/>
      <c r="D15" s="78"/>
      <c r="E15" s="79">
        <v>9</v>
      </c>
      <c r="F15" s="79">
        <v>10</v>
      </c>
      <c r="G15" s="79">
        <v>11</v>
      </c>
      <c r="H15" s="79">
        <v>12</v>
      </c>
      <c r="I15" s="79">
        <v>13</v>
      </c>
      <c r="J15" s="79">
        <v>14</v>
      </c>
      <c r="K15" s="79">
        <v>15</v>
      </c>
      <c r="L15" s="79">
        <v>16</v>
      </c>
      <c r="M15" s="80"/>
      <c r="N15" s="66"/>
    </row>
    <row r="16" spans="3:17" ht="75" customHeight="1" thickTop="1" x14ac:dyDescent="0.25">
      <c r="C16" s="64"/>
      <c r="D16" s="64"/>
      <c r="E16" s="81" t="s">
        <v>62</v>
      </c>
      <c r="F16" s="81" t="s">
        <v>66</v>
      </c>
      <c r="G16" s="81" t="s">
        <v>72</v>
      </c>
      <c r="H16" s="81" t="s">
        <v>77</v>
      </c>
      <c r="I16" s="81" t="s">
        <v>81</v>
      </c>
      <c r="J16" s="81" t="s">
        <v>85</v>
      </c>
      <c r="K16" s="81" t="s">
        <v>109</v>
      </c>
      <c r="L16" s="81" t="s">
        <v>115</v>
      </c>
      <c r="M16" s="66"/>
      <c r="N16" s="6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 History</vt:lpstr>
      <vt:lpstr>S32K116V Pinout</vt:lpstr>
      <vt:lpstr>S32K116V_48lqfp</vt:lpstr>
      <vt:lpstr>S32K116V_32qfn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Vazquez Goyarzu</dc:creator>
  <cp:lastModifiedBy>Carlos Vazquez Goyarzu</cp:lastModifiedBy>
  <dcterms:created xsi:type="dcterms:W3CDTF">2026-04-29T12:43:28Z</dcterms:created>
  <dcterms:modified xsi:type="dcterms:W3CDTF">2026-05-09T21:40:58Z</dcterms:modified>
</cp:coreProperties>
</file>