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arlos_goyarzu_nxp_com/Documents/Documents/0 - AMCU End Nodes/1. S32K1xx/5. SOC Architecture/Pinout/Bridge devices/"/>
    </mc:Choice>
  </mc:AlternateContent>
  <xr:revisionPtr revIDLastSave="372" documentId="8_{73207F46-6B74-47B3-9C92-C7DCEED99454}" xr6:coauthVersionLast="47" xr6:coauthVersionMax="47" xr10:uidLastSave="{B17ABB32-C206-4ED6-B3E9-F60E062CA6A2}"/>
  <bookViews>
    <workbookView xWindow="-120" yWindow="-120" windowWidth="29040" windowHeight="15720" activeTab="1" xr2:uid="{5021E1B3-1603-40CD-872B-668D2222EB14}"/>
  </bookViews>
  <sheets>
    <sheet name="Rev History" sheetId="2" r:id="rId1"/>
    <sheet name="S32K118V Pinout" sheetId="6" r:id="rId2"/>
    <sheet name="S32K118V_64lqfp" sheetId="7" r:id="rId3"/>
    <sheet name="S32K118V_48lqfp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6" l="1"/>
  <c r="A67" i="6"/>
</calcChain>
</file>

<file path=xl/sharedStrings.xml><?xml version="1.0" encoding="utf-8"?>
<sst xmlns="http://schemas.openxmlformats.org/spreadsheetml/2006/main" count="930" uniqueCount="292">
  <si>
    <t>Revision</t>
  </si>
  <si>
    <t>Date</t>
  </si>
  <si>
    <t>Comments</t>
  </si>
  <si>
    <t>v1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</si>
  <si>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</si>
  <si>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</si>
  <si>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</si>
  <si>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</si>
  <si>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</si>
  <si>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</si>
  <si>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</si>
  <si>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</si>
  <si>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</si>
  <si>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</si>
  <si>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DISABLED</t>
  </si>
  <si>
    <t>LPUART1_RTS</t>
  </si>
  <si>
    <t>FXIO_D3</t>
  </si>
  <si>
    <t>LPUART1_CTS</t>
  </si>
  <si>
    <t>FXIO_D2</t>
  </si>
  <si>
    <t>PTD1</t>
  </si>
  <si>
    <t>FTM0_CH3</t>
  </si>
  <si>
    <t>FXIO_D1</t>
  </si>
  <si>
    <t>TRGMUX_OUT2</t>
  </si>
  <si>
    <t>PTD0</t>
  </si>
  <si>
    <t>FTM0_CH2</t>
  </si>
  <si>
    <t>FXIO_D0</t>
  </si>
  <si>
    <t>TRGMUX_OUT1</t>
  </si>
  <si>
    <t>PTE11</t>
  </si>
  <si>
    <t>LPTMR0_ALT1</t>
  </si>
  <si>
    <t>FXIO_D5</t>
  </si>
  <si>
    <t>TRGMUX_OUT5</t>
  </si>
  <si>
    <t>PTE10</t>
  </si>
  <si>
    <t>CLKOUT</t>
  </si>
  <si>
    <t>FXIO_D4</t>
  </si>
  <si>
    <t>TRGMUX_OUT4</t>
  </si>
  <si>
    <t>PTE5</t>
  </si>
  <si>
    <t>CAN0_TX</t>
  </si>
  <si>
    <t>FXIO_D7</t>
  </si>
  <si>
    <t>PTE4</t>
  </si>
  <si>
    <t>CAN0_RX</t>
  </si>
  <si>
    <t>FXIO_D6</t>
  </si>
  <si>
    <t>VDD</t>
  </si>
  <si>
    <t>VDDA</t>
  </si>
  <si>
    <t>VREFH</t>
  </si>
  <si>
    <t>VSS</t>
  </si>
  <si>
    <t>PTB7</t>
  </si>
  <si>
    <t>EXTAL</t>
  </si>
  <si>
    <t>LPI2C0_SCL</t>
  </si>
  <si>
    <t>PTB7/LPI2C0_SCL/EXTAL</t>
  </si>
  <si>
    <t>PTB6</t>
  </si>
  <si>
    <t>XTAL</t>
  </si>
  <si>
    <t>LPI2C0_SDA</t>
  </si>
  <si>
    <t>PTB6/LPI2C0_SDA/XTAL</t>
  </si>
  <si>
    <t>FTM0_FLT1</t>
  </si>
  <si>
    <t>PTE3</t>
  </si>
  <si>
    <t>FTM0_FLT0</t>
  </si>
  <si>
    <t>TRGMUX_IN6</t>
  </si>
  <si>
    <t>CMP0_OUT</t>
  </si>
  <si>
    <t>FTM0_FLT3</t>
  </si>
  <si>
    <t>FTM0_FLT2</t>
  </si>
  <si>
    <t>PTD16</t>
  </si>
  <si>
    <t>FTM0_CH1</t>
  </si>
  <si>
    <t>LPSPI0_SIN</t>
  </si>
  <si>
    <t>CMP0_RRT</t>
  </si>
  <si>
    <t>PTD16/FTM0_CH1/LPSPI0_SIN/CMP0_RRT</t>
  </si>
  <si>
    <t>PTD15</t>
  </si>
  <si>
    <t>FTM0_CH0</t>
  </si>
  <si>
    <t>LPSPI0_SCK</t>
  </si>
  <si>
    <t>PTD15/FTM0_CH0/LPSPI0_SCK</t>
  </si>
  <si>
    <t>PTE9</t>
  </si>
  <si>
    <t>FTM0_CH7</t>
  </si>
  <si>
    <t>PTE9/FTM0_CH7</t>
  </si>
  <si>
    <t>LPUART1_TX</t>
  </si>
  <si>
    <t>LPUART1_RX</t>
  </si>
  <si>
    <t>PTE8</t>
  </si>
  <si>
    <t>CMP0_IN3</t>
  </si>
  <si>
    <t>FTM0_CH6</t>
  </si>
  <si>
    <t>PTE8/FTM0_CH6/CMP0_IN3</t>
  </si>
  <si>
    <t>PTB5</t>
  </si>
  <si>
    <t>FTM0_CH5</t>
  </si>
  <si>
    <t>LPSPI0_PCS1</t>
  </si>
  <si>
    <t>LPSPI0_PCS0</t>
  </si>
  <si>
    <t>TRGMUX_IN0</t>
  </si>
  <si>
    <t>PTB5/FTM0_CH5/LPSPI0_PCS1/LPSPI0_PCS0/CLKOUT/TRGMUX_IN0</t>
  </si>
  <si>
    <t>PTB4</t>
  </si>
  <si>
    <t>FTM0_CH4</t>
  </si>
  <si>
    <t>LPSPI0_SOUT</t>
  </si>
  <si>
    <t>TRGMUX_IN1</t>
  </si>
  <si>
    <t>PTB4/FTM0_CH4/LPSPI0_SOUT/TRGMUX_IN1</t>
  </si>
  <si>
    <t>PTC3</t>
  </si>
  <si>
    <t>ADC0_SE11/CMP0_IN4</t>
  </si>
  <si>
    <t>LPUART0_TX</t>
  </si>
  <si>
    <t>PTC3/FTM0_CH3/CAN0_TX/LPUART0_TX/ADC0_SE11/CMP0_IN4</t>
  </si>
  <si>
    <t>PTC2</t>
  </si>
  <si>
    <t>ADC0_SE10/CMP0_IN5</t>
  </si>
  <si>
    <t>LPUART0_RX</t>
  </si>
  <si>
    <t>PTC2/FTM0_CH2/CAN0_RX/LPUART0_RX/ADC0_SE10/CMP0_IN5</t>
  </si>
  <si>
    <t>PTD7</t>
  </si>
  <si>
    <t>CMP0_IN6</t>
  </si>
  <si>
    <t>PTD6</t>
  </si>
  <si>
    <t>CMP0_IN7</t>
  </si>
  <si>
    <t>PTD5</t>
  </si>
  <si>
    <t>LPTMR0_ALT2</t>
  </si>
  <si>
    <t>TRGMUX_IN7</t>
  </si>
  <si>
    <t>PTC1</t>
  </si>
  <si>
    <t>ADC0_SE9</t>
  </si>
  <si>
    <t>FTM1_CH7</t>
  </si>
  <si>
    <t>PTC1/FTM0_CH1/FTM1_CH7/ADC0_SE9</t>
  </si>
  <si>
    <t>PTC0</t>
  </si>
  <si>
    <t>ADC0_SE8</t>
  </si>
  <si>
    <t>FTM1_CH6</t>
  </si>
  <si>
    <t>PTC0/FTM0_CH0/FTM1_CH6/ADC0_SE8</t>
  </si>
  <si>
    <t>FTM1_CH5</t>
  </si>
  <si>
    <t>FTM1_CH4</t>
  </si>
  <si>
    <t>PTC17</t>
  </si>
  <si>
    <t>ADC0_SE15</t>
  </si>
  <si>
    <t>FTM1_FLT3</t>
  </si>
  <si>
    <t>PTC17/FTM1_FLT3/ADC0_SE15</t>
  </si>
  <si>
    <t>PTC16</t>
  </si>
  <si>
    <t>ADC0_SE14</t>
  </si>
  <si>
    <t>FTM1_FLT2</t>
  </si>
  <si>
    <t>PTC16/FTM1_FLT2/ADC0_SE14</t>
  </si>
  <si>
    <t>PTC15</t>
  </si>
  <si>
    <t>ADC0_SE13</t>
  </si>
  <si>
    <t>FTM1_CH3</t>
  </si>
  <si>
    <t>TRGMUX_IN8</t>
  </si>
  <si>
    <t>PTC15/FTM1_CH3/TRGMUX_IN8/ADC0_SE13</t>
  </si>
  <si>
    <t>PTC14</t>
  </si>
  <si>
    <t>ADC0_SE12</t>
  </si>
  <si>
    <t>FTM1_CH2</t>
  </si>
  <si>
    <t>TRGMUX_IN9</t>
  </si>
  <si>
    <t>PTC14/FTM1_CH2/TRGMUX_IN9/ADC0_SE12</t>
  </si>
  <si>
    <t>PTB3</t>
  </si>
  <si>
    <t>ADC0_SE7</t>
  </si>
  <si>
    <t>FTM1_CH1</t>
  </si>
  <si>
    <t>FTM1_QD_PHA</t>
  </si>
  <si>
    <t>TRGMUX_IN2</t>
  </si>
  <si>
    <t>PTB3/FTM1_CH1/LPSPI0_SIN/FTM1_QD_PHA/TRGMUX_IN2/ADC0_SE7</t>
  </si>
  <si>
    <t>PTB2</t>
  </si>
  <si>
    <t>ADC0_SE6</t>
  </si>
  <si>
    <t>FTM1_CH0</t>
  </si>
  <si>
    <t>FTM1_QD_PHB</t>
  </si>
  <si>
    <t>TRGMUX_IN3</t>
  </si>
  <si>
    <t>PTB2/FTM1_CH0/LPSPI0_SCK/FTM1_QD_PHB/TRGMUX_IN3/ADC0_SE6</t>
  </si>
  <si>
    <t>PTB1</t>
  </si>
  <si>
    <t>TCLK0</t>
  </si>
  <si>
    <t>PTB0</t>
  </si>
  <si>
    <t>LPTMR0_ALT3</t>
  </si>
  <si>
    <t>PTC9</t>
  </si>
  <si>
    <t>FTM1_FLT1</t>
  </si>
  <si>
    <t>LPUART0_RTS</t>
  </si>
  <si>
    <t>PTC9/LPUART1_TX/FTM1_FLT1/LPUART0_RTS</t>
  </si>
  <si>
    <t>PTC8</t>
  </si>
  <si>
    <t>FTM1_FLT0</t>
  </si>
  <si>
    <t>LPUART0_CTS</t>
  </si>
  <si>
    <t>PTC8/LPUART1_RX/FTM1_FLT0/LPUART0_CTS</t>
  </si>
  <si>
    <t>PTA7</t>
  </si>
  <si>
    <t>ADC0_SE3</t>
  </si>
  <si>
    <t>PTA6</t>
  </si>
  <si>
    <t>ADC0_SE2</t>
  </si>
  <si>
    <t>PTE7</t>
  </si>
  <si>
    <t>PTB13</t>
  </si>
  <si>
    <t>PTB12</t>
  </si>
  <si>
    <t>ADC1_SE7</t>
  </si>
  <si>
    <t>PTD4</t>
  </si>
  <si>
    <t>PTD3</t>
  </si>
  <si>
    <t>TRGMUX_IN4</t>
  </si>
  <si>
    <t>NMI_b</t>
  </si>
  <si>
    <t>PTD2</t>
  </si>
  <si>
    <t>TRGMUX_IN5</t>
  </si>
  <si>
    <t>PTA3</t>
  </si>
  <si>
    <t>ADC1_SE1</t>
  </si>
  <si>
    <t>PTA2</t>
  </si>
  <si>
    <t>ADC1_SE0</t>
  </si>
  <si>
    <t>LPI2C0_HREQ</t>
  </si>
  <si>
    <t>LPI2C0_SDAS</t>
  </si>
  <si>
    <t>LPI2C0_SCLS</t>
  </si>
  <si>
    <t>PTA1</t>
  </si>
  <si>
    <t>ADC0_SE1/CMP0_IN1</t>
  </si>
  <si>
    <t>TRGMUX_OUT0</t>
  </si>
  <si>
    <t>PTA1/FTM1_CH1/LPI2C0_SDAS/FXIO_D3/FTM1_QD_PHA/LPUART0_RTS/TRGMUX_OUT0/ADC0_SE1/CMP0_IN1</t>
  </si>
  <si>
    <t>PTA0</t>
  </si>
  <si>
    <t>ADC0_SE0/CMP0_IN0</t>
  </si>
  <si>
    <t>TRGMUX_OUT3</t>
  </si>
  <si>
    <t>PTC7</t>
  </si>
  <si>
    <t>PTC6</t>
  </si>
  <si>
    <t>ADC1_SE4</t>
  </si>
  <si>
    <t>LPSPI0_PCS3</t>
  </si>
  <si>
    <t>PTE6</t>
  </si>
  <si>
    <t>LPSPI0_PCS2</t>
  </si>
  <si>
    <t>PTE2</t>
  </si>
  <si>
    <t>PTA13</t>
  </si>
  <si>
    <t>PTA12</t>
  </si>
  <si>
    <t>PTA11</t>
  </si>
  <si>
    <t>PTA11/FTM1_CH5/FXIO_D1/CMP0_RRT</t>
  </si>
  <si>
    <t>PTA10</t>
  </si>
  <si>
    <t>PTE1</t>
  </si>
  <si>
    <t>PTE0</t>
  </si>
  <si>
    <t>TCLK1</t>
  </si>
  <si>
    <t>PTC5</t>
  </si>
  <si>
    <t>JTAG_TDI</t>
  </si>
  <si>
    <t>PTC4</t>
  </si>
  <si>
    <t>JTAG_TCLK/SWD_CLK</t>
  </si>
  <si>
    <t>CMP0_IN2</t>
  </si>
  <si>
    <t>PTA5</t>
  </si>
  <si>
    <t>RESET_b</t>
  </si>
  <si>
    <t>PTA5/TCLK1/RESET_b</t>
  </si>
  <si>
    <t>PTA4</t>
  </si>
  <si>
    <t>JTAG_TMS/SWD_DIO</t>
  </si>
  <si>
    <t>S32K129_32QFN</t>
  </si>
  <si>
    <t>S32K129_48lqfp</t>
  </si>
  <si>
    <t>S32K129_64lqfp</t>
  </si>
  <si>
    <t>S32K129 Composite Pin Name</t>
  </si>
  <si>
    <t>PTD1/FTM0_CH3/FXIO_D1/TRGMUX_OUT2</t>
  </si>
  <si>
    <t>PTD0/FTM0_CH2/FXIO_D0/TRGMUX_OUT1</t>
  </si>
  <si>
    <t>PTE11/LPTMR0_ALT1/FXIO_D5/TRGMUX_OUT5</t>
  </si>
  <si>
    <t>PTE10/CLKOUT/FXIO_D4/TRGMUX_OUT4</t>
  </si>
  <si>
    <t>PTE5/CAN0_TX/FXIO_D7</t>
  </si>
  <si>
    <t>PTE4/CAN0_RX/FXIO_D6</t>
  </si>
  <si>
    <t>PTE3/FTM0_FLT0/TRGMUX_IN6/CMP0_OUT</t>
  </si>
  <si>
    <r>
      <t>PTD16/FTM0_CH1/LPSPI0_SIN/CMP0_RRT/</t>
    </r>
    <r>
      <rPr>
        <sz val="11"/>
        <color rgb="FF00B050"/>
        <rFont val="Calibri"/>
        <family val="2"/>
      </rPr>
      <t>LPUART1_TX</t>
    </r>
  </si>
  <si>
    <r>
      <t>PTD15/FTM0_CH0/LPSPI0_SCK/</t>
    </r>
    <r>
      <rPr>
        <sz val="11"/>
        <color rgb="FF00B050"/>
        <rFont val="Calibri"/>
        <family val="2"/>
      </rPr>
      <t>LPUART1_RX</t>
    </r>
  </si>
  <si>
    <r>
      <t>PTE9/FTM0_CH7/</t>
    </r>
    <r>
      <rPr>
        <sz val="11"/>
        <color rgb="FF00B050"/>
        <rFont val="Calibri"/>
        <family val="2"/>
      </rPr>
      <t>LPSPI0_PCS3</t>
    </r>
  </si>
  <si>
    <r>
      <t>PTE8/FTM0_CH6/</t>
    </r>
    <r>
      <rPr>
        <sz val="11"/>
        <color rgb="FF00B050"/>
        <rFont val="Calibri"/>
        <family val="2"/>
      </rPr>
      <t>LPSPI0_PCS2</t>
    </r>
    <r>
      <rPr>
        <sz val="11"/>
        <rFont val="Calibri"/>
        <family val="2"/>
      </rPr>
      <t>/CMP0_IN3</t>
    </r>
  </si>
  <si>
    <r>
      <t>PTC3/FTM0_CH3/CAN0_TX/LPUART0_TX/</t>
    </r>
    <r>
      <rPr>
        <sz val="11"/>
        <color rgb="FF00B0F0"/>
        <rFont val="Calibri"/>
        <family val="2"/>
      </rPr>
      <t>ADC1_SE3</t>
    </r>
    <r>
      <rPr>
        <sz val="11"/>
        <rFont val="Calibri"/>
        <family val="2"/>
      </rPr>
      <t>/CMP0_IN4</t>
    </r>
  </si>
  <si>
    <r>
      <t>PTC2/FTM0_CH2/CAN0_RX/LPUART0_RX/</t>
    </r>
    <r>
      <rPr>
        <sz val="11"/>
        <color rgb="FF00B0F0"/>
        <rFont val="Calibri"/>
        <family val="2"/>
      </rPr>
      <t>ADC1_SE2</t>
    </r>
    <r>
      <rPr>
        <sz val="11"/>
        <rFont val="Calibri"/>
        <family val="2"/>
      </rPr>
      <t>/</t>
    </r>
    <r>
      <rPr>
        <sz val="11"/>
        <color rgb="FF00B0F0"/>
        <rFont val="Calibri"/>
        <family val="2"/>
      </rPr>
      <t>CMP0_IN0</t>
    </r>
  </si>
  <si>
    <t>PTD7/CMP0_IN6</t>
  </si>
  <si>
    <t>PTD6/CMP0_IN7</t>
  </si>
  <si>
    <t>PTD5/LPTMR0_ALT2/TRGMUX_IN7</t>
  </si>
  <si>
    <r>
      <t>PTC1/FTM0_CH1/FTM1_CH7/</t>
    </r>
    <r>
      <rPr>
        <sz val="11"/>
        <color rgb="FF00B0F0"/>
        <rFont val="Calibri"/>
        <family val="2"/>
      </rPr>
      <t>ADC1_SE1</t>
    </r>
  </si>
  <si>
    <r>
      <t>PTC0/FTM0_CH0/FTM1_CH6/</t>
    </r>
    <r>
      <rPr>
        <sz val="11"/>
        <color rgb="FF00B0F0"/>
        <rFont val="Calibri"/>
        <family val="2"/>
      </rPr>
      <t>ADC1_SE0</t>
    </r>
  </si>
  <si>
    <r>
      <t>PTC17/FTM1_FLT3/</t>
    </r>
    <r>
      <rPr>
        <sz val="11"/>
        <color rgb="FF00B0F0"/>
        <rFont val="Calibri"/>
        <family val="2"/>
      </rPr>
      <t>ADC1_SE7</t>
    </r>
  </si>
  <si>
    <r>
      <t>PTC16/FTM1_FLT2/</t>
    </r>
    <r>
      <rPr>
        <sz val="11"/>
        <color rgb="FF00B0F0"/>
        <rFont val="Calibri"/>
        <family val="2"/>
      </rPr>
      <t>ADC1_SE6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CMP0_IN2</t>
    </r>
  </si>
  <si>
    <r>
      <t>PTC15/FTM1_CH3/TRGMUX_IN8/</t>
    </r>
    <r>
      <rPr>
        <sz val="11"/>
        <color rgb="FF00B0F0"/>
        <rFont val="Calibri"/>
        <family val="2"/>
      </rPr>
      <t>ADC1_SE5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CMP0_IN3</t>
    </r>
  </si>
  <si>
    <r>
      <t>PTC14/FTM1_CH2/TRGMUX_IN9/</t>
    </r>
    <r>
      <rPr>
        <sz val="11"/>
        <color rgb="FF00B0F0"/>
        <rFont val="Calibri"/>
        <family val="2"/>
      </rPr>
      <t>ADC1_SE4</t>
    </r>
  </si>
  <si>
    <r>
      <t>PTB1/LPUART0_TX/LPSPI0_SOUT/TCLK0/CAN0_TX/ADC0_SE5/</t>
    </r>
    <r>
      <rPr>
        <sz val="11"/>
        <color rgb="FF00B050"/>
        <rFont val="Calibri"/>
        <family val="2"/>
      </rPr>
      <t>ADC1_SE4</t>
    </r>
  </si>
  <si>
    <r>
      <t>PTB0/LPUART0_RX/LPSPI0_PCS0/LPTMR0_ALT3/CAN0_RX/</t>
    </r>
    <r>
      <rPr>
        <sz val="11"/>
        <color rgb="FF00B050"/>
        <rFont val="Calibri"/>
        <family val="2"/>
      </rPr>
      <t>FCCU_EOUT1</t>
    </r>
    <r>
      <rPr>
        <sz val="11"/>
        <rFont val="Calibri"/>
        <family val="2"/>
      </rPr>
      <t>/ADC0_SE4</t>
    </r>
  </si>
  <si>
    <r>
      <t>PTA7/FTM0_FLT2/LPUART1_RTS/</t>
    </r>
    <r>
      <rPr>
        <sz val="11"/>
        <color rgb="FF00B050"/>
        <rFont val="Calibri"/>
        <family val="2"/>
      </rPr>
      <t>FCCU_EOUT0</t>
    </r>
    <r>
      <rPr>
        <sz val="11"/>
        <rFont val="Calibri"/>
        <family val="2"/>
      </rPr>
      <t>/ADC0_SE3</t>
    </r>
  </si>
  <si>
    <t>PTA6/FTM0_FLT1/LPUART1_CTS/ADC0_SE2</t>
  </si>
  <si>
    <t>PTE7/FTM0_CH7</t>
  </si>
  <si>
    <t>PTB13/FTM0_CH1</t>
  </si>
  <si>
    <t>PTB12/FTM0_CH0</t>
  </si>
  <si>
    <t>PTD4/FTM0_FLT3</t>
  </si>
  <si>
    <r>
      <t>PTD3/LPSPI0_PCS0/FXIO_D5/FXIO_D7/TRGMUX_IN4/NMI_b/</t>
    </r>
    <r>
      <rPr>
        <sz val="11"/>
        <color rgb="FF00B050"/>
        <rFont val="Calibri"/>
        <family val="2"/>
      </rPr>
      <t>LPSPI0_SOUT</t>
    </r>
  </si>
  <si>
    <r>
      <t>PTD2/FXIO_D4/FXIO_D6/TRGMUX_IN5/</t>
    </r>
    <r>
      <rPr>
        <sz val="11"/>
        <color rgb="FF00B050"/>
        <rFont val="Calibri"/>
        <family val="2"/>
      </rPr>
      <t>LPSPI0_PCS2</t>
    </r>
  </si>
  <si>
    <r>
      <t>PTA3/LPI2C0_SCL/FXIO_D5/LPUART0_TX/</t>
    </r>
    <r>
      <rPr>
        <sz val="11"/>
        <color rgb="FF00B050"/>
        <rFont val="Calibri"/>
        <family val="2"/>
      </rPr>
      <t>LPSPI0_SIN</t>
    </r>
  </si>
  <si>
    <r>
      <t>PTA2/LPI2C0_SDA/FXIO_D4/LPUART0_RX/</t>
    </r>
    <r>
      <rPr>
        <sz val="11"/>
        <color rgb="FF00B050"/>
        <rFont val="Calibri"/>
        <family val="2"/>
      </rPr>
      <t>LPSPI0_SCK</t>
    </r>
  </si>
  <si>
    <r>
      <t>PTA1/FTM1_CH1/LPI2C0_SDAS/FXIO_D3/FTM1_QD_PHA/LPUART0_RTS/TRGMUX_OUT0/</t>
    </r>
    <r>
      <rPr>
        <sz val="11"/>
        <color rgb="FF00B050"/>
        <rFont val="Calibri"/>
        <family val="2"/>
      </rPr>
      <t>LPSPI0_PC3</t>
    </r>
    <r>
      <rPr>
        <sz val="11"/>
        <rFont val="Calibri"/>
        <family val="2"/>
      </rPr>
      <t>/ADC0_SE1/CMP0_IN1</t>
    </r>
  </si>
  <si>
    <r>
      <t>PTA0/LPI2C0_SCLS/FXIO_D2/LPUART0_CTS/TRGMUX_OUT3/ADC0_SE0/</t>
    </r>
    <r>
      <rPr>
        <sz val="11"/>
        <color rgb="FF00B0F0"/>
        <rFont val="Calibri"/>
        <family val="2"/>
      </rPr>
      <t>CMP0_IN5</t>
    </r>
  </si>
  <si>
    <t>PTC7/LPUART1_TX/FTM1_QD_PHA</t>
  </si>
  <si>
    <t>PTC6/LPUART1_RX/FTM1_QD_PHB</t>
  </si>
  <si>
    <t>PTE6/LPSPI0_PCS2/LPUART1_RTS</t>
  </si>
  <si>
    <t>PTE2/LPSPI0_SOUT/LPTMR0_ALT3/LPUART1_CTS</t>
  </si>
  <si>
    <r>
      <t>PTA13/FTM1_CH7/</t>
    </r>
    <r>
      <rPr>
        <sz val="11"/>
        <color rgb="FF00B050"/>
        <rFont val="Calibri"/>
        <family val="2"/>
      </rPr>
      <t>LPI2C0_SDA</t>
    </r>
  </si>
  <si>
    <r>
      <t>PTA12/FTM1_CH6/</t>
    </r>
    <r>
      <rPr>
        <sz val="11"/>
        <color rgb="FF00B050"/>
        <rFont val="Calibri"/>
        <family val="2"/>
      </rPr>
      <t>LPI2C0_SCL</t>
    </r>
  </si>
  <si>
    <t>PTA10/FTM1_CH4/FXIO_D0/JTAG_TDO</t>
  </si>
  <si>
    <t>PTE1/LPSPI0_SIN/LPI2C0_HREQ/FTM1_FLT1</t>
  </si>
  <si>
    <t>PTE0/LPSPI0_SCK/TCLK1/FTM1_FLT2</t>
  </si>
  <si>
    <t>PTC5/JTAG_TDI</t>
  </si>
  <si>
    <t>PTC4/FTM1_CH0/FTM1_QD_PHB/JTAG_TCLK/SWD_CLK/CMP0_IN2</t>
  </si>
  <si>
    <t>PTA4/CMP0_OUT/JTAG_TMS/SWD_DIO</t>
  </si>
  <si>
    <t>JTAG_TDO</t>
  </si>
  <si>
    <t>PTA7/FTM0_FLT2/LPUART1_RTS/ADC0_SE3</t>
  </si>
  <si>
    <t>PTA0/LPI2C0_SCLS/FXIO_D2/LPUART0_CTS/TRGMUX_OUT3/ADC0_SE0/CMP0_IN0</t>
  </si>
  <si>
    <t>PTA12/FTM1_CH6</t>
  </si>
  <si>
    <t>PTA13/FTM1_CH7</t>
  </si>
  <si>
    <t>S32K129</t>
  </si>
  <si>
    <t>ALT8</t>
  </si>
  <si>
    <t>FCCU_EOUT1</t>
  </si>
  <si>
    <t>FCCU_EOUT0</t>
  </si>
  <si>
    <t>ADC1_SE3/CMP0_IN4</t>
  </si>
  <si>
    <t>ADC1_SE2/CMP0_IN0</t>
  </si>
  <si>
    <t>ADC1_SE6/CMP0_IN2</t>
  </si>
  <si>
    <t>ADC1_SE5/CMP0_IN3</t>
  </si>
  <si>
    <t>ADC0_SE5/ADC1_SE4</t>
  </si>
  <si>
    <t>ADC0_SE4</t>
  </si>
  <si>
    <t>ADC0_SE0/CMP0_IN5</t>
  </si>
  <si>
    <t>PTB1/LPUART0_TX/LPSPI0_SOUT/TCLK0/CAN0_TX/ADC0_SE5</t>
  </si>
  <si>
    <t>PTB0/LPUART0_RX/LPSPI0_PCS0/LPTMR0_ALT3/CAN0_RX/ADC0_SE4</t>
  </si>
  <si>
    <t>PTD3/FXIO_D5/FXIO_D7/TRGMUX_IN4/NMI_b</t>
  </si>
  <si>
    <t>PTD2/FXIO_D4/FXIO_D6/TRGMUX_IN5</t>
  </si>
  <si>
    <t>PTA3/LPI2C0_SCL/FXIO_D5/LPUART0_TX</t>
  </si>
  <si>
    <t>PTA2/LPI2C0_SDA/FXIO_D4/LPUART0_RX</t>
  </si>
  <si>
    <t>ADC0_SE5</t>
  </si>
  <si>
    <t>S32K118V</t>
  </si>
  <si>
    <t>S32K118V_48lqfp</t>
  </si>
  <si>
    <t>S32K118V_64 LQFP</t>
  </si>
  <si>
    <t>S32K118V Composite Pin Name</t>
  </si>
  <si>
    <t>Functions not available in S32K118V, compared to S32K118.</t>
  </si>
  <si>
    <t>S32K118V 64LQFP</t>
  </si>
  <si>
    <t>S32K118V 48LQFP</t>
  </si>
  <si>
    <t>Initial release for S32K118V pinout.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</si>
</sst>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2060"/>
      <name val="Calibri"/>
      <family val="2"/>
    </font>
    <font>
      <b/>
      <sz val="15"/>
      <color rgb="FF002060"/>
      <name val="Calibri"/>
      <family val="2"/>
    </font>
    <font>
      <sz val="15"/>
      <color rgb="FF000000"/>
      <name val="Calibri"/>
      <family val="2"/>
    </font>
    <font>
      <b/>
      <sz val="11"/>
      <color rgb="FF0070C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sz val="11"/>
      <color rgb="FF00B0F0"/>
      <name val="Calibri"/>
      <family val="2"/>
    </font>
    <font>
      <b/>
      <sz val="15"/>
      <color theme="3" tint="0.249977111117893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</font>
    <font>
      <sz val="16"/>
      <color rgb="FF000000"/>
      <name val="Calibri"/>
    </font>
    <font>
      <sz val="8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 diagonalUp="1">
      <left/>
      <right/>
      <top/>
      <bottom/>
      <diagonal style="thick">
        <color rgb="FF000000"/>
      </diagonal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5" fillId="0" borderId="0"/>
  </cellStyleXfs>
  <cellXfs count="96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0" xfId="1"/>
    <xf numFmtId="0" fontId="8" fillId="0" borderId="0" xfId="0" applyFont="1"/>
    <xf numFmtId="0" fontId="0" fillId="7" borderId="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4" fillId="14" borderId="0" xfId="2" applyFont="1" applyFill="1" applyAlignment="1">
      <alignment horizontal="left" vertical="center"/>
    </xf>
    <xf numFmtId="0" fontId="6" fillId="0" borderId="0" xfId="3" applyFont="1"/>
    <xf numFmtId="0" fontId="4" fillId="3" borderId="3" xfId="3" applyFont="1" applyFill="1" applyBorder="1"/>
    <xf numFmtId="0" fontId="4" fillId="3" borderId="4" xfId="3" applyFont="1" applyFill="1" applyBorder="1"/>
    <xf numFmtId="0" fontId="4" fillId="3" borderId="4" xfId="3" applyFont="1" applyFill="1" applyBorder="1" applyAlignment="1">
      <alignment horizontal="center"/>
    </xf>
    <xf numFmtId="0" fontId="15" fillId="0" borderId="0" xfId="3"/>
    <xf numFmtId="0" fontId="15" fillId="7" borderId="0" xfId="3" applyFill="1"/>
    <xf numFmtId="0" fontId="3" fillId="0" borderId="0" xfId="3" applyFont="1"/>
    <xf numFmtId="0" fontId="16" fillId="14" borderId="0" xfId="3" applyFont="1" applyFill="1" applyAlignment="1">
      <alignment horizontal="left" vertical="center"/>
    </xf>
    <xf numFmtId="0" fontId="17" fillId="14" borderId="0" xfId="3" applyFont="1" applyFill="1" applyAlignment="1">
      <alignment horizontal="right" vertical="center"/>
    </xf>
    <xf numFmtId="0" fontId="17" fillId="15" borderId="0" xfId="3" applyFont="1" applyFill="1" applyAlignment="1">
      <alignment horizontal="center" textRotation="90"/>
    </xf>
    <xf numFmtId="0" fontId="17" fillId="14" borderId="0" xfId="3" applyFont="1" applyFill="1" applyAlignment="1">
      <alignment horizontal="left" vertical="center"/>
    </xf>
    <xf numFmtId="0" fontId="17" fillId="14" borderId="18" xfId="3" applyFont="1" applyFill="1" applyBorder="1" applyAlignment="1">
      <alignment horizontal="right" vertical="center"/>
    </xf>
    <xf numFmtId="0" fontId="17" fillId="14" borderId="19" xfId="3" applyFont="1" applyFill="1" applyBorder="1" applyAlignment="1">
      <alignment horizontal="center" textRotation="90"/>
    </xf>
    <xf numFmtId="0" fontId="17" fillId="14" borderId="20" xfId="3" applyFont="1" applyFill="1" applyBorder="1" applyAlignment="1">
      <alignment horizontal="left" vertical="center"/>
    </xf>
    <xf numFmtId="0" fontId="17" fillId="15" borderId="0" xfId="3" applyFont="1" applyFill="1" applyAlignment="1">
      <alignment horizontal="right" vertical="center"/>
    </xf>
    <xf numFmtId="0" fontId="17" fillId="14" borderId="21" xfId="3" applyFont="1" applyFill="1" applyBorder="1" applyAlignment="1">
      <alignment horizontal="right" vertical="center"/>
    </xf>
    <xf numFmtId="0" fontId="17" fillId="14" borderId="22" xfId="3" applyFont="1" applyFill="1" applyBorder="1" applyAlignment="1">
      <alignment horizontal="left" vertical="center"/>
    </xf>
    <xf numFmtId="0" fontId="17" fillId="15" borderId="0" xfId="3" applyFont="1" applyFill="1" applyAlignment="1">
      <alignment horizontal="left" vertical="center"/>
    </xf>
    <xf numFmtId="0" fontId="17" fillId="16" borderId="0" xfId="3" applyFont="1" applyFill="1" applyAlignment="1">
      <alignment horizontal="right" vertical="center"/>
    </xf>
    <xf numFmtId="0" fontId="17" fillId="16" borderId="0" xfId="3" applyFont="1" applyFill="1" applyAlignment="1">
      <alignment horizontal="left" vertical="center"/>
    </xf>
    <xf numFmtId="0" fontId="17" fillId="17" borderId="0" xfId="3" applyFont="1" applyFill="1" applyAlignment="1">
      <alignment horizontal="left" vertical="center"/>
    </xf>
    <xf numFmtId="0" fontId="17" fillId="17" borderId="0" xfId="3" applyFont="1" applyFill="1" applyAlignment="1">
      <alignment horizontal="right" vertical="center"/>
    </xf>
    <xf numFmtId="0" fontId="17" fillId="14" borderId="23" xfId="3" applyFont="1" applyFill="1" applyBorder="1" applyAlignment="1">
      <alignment horizontal="right" vertical="center"/>
    </xf>
    <xf numFmtId="0" fontId="17" fillId="14" borderId="24" xfId="3" applyFont="1" applyFill="1" applyBorder="1" applyAlignment="1">
      <alignment horizontal="center" vertical="top" textRotation="90"/>
    </xf>
    <xf numFmtId="0" fontId="17" fillId="14" borderId="25" xfId="3" applyFont="1" applyFill="1" applyBorder="1" applyAlignment="1">
      <alignment horizontal="left" vertical="center"/>
    </xf>
    <xf numFmtId="0" fontId="17" fillId="15" borderId="0" xfId="3" applyFont="1" applyFill="1" applyAlignment="1">
      <alignment horizontal="center" vertical="top" textRotation="90"/>
    </xf>
    <xf numFmtId="0" fontId="4" fillId="3" borderId="13" xfId="3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4" borderId="3" xfId="3" applyFont="1" applyFill="1" applyBorder="1" applyAlignment="1">
      <alignment horizontal="center"/>
    </xf>
    <xf numFmtId="0" fontId="2" fillId="4" borderId="4" xfId="3" applyFont="1" applyFill="1" applyBorder="1" applyAlignment="1">
      <alignment horizontal="center"/>
    </xf>
    <xf numFmtId="0" fontId="2" fillId="4" borderId="13" xfId="3" applyFon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/>
    </xf>
    <xf numFmtId="0" fontId="8" fillId="4" borderId="10" xfId="1" applyFont="1" applyFill="1" applyBorder="1"/>
    <xf numFmtId="0" fontId="13" fillId="4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13" borderId="9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12" borderId="8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5" fillId="0" borderId="5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11" fillId="0" borderId="29" xfId="1" applyFont="1" applyBorder="1" applyAlignment="1">
      <alignment horizontal="center"/>
    </xf>
    <xf numFmtId="0" fontId="11" fillId="0" borderId="30" xfId="1" applyFont="1" applyBorder="1" applyAlignment="1">
      <alignment horizontal="center"/>
    </xf>
  </cellXfs>
  <cellStyles count="4">
    <cellStyle name="Normal" xfId="0" builtinId="0"/>
    <cellStyle name="Normal 2" xfId="1" xr:uid="{6D43E9E5-A425-4EFB-8DBE-614E7D771362}"/>
    <cellStyle name="Normal 2 2" xfId="2" xr:uid="{96A08453-1011-4AAA-AB02-C50FFAF8CB9A}"/>
    <cellStyle name="Normal 2 3" xfId="3" xr:uid="{620FCB45-D81B-4FF0-BBB3-8931FB426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E83-FE99-4C82-ABC8-BC1E456DD55A}">
  <dimension ref="A1:C4"/>
  <sheetViews>
    <sheetView workbookViewId="0">
      <selection activeCell="A3" sqref="A3"/>
    </sheetView>
  </sheetViews>
  <sheetFormatPr defaultRowHeight="15" x14ac:dyDescent="0.25"/>
  <cols>
    <col min="1" max="1" width="9.7109375" customWidth="1"/>
    <col min="2" max="2" width="12.85546875" customWidth="1"/>
    <col min="3" max="3" width="6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46151</v>
      </c>
      <c r="C2" s="2" t="s">
        <v>291</v>
      </c>
    </row>
    <row r="3" spans="1:3" x14ac:dyDescent="0.25">
      <c r="A3" s="2"/>
      <c r="B3" s="3"/>
      <c r="C3" s="2"/>
    </row>
    <row r="4" spans="1:3" x14ac:dyDescent="0.25">
      <c r="A4" s="2"/>
      <c r="B4" s="3"/>
      <c r="C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7FFD-D1D4-4D17-A45B-618728CFECA7}">
  <sheetPr>
    <tabColor theme="6" tint="0.79998168889431442"/>
  </sheetPr>
  <dimension ref="A1:AA69"/>
  <sheetViews>
    <sheetView tabSelected="1" zoomScale="85" zoomScaleNormal="85" workbookViewId="0">
      <pane ySplit="2" topLeftCell="A3" activePane="bottomLeft" state="frozen"/>
      <selection activeCell="I69" sqref="I69"/>
      <selection pane="bottomLeft" activeCell="R2" sqref="R1:AA1048576"/>
    </sheetView>
  </sheetViews>
  <sheetFormatPr defaultRowHeight="15" x14ac:dyDescent="0.25"/>
  <cols>
    <col min="1" max="1" width="21" customWidth="1"/>
    <col min="2" max="2" width="21.5703125" customWidth="1"/>
    <col min="3" max="3" width="10.5703125" customWidth="1"/>
    <col min="4" max="4" width="99.140625" customWidth="1"/>
    <col min="5" max="5" width="20.85546875" customWidth="1"/>
    <col min="6" max="6" width="20.28515625" customWidth="1"/>
    <col min="7" max="7" width="7" customWidth="1"/>
    <col min="8" max="12" width="14" customWidth="1"/>
    <col min="13" max="13" width="19.85546875" customWidth="1"/>
    <col min="14" max="14" width="15.28515625" style="33" customWidth="1"/>
    <col min="15" max="16" width="14.85546875" style="33" customWidth="1"/>
    <col min="17" max="17" width="110.42578125" style="9" customWidth="1"/>
    <col min="18" max="18" width="21.28515625" style="8" hidden="1" customWidth="1"/>
    <col min="19" max="19" width="27" style="8" hidden="1" customWidth="1"/>
    <col min="20" max="20" width="11.5703125" style="8" hidden="1" customWidth="1"/>
    <col min="21" max="21" width="12.7109375" style="8" hidden="1" customWidth="1"/>
    <col min="22" max="22" width="20" style="8" hidden="1" customWidth="1"/>
    <col min="23" max="23" width="20.85546875" style="8" hidden="1" customWidth="1"/>
    <col min="24" max="24" width="20" style="8" hidden="1" customWidth="1"/>
    <col min="25" max="25" width="19.42578125" style="8" hidden="1" customWidth="1"/>
    <col min="26" max="26" width="19.85546875" style="8" hidden="1" customWidth="1"/>
    <col min="27" max="27" width="13.42578125" style="8" hidden="1" customWidth="1"/>
  </cols>
  <sheetData>
    <row r="1" spans="1:27" ht="20.25" thickBot="1" x14ac:dyDescent="0.35">
      <c r="E1" s="91" t="s">
        <v>284</v>
      </c>
      <c r="F1" s="92"/>
      <c r="G1" s="92"/>
      <c r="H1" s="92"/>
      <c r="I1" s="92"/>
      <c r="J1" s="92"/>
      <c r="K1" s="92"/>
      <c r="L1" s="92"/>
      <c r="M1" s="93"/>
      <c r="N1" s="29"/>
      <c r="O1" s="29"/>
      <c r="P1" s="29"/>
      <c r="Q1" s="29"/>
      <c r="R1" s="94" t="s">
        <v>266</v>
      </c>
      <c r="S1" s="94"/>
      <c r="T1" s="94"/>
      <c r="U1" s="94"/>
      <c r="V1" s="94"/>
      <c r="W1" s="94"/>
      <c r="X1" s="94"/>
      <c r="Y1" s="94"/>
      <c r="Z1" s="94"/>
      <c r="AA1" s="95"/>
    </row>
    <row r="2" spans="1:27" x14ac:dyDescent="0.25">
      <c r="A2" s="30" t="s">
        <v>285</v>
      </c>
      <c r="B2" s="31" t="s">
        <v>286</v>
      </c>
      <c r="C2" s="32" t="s">
        <v>4</v>
      </c>
      <c r="D2" s="55" t="s">
        <v>287</v>
      </c>
      <c r="E2" s="59" t="s">
        <v>5</v>
      </c>
      <c r="F2" s="60" t="s">
        <v>6</v>
      </c>
      <c r="G2" s="60" t="s">
        <v>7</v>
      </c>
      <c r="H2" s="60" t="s">
        <v>8</v>
      </c>
      <c r="I2" s="60" t="s">
        <v>9</v>
      </c>
      <c r="J2" s="60" t="s">
        <v>10</v>
      </c>
      <c r="K2" s="60" t="s">
        <v>11</v>
      </c>
      <c r="L2" s="60" t="s">
        <v>12</v>
      </c>
      <c r="M2" s="61" t="s">
        <v>13</v>
      </c>
      <c r="N2" s="63" t="s">
        <v>209</v>
      </c>
      <c r="O2" s="64" t="s">
        <v>210</v>
      </c>
      <c r="P2" s="64" t="s">
        <v>211</v>
      </c>
      <c r="Q2" s="65" t="s">
        <v>212</v>
      </c>
      <c r="R2" s="72" t="s">
        <v>5</v>
      </c>
      <c r="S2" s="73" t="s">
        <v>6</v>
      </c>
      <c r="T2" s="73" t="s">
        <v>7</v>
      </c>
      <c r="U2" s="73" t="s">
        <v>8</v>
      </c>
      <c r="V2" s="73" t="s">
        <v>9</v>
      </c>
      <c r="W2" s="73" t="s">
        <v>10</v>
      </c>
      <c r="X2" s="73" t="s">
        <v>11</v>
      </c>
      <c r="Y2" s="73" t="s">
        <v>12</v>
      </c>
      <c r="Z2" s="73" t="s">
        <v>13</v>
      </c>
      <c r="AA2" s="74" t="s">
        <v>267</v>
      </c>
    </row>
    <row r="3" spans="1:27" x14ac:dyDescent="0.25">
      <c r="A3" s="13">
        <v>1</v>
      </c>
      <c r="B3" s="5">
        <v>1</v>
      </c>
      <c r="C3" s="5" t="s">
        <v>19</v>
      </c>
      <c r="D3" s="12" t="s">
        <v>213</v>
      </c>
      <c r="E3" s="13" t="s">
        <v>14</v>
      </c>
      <c r="F3" s="4"/>
      <c r="G3" s="5" t="s">
        <v>19</v>
      </c>
      <c r="H3" s="5" t="s">
        <v>20</v>
      </c>
      <c r="I3" s="10"/>
      <c r="J3" s="10"/>
      <c r="K3" s="4"/>
      <c r="L3" s="5" t="s">
        <v>21</v>
      </c>
      <c r="M3" s="12" t="s">
        <v>22</v>
      </c>
      <c r="N3" s="66"/>
      <c r="O3" s="7">
        <v>1</v>
      </c>
      <c r="P3" s="7">
        <v>1</v>
      </c>
      <c r="Q3" s="67" t="s">
        <v>213</v>
      </c>
      <c r="R3" s="75" t="s">
        <v>14</v>
      </c>
      <c r="S3" s="18"/>
      <c r="T3" s="17" t="s">
        <v>19</v>
      </c>
      <c r="U3" s="17" t="s">
        <v>20</v>
      </c>
      <c r="V3" s="19"/>
      <c r="W3" s="20"/>
      <c r="X3" s="20"/>
      <c r="Y3" s="17" t="s">
        <v>21</v>
      </c>
      <c r="Z3" s="17" t="s">
        <v>22</v>
      </c>
      <c r="AA3" s="76"/>
    </row>
    <row r="4" spans="1:27" x14ac:dyDescent="0.25">
      <c r="A4" s="13">
        <v>2</v>
      </c>
      <c r="B4" s="5">
        <v>2</v>
      </c>
      <c r="C4" s="5" t="s">
        <v>23</v>
      </c>
      <c r="D4" s="12" t="s">
        <v>214</v>
      </c>
      <c r="E4" s="13" t="s">
        <v>14</v>
      </c>
      <c r="F4" s="4"/>
      <c r="G4" s="5" t="s">
        <v>23</v>
      </c>
      <c r="H4" s="5" t="s">
        <v>24</v>
      </c>
      <c r="I4" s="10"/>
      <c r="J4" s="10"/>
      <c r="K4" s="4"/>
      <c r="L4" s="5" t="s">
        <v>25</v>
      </c>
      <c r="M4" s="12" t="s">
        <v>26</v>
      </c>
      <c r="N4" s="66"/>
      <c r="O4" s="7">
        <v>2</v>
      </c>
      <c r="P4" s="7">
        <v>2</v>
      </c>
      <c r="Q4" s="67" t="s">
        <v>214</v>
      </c>
      <c r="R4" s="75" t="s">
        <v>14</v>
      </c>
      <c r="S4" s="18"/>
      <c r="T4" s="17" t="s">
        <v>23</v>
      </c>
      <c r="U4" s="17" t="s">
        <v>24</v>
      </c>
      <c r="V4" s="19"/>
      <c r="W4" s="20"/>
      <c r="X4" s="20"/>
      <c r="Y4" s="17" t="s">
        <v>25</v>
      </c>
      <c r="Z4" s="17" t="s">
        <v>26</v>
      </c>
      <c r="AA4" s="77"/>
    </row>
    <row r="5" spans="1:27" x14ac:dyDescent="0.25">
      <c r="A5" s="11"/>
      <c r="B5" s="5">
        <v>3</v>
      </c>
      <c r="C5" s="5" t="s">
        <v>27</v>
      </c>
      <c r="D5" s="12" t="s">
        <v>215</v>
      </c>
      <c r="E5" s="13" t="s">
        <v>14</v>
      </c>
      <c r="F5" s="4"/>
      <c r="G5" s="5" t="s">
        <v>27</v>
      </c>
      <c r="H5" s="4"/>
      <c r="I5" s="5" t="s">
        <v>28</v>
      </c>
      <c r="J5" s="10"/>
      <c r="K5" s="4"/>
      <c r="L5" s="5" t="s">
        <v>29</v>
      </c>
      <c r="M5" s="12" t="s">
        <v>30</v>
      </c>
      <c r="N5" s="66"/>
      <c r="O5" s="6"/>
      <c r="P5" s="7">
        <v>3</v>
      </c>
      <c r="Q5" s="67" t="s">
        <v>215</v>
      </c>
      <c r="R5" s="75" t="s">
        <v>14</v>
      </c>
      <c r="S5" s="18"/>
      <c r="T5" s="17" t="s">
        <v>27</v>
      </c>
      <c r="U5" s="20"/>
      <c r="V5" s="17" t="s">
        <v>28</v>
      </c>
      <c r="W5" s="20"/>
      <c r="X5" s="18"/>
      <c r="Y5" s="17" t="s">
        <v>29</v>
      </c>
      <c r="Z5" s="17" t="s">
        <v>30</v>
      </c>
      <c r="AA5" s="78"/>
    </row>
    <row r="6" spans="1:27" x14ac:dyDescent="0.25">
      <c r="A6" s="11"/>
      <c r="B6" s="5">
        <v>4</v>
      </c>
      <c r="C6" s="5" t="s">
        <v>31</v>
      </c>
      <c r="D6" s="12" t="s">
        <v>216</v>
      </c>
      <c r="E6" s="13" t="s">
        <v>14</v>
      </c>
      <c r="F6" s="4"/>
      <c r="G6" s="5" t="s">
        <v>31</v>
      </c>
      <c r="H6" s="5" t="s">
        <v>32</v>
      </c>
      <c r="I6" s="4"/>
      <c r="J6" s="10"/>
      <c r="K6" s="4"/>
      <c r="L6" s="5" t="s">
        <v>33</v>
      </c>
      <c r="M6" s="12" t="s">
        <v>34</v>
      </c>
      <c r="N6" s="66"/>
      <c r="O6" s="6"/>
      <c r="P6" s="7">
        <v>4</v>
      </c>
      <c r="Q6" s="67" t="s">
        <v>216</v>
      </c>
      <c r="R6" s="75" t="s">
        <v>14</v>
      </c>
      <c r="S6" s="18"/>
      <c r="T6" s="17" t="s">
        <v>31</v>
      </c>
      <c r="U6" s="17" t="s">
        <v>32</v>
      </c>
      <c r="V6" s="20"/>
      <c r="W6" s="20"/>
      <c r="X6" s="18"/>
      <c r="Y6" s="17" t="s">
        <v>33</v>
      </c>
      <c r="Z6" s="17" t="s">
        <v>34</v>
      </c>
      <c r="AA6" s="78"/>
    </row>
    <row r="7" spans="1:27" x14ac:dyDescent="0.25">
      <c r="A7" s="13">
        <v>3</v>
      </c>
      <c r="B7" s="5">
        <v>5</v>
      </c>
      <c r="C7" s="5" t="s">
        <v>35</v>
      </c>
      <c r="D7" s="12" t="s">
        <v>217</v>
      </c>
      <c r="E7" s="13" t="s">
        <v>14</v>
      </c>
      <c r="F7" s="4"/>
      <c r="G7" s="5" t="s">
        <v>35</v>
      </c>
      <c r="H7" s="10"/>
      <c r="I7" s="10"/>
      <c r="J7" s="10"/>
      <c r="K7" s="5" t="s">
        <v>36</v>
      </c>
      <c r="L7" s="5" t="s">
        <v>37</v>
      </c>
      <c r="M7" s="15"/>
      <c r="N7" s="68">
        <v>1</v>
      </c>
      <c r="O7" s="7">
        <v>3</v>
      </c>
      <c r="P7" s="7">
        <v>5</v>
      </c>
      <c r="Q7" s="67" t="s">
        <v>217</v>
      </c>
      <c r="R7" s="75" t="s">
        <v>14</v>
      </c>
      <c r="S7" s="18"/>
      <c r="T7" s="17" t="s">
        <v>35</v>
      </c>
      <c r="U7" s="21"/>
      <c r="V7" s="20"/>
      <c r="W7" s="20"/>
      <c r="X7" s="17" t="s">
        <v>36</v>
      </c>
      <c r="Y7" s="17" t="s">
        <v>37</v>
      </c>
      <c r="Z7" s="20"/>
      <c r="AA7" s="79"/>
    </row>
    <row r="8" spans="1:27" x14ac:dyDescent="0.25">
      <c r="A8" s="13">
        <v>4</v>
      </c>
      <c r="B8" s="5">
        <v>6</v>
      </c>
      <c r="C8" s="5" t="s">
        <v>38</v>
      </c>
      <c r="D8" s="12" t="s">
        <v>218</v>
      </c>
      <c r="E8" s="13" t="s">
        <v>14</v>
      </c>
      <c r="F8" s="4"/>
      <c r="G8" s="5" t="s">
        <v>38</v>
      </c>
      <c r="H8" s="4"/>
      <c r="I8" s="10"/>
      <c r="J8" s="10"/>
      <c r="K8" s="5" t="s">
        <v>39</v>
      </c>
      <c r="L8" s="5" t="s">
        <v>40</v>
      </c>
      <c r="M8" s="15"/>
      <c r="N8" s="68">
        <v>2</v>
      </c>
      <c r="O8" s="7">
        <v>4</v>
      </c>
      <c r="P8" s="7">
        <v>6</v>
      </c>
      <c r="Q8" s="67" t="s">
        <v>218</v>
      </c>
      <c r="R8" s="75" t="s">
        <v>14</v>
      </c>
      <c r="S8" s="18"/>
      <c r="T8" s="17" t="s">
        <v>38</v>
      </c>
      <c r="U8" s="18"/>
      <c r="V8" s="20"/>
      <c r="W8" s="20"/>
      <c r="X8" s="17" t="s">
        <v>39</v>
      </c>
      <c r="Y8" s="17" t="s">
        <v>40</v>
      </c>
      <c r="Z8" s="20"/>
      <c r="AA8" s="79"/>
    </row>
    <row r="9" spans="1:27" x14ac:dyDescent="0.25">
      <c r="A9" s="13">
        <v>5</v>
      </c>
      <c r="B9" s="5">
        <v>7</v>
      </c>
      <c r="C9" s="5" t="s">
        <v>41</v>
      </c>
      <c r="D9" s="12" t="s">
        <v>41</v>
      </c>
      <c r="E9" s="13" t="s">
        <v>41</v>
      </c>
      <c r="F9" s="5" t="s">
        <v>41</v>
      </c>
      <c r="G9" s="4"/>
      <c r="H9" s="4"/>
      <c r="I9" s="4"/>
      <c r="J9" s="4"/>
      <c r="K9" s="4"/>
      <c r="L9" s="4"/>
      <c r="M9" s="16"/>
      <c r="N9" s="68">
        <v>3</v>
      </c>
      <c r="O9" s="7">
        <v>5</v>
      </c>
      <c r="P9" s="7">
        <v>7</v>
      </c>
      <c r="Q9" s="67" t="s">
        <v>41</v>
      </c>
      <c r="R9" s="75" t="s">
        <v>41</v>
      </c>
      <c r="S9" s="17" t="s">
        <v>41</v>
      </c>
      <c r="T9" s="18"/>
      <c r="U9" s="18"/>
      <c r="V9" s="18"/>
      <c r="W9" s="18"/>
      <c r="X9" s="18"/>
      <c r="Y9" s="18"/>
      <c r="Z9" s="20"/>
      <c r="AA9" s="78"/>
    </row>
    <row r="10" spans="1:27" x14ac:dyDescent="0.25">
      <c r="A10" s="13">
        <v>6</v>
      </c>
      <c r="B10" s="5">
        <v>8</v>
      </c>
      <c r="C10" s="5" t="s">
        <v>42</v>
      </c>
      <c r="D10" s="12" t="s">
        <v>42</v>
      </c>
      <c r="E10" s="13" t="s">
        <v>42</v>
      </c>
      <c r="F10" s="5" t="s">
        <v>42</v>
      </c>
      <c r="G10" s="4"/>
      <c r="H10" s="4"/>
      <c r="I10" s="4"/>
      <c r="J10" s="4"/>
      <c r="K10" s="4"/>
      <c r="L10" s="4"/>
      <c r="M10" s="16"/>
      <c r="N10" s="66"/>
      <c r="O10" s="7">
        <v>6</v>
      </c>
      <c r="P10" s="7">
        <v>8</v>
      </c>
      <c r="Q10" s="67" t="s">
        <v>42</v>
      </c>
      <c r="R10" s="75" t="s">
        <v>42</v>
      </c>
      <c r="S10" s="17" t="s">
        <v>42</v>
      </c>
      <c r="T10" s="18"/>
      <c r="U10" s="18"/>
      <c r="V10" s="18"/>
      <c r="W10" s="18"/>
      <c r="X10" s="18"/>
      <c r="Y10" s="18"/>
      <c r="Z10" s="20"/>
      <c r="AA10" s="78"/>
    </row>
    <row r="11" spans="1:27" x14ac:dyDescent="0.25">
      <c r="A11" s="11"/>
      <c r="B11" s="5">
        <v>9</v>
      </c>
      <c r="C11" s="5" t="s">
        <v>43</v>
      </c>
      <c r="D11" s="12" t="s">
        <v>43</v>
      </c>
      <c r="E11" s="13" t="s">
        <v>43</v>
      </c>
      <c r="F11" s="5" t="s">
        <v>43</v>
      </c>
      <c r="G11" s="4"/>
      <c r="H11" s="4"/>
      <c r="I11" s="4"/>
      <c r="J11" s="4"/>
      <c r="K11" s="4"/>
      <c r="L11" s="4"/>
      <c r="M11" s="16"/>
      <c r="N11" s="66"/>
      <c r="O11" s="6"/>
      <c r="P11" s="7">
        <v>9</v>
      </c>
      <c r="Q11" s="67" t="s">
        <v>43</v>
      </c>
      <c r="R11" s="75" t="s">
        <v>43</v>
      </c>
      <c r="S11" s="17" t="s">
        <v>43</v>
      </c>
      <c r="T11" s="18"/>
      <c r="U11" s="18"/>
      <c r="V11" s="18"/>
      <c r="W11" s="18"/>
      <c r="X11" s="18"/>
      <c r="Y11" s="18"/>
      <c r="Z11" s="20"/>
      <c r="AA11" s="78"/>
    </row>
    <row r="12" spans="1:27" x14ac:dyDescent="0.25">
      <c r="A12" s="13">
        <v>7</v>
      </c>
      <c r="B12" s="5">
        <v>10</v>
      </c>
      <c r="C12" s="5" t="s">
        <v>44</v>
      </c>
      <c r="D12" s="12" t="s">
        <v>44</v>
      </c>
      <c r="E12" s="13" t="s">
        <v>44</v>
      </c>
      <c r="F12" s="5" t="s">
        <v>44</v>
      </c>
      <c r="G12" s="4"/>
      <c r="H12" s="4"/>
      <c r="I12" s="4"/>
      <c r="J12" s="4"/>
      <c r="K12" s="4"/>
      <c r="L12" s="4"/>
      <c r="M12" s="16"/>
      <c r="N12" s="68">
        <v>4</v>
      </c>
      <c r="O12" s="7">
        <v>7</v>
      </c>
      <c r="P12" s="7">
        <v>10</v>
      </c>
      <c r="Q12" s="67" t="s">
        <v>44</v>
      </c>
      <c r="R12" s="75" t="s">
        <v>44</v>
      </c>
      <c r="S12" s="17" t="s">
        <v>44</v>
      </c>
      <c r="T12" s="18"/>
      <c r="U12" s="18"/>
      <c r="V12" s="18"/>
      <c r="W12" s="18"/>
      <c r="X12" s="18"/>
      <c r="Y12" s="18"/>
      <c r="Z12" s="20"/>
      <c r="AA12" s="78"/>
    </row>
    <row r="13" spans="1:27" x14ac:dyDescent="0.25">
      <c r="A13" s="13">
        <v>8</v>
      </c>
      <c r="B13" s="5">
        <v>11</v>
      </c>
      <c r="C13" s="5" t="s">
        <v>45</v>
      </c>
      <c r="D13" s="12" t="s">
        <v>48</v>
      </c>
      <c r="E13" s="13" t="s">
        <v>46</v>
      </c>
      <c r="F13" s="5" t="s">
        <v>46</v>
      </c>
      <c r="G13" s="5" t="s">
        <v>45</v>
      </c>
      <c r="H13" s="5" t="s">
        <v>47</v>
      </c>
      <c r="I13" s="4"/>
      <c r="J13" s="4"/>
      <c r="K13" s="4"/>
      <c r="L13" s="4"/>
      <c r="M13" s="16"/>
      <c r="N13" s="68">
        <v>5</v>
      </c>
      <c r="O13" s="7">
        <v>8</v>
      </c>
      <c r="P13" s="7">
        <v>11</v>
      </c>
      <c r="Q13" s="67" t="s">
        <v>48</v>
      </c>
      <c r="R13" s="75" t="s">
        <v>46</v>
      </c>
      <c r="S13" s="17" t="s">
        <v>46</v>
      </c>
      <c r="T13" s="22" t="s">
        <v>45</v>
      </c>
      <c r="U13" s="17" t="s">
        <v>47</v>
      </c>
      <c r="V13" s="18"/>
      <c r="W13" s="18"/>
      <c r="X13" s="18"/>
      <c r="Y13" s="18"/>
      <c r="Z13" s="20"/>
      <c r="AA13" s="78"/>
    </row>
    <row r="14" spans="1:27" x14ac:dyDescent="0.25">
      <c r="A14" s="13">
        <v>9</v>
      </c>
      <c r="B14" s="5">
        <v>12</v>
      </c>
      <c r="C14" s="5" t="s">
        <v>49</v>
      </c>
      <c r="D14" s="12" t="s">
        <v>52</v>
      </c>
      <c r="E14" s="13" t="s">
        <v>50</v>
      </c>
      <c r="F14" s="5" t="s">
        <v>50</v>
      </c>
      <c r="G14" s="5" t="s">
        <v>49</v>
      </c>
      <c r="H14" s="5" t="s">
        <v>51</v>
      </c>
      <c r="I14" s="4"/>
      <c r="J14" s="4"/>
      <c r="K14" s="4"/>
      <c r="L14" s="4"/>
      <c r="M14" s="16"/>
      <c r="N14" s="68">
        <v>6</v>
      </c>
      <c r="O14" s="7">
        <v>9</v>
      </c>
      <c r="P14" s="7">
        <v>12</v>
      </c>
      <c r="Q14" s="67" t="s">
        <v>52</v>
      </c>
      <c r="R14" s="75" t="s">
        <v>50</v>
      </c>
      <c r="S14" s="17" t="s">
        <v>50</v>
      </c>
      <c r="T14" s="22" t="s">
        <v>49</v>
      </c>
      <c r="U14" s="17" t="s">
        <v>51</v>
      </c>
      <c r="V14" s="18"/>
      <c r="W14" s="18"/>
      <c r="X14" s="18"/>
      <c r="Y14" s="18"/>
      <c r="Z14" s="20"/>
      <c r="AA14" s="78"/>
    </row>
    <row r="15" spans="1:27" x14ac:dyDescent="0.25">
      <c r="A15" s="11"/>
      <c r="B15" s="5">
        <v>13</v>
      </c>
      <c r="C15" s="5" t="s">
        <v>54</v>
      </c>
      <c r="D15" s="12" t="s">
        <v>219</v>
      </c>
      <c r="E15" s="13" t="s">
        <v>14</v>
      </c>
      <c r="F15" s="4"/>
      <c r="G15" s="5" t="s">
        <v>54</v>
      </c>
      <c r="H15" s="5" t="s">
        <v>55</v>
      </c>
      <c r="I15" s="4"/>
      <c r="J15" s="10"/>
      <c r="K15" s="4"/>
      <c r="L15" s="5" t="s">
        <v>56</v>
      </c>
      <c r="M15" s="12" t="s">
        <v>57</v>
      </c>
      <c r="N15" s="66"/>
      <c r="O15" s="6"/>
      <c r="P15" s="7">
        <v>13</v>
      </c>
      <c r="Q15" s="67" t="s">
        <v>219</v>
      </c>
      <c r="R15" s="75" t="s">
        <v>14</v>
      </c>
      <c r="S15" s="18"/>
      <c r="T15" s="17" t="s">
        <v>54</v>
      </c>
      <c r="U15" s="17" t="s">
        <v>55</v>
      </c>
      <c r="V15" s="20"/>
      <c r="W15" s="20"/>
      <c r="X15" s="18"/>
      <c r="Y15" s="17" t="s">
        <v>56</v>
      </c>
      <c r="Z15" s="17" t="s">
        <v>57</v>
      </c>
      <c r="AA15" s="80"/>
    </row>
    <row r="16" spans="1:27" x14ac:dyDescent="0.25">
      <c r="A16" s="13">
        <v>10</v>
      </c>
      <c r="B16" s="5">
        <v>14</v>
      </c>
      <c r="C16" s="5" t="s">
        <v>60</v>
      </c>
      <c r="D16" s="12" t="s">
        <v>64</v>
      </c>
      <c r="E16" s="13" t="s">
        <v>14</v>
      </c>
      <c r="F16" s="4"/>
      <c r="G16" s="5" t="s">
        <v>60</v>
      </c>
      <c r="H16" s="5" t="s">
        <v>61</v>
      </c>
      <c r="I16" s="4"/>
      <c r="J16" s="5" t="s">
        <v>62</v>
      </c>
      <c r="K16" s="5" t="s">
        <v>63</v>
      </c>
      <c r="L16" s="4"/>
      <c r="M16" s="16"/>
      <c r="N16" s="68">
        <v>7</v>
      </c>
      <c r="O16" s="7">
        <v>10</v>
      </c>
      <c r="P16" s="7">
        <v>14</v>
      </c>
      <c r="Q16" s="67" t="s">
        <v>220</v>
      </c>
      <c r="R16" s="75" t="s">
        <v>14</v>
      </c>
      <c r="S16" s="18"/>
      <c r="T16" s="17" t="s">
        <v>60</v>
      </c>
      <c r="U16" s="17" t="s">
        <v>61</v>
      </c>
      <c r="V16" s="18"/>
      <c r="W16" s="17" t="s">
        <v>62</v>
      </c>
      <c r="X16" s="17" t="s">
        <v>63</v>
      </c>
      <c r="Y16" s="18"/>
      <c r="Z16" s="18"/>
      <c r="AA16" s="81" t="s">
        <v>72</v>
      </c>
    </row>
    <row r="17" spans="1:27" x14ac:dyDescent="0.25">
      <c r="A17" s="13">
        <v>11</v>
      </c>
      <c r="B17" s="5">
        <v>15</v>
      </c>
      <c r="C17" s="5" t="s">
        <v>65</v>
      </c>
      <c r="D17" s="12" t="s">
        <v>68</v>
      </c>
      <c r="E17" s="13" t="s">
        <v>14</v>
      </c>
      <c r="F17" s="4"/>
      <c r="G17" s="5" t="s">
        <v>65</v>
      </c>
      <c r="H17" s="5" t="s">
        <v>66</v>
      </c>
      <c r="I17" s="4"/>
      <c r="J17" s="5" t="s">
        <v>67</v>
      </c>
      <c r="K17" s="4"/>
      <c r="L17" s="4"/>
      <c r="M17" s="16"/>
      <c r="N17" s="68">
        <v>8</v>
      </c>
      <c r="O17" s="7">
        <v>11</v>
      </c>
      <c r="P17" s="7">
        <v>15</v>
      </c>
      <c r="Q17" s="67" t="s">
        <v>221</v>
      </c>
      <c r="R17" s="75" t="s">
        <v>14</v>
      </c>
      <c r="S17" s="18"/>
      <c r="T17" s="17" t="s">
        <v>65</v>
      </c>
      <c r="U17" s="17" t="s">
        <v>66</v>
      </c>
      <c r="V17" s="18"/>
      <c r="W17" s="17" t="s">
        <v>67</v>
      </c>
      <c r="X17" s="18"/>
      <c r="Y17" s="18"/>
      <c r="Z17" s="18"/>
      <c r="AA17" s="81" t="s">
        <v>73</v>
      </c>
    </row>
    <row r="18" spans="1:27" x14ac:dyDescent="0.25">
      <c r="A18" s="13">
        <v>12</v>
      </c>
      <c r="B18" s="5">
        <v>16</v>
      </c>
      <c r="C18" s="5" t="s">
        <v>69</v>
      </c>
      <c r="D18" s="12" t="s">
        <v>71</v>
      </c>
      <c r="E18" s="13" t="s">
        <v>14</v>
      </c>
      <c r="F18" s="4"/>
      <c r="G18" s="5" t="s">
        <v>69</v>
      </c>
      <c r="H18" s="5" t="s">
        <v>70</v>
      </c>
      <c r="I18" s="4"/>
      <c r="J18" s="4"/>
      <c r="K18" s="4"/>
      <c r="L18" s="4"/>
      <c r="M18" s="16"/>
      <c r="N18" s="66"/>
      <c r="O18" s="7">
        <v>12</v>
      </c>
      <c r="P18" s="7">
        <v>16</v>
      </c>
      <c r="Q18" s="67" t="s">
        <v>222</v>
      </c>
      <c r="R18" s="75" t="s">
        <v>14</v>
      </c>
      <c r="S18" s="18"/>
      <c r="T18" s="17" t="s">
        <v>69</v>
      </c>
      <c r="U18" s="17" t="s">
        <v>70</v>
      </c>
      <c r="V18" s="20"/>
      <c r="W18" s="18"/>
      <c r="X18" s="18"/>
      <c r="Y18" s="18"/>
      <c r="Z18" s="18"/>
      <c r="AA18" s="81" t="s">
        <v>187</v>
      </c>
    </row>
    <row r="19" spans="1:27" x14ac:dyDescent="0.25">
      <c r="A19" s="13">
        <v>13</v>
      </c>
      <c r="B19" s="5">
        <v>17</v>
      </c>
      <c r="C19" s="5" t="s">
        <v>74</v>
      </c>
      <c r="D19" s="12" t="s">
        <v>77</v>
      </c>
      <c r="E19" s="13" t="s">
        <v>75</v>
      </c>
      <c r="F19" s="5" t="s">
        <v>75</v>
      </c>
      <c r="G19" s="5" t="s">
        <v>74</v>
      </c>
      <c r="H19" s="5" t="s">
        <v>76</v>
      </c>
      <c r="I19" s="4"/>
      <c r="J19" s="4"/>
      <c r="K19" s="4"/>
      <c r="L19" s="4"/>
      <c r="M19" s="16"/>
      <c r="N19" s="68">
        <v>9</v>
      </c>
      <c r="O19" s="7">
        <v>13</v>
      </c>
      <c r="P19" s="7">
        <v>17</v>
      </c>
      <c r="Q19" s="67" t="s">
        <v>223</v>
      </c>
      <c r="R19" s="75" t="s">
        <v>75</v>
      </c>
      <c r="S19" s="17" t="s">
        <v>75</v>
      </c>
      <c r="T19" s="17" t="s">
        <v>74</v>
      </c>
      <c r="U19" s="17" t="s">
        <v>76</v>
      </c>
      <c r="V19" s="18"/>
      <c r="W19" s="18"/>
      <c r="X19" s="18"/>
      <c r="Y19" s="18"/>
      <c r="Z19" s="18"/>
      <c r="AA19" s="81" t="s">
        <v>189</v>
      </c>
    </row>
    <row r="20" spans="1:27" x14ac:dyDescent="0.25">
      <c r="A20" s="13">
        <v>14</v>
      </c>
      <c r="B20" s="5">
        <v>18</v>
      </c>
      <c r="C20" s="5" t="s">
        <v>78</v>
      </c>
      <c r="D20" s="12" t="s">
        <v>83</v>
      </c>
      <c r="E20" s="13" t="s">
        <v>14</v>
      </c>
      <c r="F20" s="4"/>
      <c r="G20" s="5" t="s">
        <v>78</v>
      </c>
      <c r="H20" s="5" t="s">
        <v>79</v>
      </c>
      <c r="I20" s="5" t="s">
        <v>80</v>
      </c>
      <c r="J20" s="5" t="s">
        <v>81</v>
      </c>
      <c r="K20" s="5" t="s">
        <v>32</v>
      </c>
      <c r="L20" s="5" t="s">
        <v>82</v>
      </c>
      <c r="M20" s="16"/>
      <c r="N20" s="68">
        <v>10</v>
      </c>
      <c r="O20" s="7">
        <v>14</v>
      </c>
      <c r="P20" s="7">
        <v>18</v>
      </c>
      <c r="Q20" s="67" t="s">
        <v>83</v>
      </c>
      <c r="R20" s="75" t="s">
        <v>14</v>
      </c>
      <c r="S20" s="18"/>
      <c r="T20" s="17" t="s">
        <v>78</v>
      </c>
      <c r="U20" s="17" t="s">
        <v>79</v>
      </c>
      <c r="V20" s="17" t="s">
        <v>80</v>
      </c>
      <c r="W20" s="17" t="s">
        <v>81</v>
      </c>
      <c r="X20" s="17" t="s">
        <v>32</v>
      </c>
      <c r="Y20" s="17" t="s">
        <v>82</v>
      </c>
      <c r="Z20" s="18"/>
      <c r="AA20" s="82"/>
    </row>
    <row r="21" spans="1:27" x14ac:dyDescent="0.25">
      <c r="A21" s="13">
        <v>15</v>
      </c>
      <c r="B21" s="5">
        <v>19</v>
      </c>
      <c r="C21" s="5" t="s">
        <v>84</v>
      </c>
      <c r="D21" s="12" t="s">
        <v>88</v>
      </c>
      <c r="E21" s="13" t="s">
        <v>14</v>
      </c>
      <c r="F21" s="4"/>
      <c r="G21" s="5" t="s">
        <v>84</v>
      </c>
      <c r="H21" s="5" t="s">
        <v>85</v>
      </c>
      <c r="I21" s="5" t="s">
        <v>86</v>
      </c>
      <c r="J21" s="4"/>
      <c r="K21" s="4"/>
      <c r="L21" s="5" t="s">
        <v>87</v>
      </c>
      <c r="M21" s="16"/>
      <c r="N21" s="68">
        <v>11</v>
      </c>
      <c r="O21" s="7">
        <v>15</v>
      </c>
      <c r="P21" s="7">
        <v>19</v>
      </c>
      <c r="Q21" s="67" t="s">
        <v>88</v>
      </c>
      <c r="R21" s="75" t="s">
        <v>14</v>
      </c>
      <c r="S21" s="18"/>
      <c r="T21" s="17" t="s">
        <v>84</v>
      </c>
      <c r="U21" s="17" t="s">
        <v>85</v>
      </c>
      <c r="V21" s="17" t="s">
        <v>86</v>
      </c>
      <c r="W21" s="18"/>
      <c r="X21" s="18"/>
      <c r="Y21" s="17" t="s">
        <v>87</v>
      </c>
      <c r="Z21" s="18"/>
      <c r="AA21" s="82"/>
    </row>
    <row r="22" spans="1:27" x14ac:dyDescent="0.25">
      <c r="A22" s="13">
        <v>16</v>
      </c>
      <c r="B22" s="5">
        <v>20</v>
      </c>
      <c r="C22" s="5" t="s">
        <v>89</v>
      </c>
      <c r="D22" s="12" t="s">
        <v>92</v>
      </c>
      <c r="E22" s="13" t="s">
        <v>90</v>
      </c>
      <c r="F22" s="5" t="s">
        <v>90</v>
      </c>
      <c r="G22" s="5" t="s">
        <v>89</v>
      </c>
      <c r="H22" s="5" t="s">
        <v>20</v>
      </c>
      <c r="I22" s="5" t="s">
        <v>36</v>
      </c>
      <c r="J22" s="5" t="s">
        <v>91</v>
      </c>
      <c r="K22" s="4"/>
      <c r="L22" s="4"/>
      <c r="M22" s="16"/>
      <c r="N22" s="68">
        <v>12</v>
      </c>
      <c r="O22" s="7">
        <v>16</v>
      </c>
      <c r="P22" s="7">
        <v>20</v>
      </c>
      <c r="Q22" s="67" t="s">
        <v>224</v>
      </c>
      <c r="R22" s="83" t="s">
        <v>270</v>
      </c>
      <c r="S22" s="23" t="s">
        <v>270</v>
      </c>
      <c r="T22" s="17" t="s">
        <v>89</v>
      </c>
      <c r="U22" s="17" t="s">
        <v>20</v>
      </c>
      <c r="V22" s="17" t="s">
        <v>36</v>
      </c>
      <c r="W22" s="17" t="s">
        <v>91</v>
      </c>
      <c r="X22" s="18"/>
      <c r="Y22" s="18"/>
      <c r="Z22" s="18"/>
      <c r="AA22" s="82"/>
    </row>
    <row r="23" spans="1:27" x14ac:dyDescent="0.25">
      <c r="A23" s="13">
        <v>17</v>
      </c>
      <c r="B23" s="5">
        <v>21</v>
      </c>
      <c r="C23" s="5" t="s">
        <v>93</v>
      </c>
      <c r="D23" s="12" t="s">
        <v>96</v>
      </c>
      <c r="E23" s="13" t="s">
        <v>94</v>
      </c>
      <c r="F23" s="5" t="s">
        <v>94</v>
      </c>
      <c r="G23" s="5" t="s">
        <v>93</v>
      </c>
      <c r="H23" s="5" t="s">
        <v>24</v>
      </c>
      <c r="I23" s="5" t="s">
        <v>39</v>
      </c>
      <c r="J23" s="5" t="s">
        <v>95</v>
      </c>
      <c r="K23" s="4"/>
      <c r="L23" s="4"/>
      <c r="M23" s="16"/>
      <c r="N23" s="68">
        <v>13</v>
      </c>
      <c r="O23" s="7">
        <v>17</v>
      </c>
      <c r="P23" s="7">
        <v>21</v>
      </c>
      <c r="Q23" s="67" t="s">
        <v>225</v>
      </c>
      <c r="R23" s="83" t="s">
        <v>271</v>
      </c>
      <c r="S23" s="23" t="s">
        <v>271</v>
      </c>
      <c r="T23" s="17" t="s">
        <v>93</v>
      </c>
      <c r="U23" s="17" t="s">
        <v>24</v>
      </c>
      <c r="V23" s="17" t="s">
        <v>39</v>
      </c>
      <c r="W23" s="17" t="s">
        <v>95</v>
      </c>
      <c r="X23" s="18"/>
      <c r="Y23" s="18"/>
      <c r="Z23" s="18"/>
      <c r="AA23" s="82"/>
    </row>
    <row r="24" spans="1:27" x14ac:dyDescent="0.25">
      <c r="A24" s="11"/>
      <c r="B24" s="5">
        <v>22</v>
      </c>
      <c r="C24" s="5" t="s">
        <v>97</v>
      </c>
      <c r="D24" s="12" t="s">
        <v>226</v>
      </c>
      <c r="E24" s="13" t="s">
        <v>98</v>
      </c>
      <c r="F24" s="5" t="s">
        <v>98</v>
      </c>
      <c r="G24" s="5" t="s">
        <v>97</v>
      </c>
      <c r="H24" s="4"/>
      <c r="I24" s="4"/>
      <c r="J24" s="10"/>
      <c r="K24" s="4"/>
      <c r="L24" s="4"/>
      <c r="M24" s="16"/>
      <c r="N24" s="66"/>
      <c r="O24" s="6"/>
      <c r="P24" s="7">
        <v>22</v>
      </c>
      <c r="Q24" s="67" t="s">
        <v>226</v>
      </c>
      <c r="R24" s="75" t="s">
        <v>98</v>
      </c>
      <c r="S24" s="17" t="s">
        <v>98</v>
      </c>
      <c r="T24" s="17" t="s">
        <v>97</v>
      </c>
      <c r="U24" s="20"/>
      <c r="V24" s="18"/>
      <c r="W24" s="20"/>
      <c r="X24" s="18"/>
      <c r="Y24" s="18"/>
      <c r="Z24" s="18"/>
      <c r="AA24" s="82"/>
    </row>
    <row r="25" spans="1:27" x14ac:dyDescent="0.25">
      <c r="A25" s="11"/>
      <c r="B25" s="5">
        <v>23</v>
      </c>
      <c r="C25" s="5" t="s">
        <v>99</v>
      </c>
      <c r="D25" s="12" t="s">
        <v>227</v>
      </c>
      <c r="E25" s="13" t="s">
        <v>100</v>
      </c>
      <c r="F25" s="5" t="s">
        <v>100</v>
      </c>
      <c r="G25" s="5" t="s">
        <v>99</v>
      </c>
      <c r="H25" s="4"/>
      <c r="I25" s="4"/>
      <c r="J25" s="10"/>
      <c r="K25" s="4"/>
      <c r="L25" s="4"/>
      <c r="M25" s="16"/>
      <c r="N25" s="66"/>
      <c r="O25" s="6"/>
      <c r="P25" s="7">
        <v>23</v>
      </c>
      <c r="Q25" s="67" t="s">
        <v>227</v>
      </c>
      <c r="R25" s="75" t="s">
        <v>100</v>
      </c>
      <c r="S25" s="17" t="s">
        <v>100</v>
      </c>
      <c r="T25" s="17" t="s">
        <v>99</v>
      </c>
      <c r="U25" s="20"/>
      <c r="V25" s="18"/>
      <c r="W25" s="20"/>
      <c r="X25" s="18"/>
      <c r="Y25" s="18"/>
      <c r="Z25" s="18"/>
      <c r="AA25" s="82"/>
    </row>
    <row r="26" spans="1:27" x14ac:dyDescent="0.25">
      <c r="A26" s="13">
        <v>18</v>
      </c>
      <c r="B26" s="5">
        <v>24</v>
      </c>
      <c r="C26" s="5" t="s">
        <v>101</v>
      </c>
      <c r="D26" s="12" t="s">
        <v>228</v>
      </c>
      <c r="E26" s="13" t="s">
        <v>14</v>
      </c>
      <c r="F26" s="4"/>
      <c r="G26" s="5" t="s">
        <v>101</v>
      </c>
      <c r="H26" s="10"/>
      <c r="I26" s="5" t="s">
        <v>102</v>
      </c>
      <c r="J26" s="10"/>
      <c r="K26" s="4"/>
      <c r="L26" s="5" t="s">
        <v>103</v>
      </c>
      <c r="M26" s="16"/>
      <c r="N26" s="68">
        <v>14</v>
      </c>
      <c r="O26" s="7">
        <v>18</v>
      </c>
      <c r="P26" s="7">
        <v>24</v>
      </c>
      <c r="Q26" s="67" t="s">
        <v>228</v>
      </c>
      <c r="R26" s="75" t="s">
        <v>14</v>
      </c>
      <c r="S26" s="18"/>
      <c r="T26" s="17" t="s">
        <v>101</v>
      </c>
      <c r="U26" s="20"/>
      <c r="V26" s="17" t="s">
        <v>102</v>
      </c>
      <c r="W26" s="20"/>
      <c r="X26" s="18"/>
      <c r="Y26" s="17" t="s">
        <v>103</v>
      </c>
      <c r="Z26" s="18"/>
      <c r="AA26" s="82"/>
    </row>
    <row r="27" spans="1:27" x14ac:dyDescent="0.25">
      <c r="A27" s="13">
        <v>19</v>
      </c>
      <c r="B27" s="5">
        <v>25</v>
      </c>
      <c r="C27" s="5" t="s">
        <v>104</v>
      </c>
      <c r="D27" s="12" t="s">
        <v>107</v>
      </c>
      <c r="E27" s="13" t="s">
        <v>105</v>
      </c>
      <c r="F27" s="5" t="s">
        <v>105</v>
      </c>
      <c r="G27" s="5" t="s">
        <v>104</v>
      </c>
      <c r="H27" s="5" t="s">
        <v>61</v>
      </c>
      <c r="I27" s="4"/>
      <c r="J27" s="4"/>
      <c r="K27" s="4"/>
      <c r="L27" s="5" t="s">
        <v>106</v>
      </c>
      <c r="M27" s="16"/>
      <c r="N27" s="66"/>
      <c r="O27" s="7">
        <v>19</v>
      </c>
      <c r="P27" s="7">
        <v>25</v>
      </c>
      <c r="Q27" s="67" t="s">
        <v>229</v>
      </c>
      <c r="R27" s="83" t="s">
        <v>171</v>
      </c>
      <c r="S27" s="23" t="s">
        <v>171</v>
      </c>
      <c r="T27" s="17" t="s">
        <v>104</v>
      </c>
      <c r="U27" s="17" t="s">
        <v>61</v>
      </c>
      <c r="V27" s="24"/>
      <c r="W27" s="18"/>
      <c r="X27" s="18"/>
      <c r="Y27" s="17" t="s">
        <v>106</v>
      </c>
      <c r="Z27" s="18"/>
      <c r="AA27" s="82"/>
    </row>
    <row r="28" spans="1:27" x14ac:dyDescent="0.25">
      <c r="A28" s="11"/>
      <c r="B28" s="5">
        <v>26</v>
      </c>
      <c r="C28" s="5" t="s">
        <v>108</v>
      </c>
      <c r="D28" s="12" t="s">
        <v>111</v>
      </c>
      <c r="E28" s="13" t="s">
        <v>109</v>
      </c>
      <c r="F28" s="5" t="s">
        <v>109</v>
      </c>
      <c r="G28" s="5" t="s">
        <v>108</v>
      </c>
      <c r="H28" s="5" t="s">
        <v>66</v>
      </c>
      <c r="I28" s="4"/>
      <c r="J28" s="4"/>
      <c r="K28" s="4"/>
      <c r="L28" s="5" t="s">
        <v>110</v>
      </c>
      <c r="M28" s="16"/>
      <c r="N28" s="66"/>
      <c r="O28" s="6"/>
      <c r="P28" s="7">
        <v>26</v>
      </c>
      <c r="Q28" s="67" t="s">
        <v>230</v>
      </c>
      <c r="R28" s="83" t="s">
        <v>173</v>
      </c>
      <c r="S28" s="23" t="s">
        <v>173</v>
      </c>
      <c r="T28" s="17" t="s">
        <v>108</v>
      </c>
      <c r="U28" s="17" t="s">
        <v>66</v>
      </c>
      <c r="V28" s="24"/>
      <c r="W28" s="18"/>
      <c r="X28" s="18"/>
      <c r="Y28" s="17" t="s">
        <v>110</v>
      </c>
      <c r="Z28" s="18"/>
      <c r="AA28" s="82"/>
    </row>
    <row r="29" spans="1:27" x14ac:dyDescent="0.25">
      <c r="A29" s="11"/>
      <c r="B29" s="5">
        <v>27</v>
      </c>
      <c r="C29" s="5" t="s">
        <v>114</v>
      </c>
      <c r="D29" s="12" t="s">
        <v>117</v>
      </c>
      <c r="E29" s="13" t="s">
        <v>115</v>
      </c>
      <c r="F29" s="5" t="s">
        <v>115</v>
      </c>
      <c r="G29" s="5" t="s">
        <v>114</v>
      </c>
      <c r="H29" s="5" t="s">
        <v>116</v>
      </c>
      <c r="I29" s="4"/>
      <c r="J29" s="4"/>
      <c r="K29" s="4"/>
      <c r="L29" s="4"/>
      <c r="M29" s="16"/>
      <c r="N29" s="66"/>
      <c r="O29" s="6"/>
      <c r="P29" s="7">
        <v>27</v>
      </c>
      <c r="Q29" s="67" t="s">
        <v>231</v>
      </c>
      <c r="R29" s="83" t="s">
        <v>163</v>
      </c>
      <c r="S29" s="23" t="s">
        <v>163</v>
      </c>
      <c r="T29" s="17" t="s">
        <v>114</v>
      </c>
      <c r="U29" s="17" t="s">
        <v>116</v>
      </c>
      <c r="V29" s="20"/>
      <c r="W29" s="24"/>
      <c r="X29" s="18"/>
      <c r="Y29" s="18"/>
      <c r="Z29" s="18"/>
      <c r="AA29" s="82"/>
    </row>
    <row r="30" spans="1:27" x14ac:dyDescent="0.25">
      <c r="A30" s="13">
        <v>20</v>
      </c>
      <c r="B30" s="5">
        <v>28</v>
      </c>
      <c r="C30" s="5" t="s">
        <v>118</v>
      </c>
      <c r="D30" s="12" t="s">
        <v>121</v>
      </c>
      <c r="E30" s="13" t="s">
        <v>119</v>
      </c>
      <c r="F30" s="5" t="s">
        <v>119</v>
      </c>
      <c r="G30" s="5" t="s">
        <v>118</v>
      </c>
      <c r="H30" s="5" t="s">
        <v>120</v>
      </c>
      <c r="I30" s="4"/>
      <c r="J30" s="4"/>
      <c r="K30" s="4"/>
      <c r="L30" s="4"/>
      <c r="M30" s="16"/>
      <c r="N30" s="66"/>
      <c r="O30" s="7">
        <v>20</v>
      </c>
      <c r="P30" s="7">
        <v>28</v>
      </c>
      <c r="Q30" s="67" t="s">
        <v>232</v>
      </c>
      <c r="R30" s="84" t="s">
        <v>272</v>
      </c>
      <c r="S30" s="25" t="s">
        <v>272</v>
      </c>
      <c r="T30" s="17" t="s">
        <v>118</v>
      </c>
      <c r="U30" s="17" t="s">
        <v>120</v>
      </c>
      <c r="V30" s="20"/>
      <c r="W30" s="24"/>
      <c r="X30" s="18"/>
      <c r="Y30" s="18"/>
      <c r="Z30" s="18"/>
      <c r="AA30" s="82"/>
    </row>
    <row r="31" spans="1:27" x14ac:dyDescent="0.25">
      <c r="A31" s="13">
        <v>21</v>
      </c>
      <c r="B31" s="5">
        <v>29</v>
      </c>
      <c r="C31" s="5" t="s">
        <v>122</v>
      </c>
      <c r="D31" s="12" t="s">
        <v>126</v>
      </c>
      <c r="E31" s="13" t="s">
        <v>123</v>
      </c>
      <c r="F31" s="5" t="s">
        <v>123</v>
      </c>
      <c r="G31" s="5" t="s">
        <v>122</v>
      </c>
      <c r="H31" s="5" t="s">
        <v>124</v>
      </c>
      <c r="I31" s="4"/>
      <c r="J31" s="4"/>
      <c r="K31" s="4"/>
      <c r="L31" s="5" t="s">
        <v>125</v>
      </c>
      <c r="M31" s="16"/>
      <c r="N31" s="66"/>
      <c r="O31" s="7">
        <v>21</v>
      </c>
      <c r="P31" s="7">
        <v>29</v>
      </c>
      <c r="Q31" s="67" t="s">
        <v>233</v>
      </c>
      <c r="R31" s="84" t="s">
        <v>273</v>
      </c>
      <c r="S31" s="25" t="s">
        <v>273</v>
      </c>
      <c r="T31" s="17" t="s">
        <v>122</v>
      </c>
      <c r="U31" s="17" t="s">
        <v>124</v>
      </c>
      <c r="V31" s="20"/>
      <c r="W31" s="18"/>
      <c r="X31" s="18"/>
      <c r="Y31" s="17" t="s">
        <v>125</v>
      </c>
      <c r="Z31" s="18"/>
      <c r="AA31" s="82"/>
    </row>
    <row r="32" spans="1:27" x14ac:dyDescent="0.25">
      <c r="A32" s="13">
        <v>22</v>
      </c>
      <c r="B32" s="5">
        <v>30</v>
      </c>
      <c r="C32" s="5" t="s">
        <v>127</v>
      </c>
      <c r="D32" s="12" t="s">
        <v>131</v>
      </c>
      <c r="E32" s="13" t="s">
        <v>128</v>
      </c>
      <c r="F32" s="5" t="s">
        <v>128</v>
      </c>
      <c r="G32" s="5" t="s">
        <v>127</v>
      </c>
      <c r="H32" s="5" t="s">
        <v>129</v>
      </c>
      <c r="I32" s="4"/>
      <c r="J32" s="4"/>
      <c r="K32" s="4"/>
      <c r="L32" s="5" t="s">
        <v>130</v>
      </c>
      <c r="M32" s="16"/>
      <c r="N32" s="66"/>
      <c r="O32" s="7">
        <v>22</v>
      </c>
      <c r="P32" s="7">
        <v>30</v>
      </c>
      <c r="Q32" s="67" t="s">
        <v>234</v>
      </c>
      <c r="R32" s="83" t="s">
        <v>186</v>
      </c>
      <c r="S32" s="23" t="s">
        <v>186</v>
      </c>
      <c r="T32" s="17" t="s">
        <v>127</v>
      </c>
      <c r="U32" s="17" t="s">
        <v>129</v>
      </c>
      <c r="V32" s="20"/>
      <c r="W32" s="18"/>
      <c r="X32" s="18"/>
      <c r="Y32" s="17" t="s">
        <v>130</v>
      </c>
      <c r="Z32" s="18"/>
      <c r="AA32" s="82"/>
    </row>
    <row r="33" spans="1:27" x14ac:dyDescent="0.25">
      <c r="A33" s="13">
        <v>23</v>
      </c>
      <c r="B33" s="5">
        <v>31</v>
      </c>
      <c r="C33" s="5" t="s">
        <v>132</v>
      </c>
      <c r="D33" s="12" t="s">
        <v>137</v>
      </c>
      <c r="E33" s="13" t="s">
        <v>133</v>
      </c>
      <c r="F33" s="5" t="s">
        <v>133</v>
      </c>
      <c r="G33" s="5" t="s">
        <v>132</v>
      </c>
      <c r="H33" s="5" t="s">
        <v>134</v>
      </c>
      <c r="I33" s="5" t="s">
        <v>62</v>
      </c>
      <c r="J33" s="5" t="s">
        <v>135</v>
      </c>
      <c r="K33" s="4"/>
      <c r="L33" s="5" t="s">
        <v>136</v>
      </c>
      <c r="M33" s="16"/>
      <c r="N33" s="68">
        <v>15</v>
      </c>
      <c r="O33" s="7">
        <v>23</v>
      </c>
      <c r="P33" s="7">
        <v>31</v>
      </c>
      <c r="Q33" s="67" t="s">
        <v>137</v>
      </c>
      <c r="R33" s="75" t="s">
        <v>133</v>
      </c>
      <c r="S33" s="17" t="s">
        <v>133</v>
      </c>
      <c r="T33" s="17" t="s">
        <v>132</v>
      </c>
      <c r="U33" s="17" t="s">
        <v>134</v>
      </c>
      <c r="V33" s="17" t="s">
        <v>62</v>
      </c>
      <c r="W33" s="17" t="s">
        <v>135</v>
      </c>
      <c r="X33" s="18"/>
      <c r="Y33" s="17" t="s">
        <v>136</v>
      </c>
      <c r="Z33" s="18"/>
      <c r="AA33" s="82"/>
    </row>
    <row r="34" spans="1:27" x14ac:dyDescent="0.25">
      <c r="A34" s="13">
        <v>24</v>
      </c>
      <c r="B34" s="5">
        <v>32</v>
      </c>
      <c r="C34" s="5" t="s">
        <v>138</v>
      </c>
      <c r="D34" s="12" t="s">
        <v>143</v>
      </c>
      <c r="E34" s="13" t="s">
        <v>139</v>
      </c>
      <c r="F34" s="5" t="s">
        <v>139</v>
      </c>
      <c r="G34" s="5" t="s">
        <v>138</v>
      </c>
      <c r="H34" s="5" t="s">
        <v>140</v>
      </c>
      <c r="I34" s="5" t="s">
        <v>67</v>
      </c>
      <c r="J34" s="5" t="s">
        <v>141</v>
      </c>
      <c r="K34" s="4"/>
      <c r="L34" s="5" t="s">
        <v>142</v>
      </c>
      <c r="M34" s="16"/>
      <c r="N34" s="68">
        <v>16</v>
      </c>
      <c r="O34" s="7">
        <v>24</v>
      </c>
      <c r="P34" s="7">
        <v>32</v>
      </c>
      <c r="Q34" s="67" t="s">
        <v>143</v>
      </c>
      <c r="R34" s="75" t="s">
        <v>139</v>
      </c>
      <c r="S34" s="17" t="s">
        <v>139</v>
      </c>
      <c r="T34" s="17" t="s">
        <v>138</v>
      </c>
      <c r="U34" s="17" t="s">
        <v>140</v>
      </c>
      <c r="V34" s="17" t="s">
        <v>67</v>
      </c>
      <c r="W34" s="17" t="s">
        <v>141</v>
      </c>
      <c r="X34" s="18"/>
      <c r="Y34" s="17" t="s">
        <v>142</v>
      </c>
      <c r="Z34" s="18"/>
      <c r="AA34" s="82"/>
    </row>
    <row r="35" spans="1:27" x14ac:dyDescent="0.25">
      <c r="A35" s="13">
        <v>25</v>
      </c>
      <c r="B35" s="5">
        <v>33</v>
      </c>
      <c r="C35" s="5" t="s">
        <v>144</v>
      </c>
      <c r="D35" s="12" t="s">
        <v>277</v>
      </c>
      <c r="E35" s="13" t="s">
        <v>283</v>
      </c>
      <c r="F35" s="5" t="s">
        <v>283</v>
      </c>
      <c r="G35" s="5" t="s">
        <v>144</v>
      </c>
      <c r="H35" s="5" t="s">
        <v>91</v>
      </c>
      <c r="I35" s="5" t="s">
        <v>86</v>
      </c>
      <c r="J35" s="5" t="s">
        <v>145</v>
      </c>
      <c r="K35" s="5" t="s">
        <v>36</v>
      </c>
      <c r="L35" s="4"/>
      <c r="M35" s="16"/>
      <c r="N35" s="68">
        <v>17</v>
      </c>
      <c r="O35" s="7">
        <v>25</v>
      </c>
      <c r="P35" s="7">
        <v>33</v>
      </c>
      <c r="Q35" s="67" t="s">
        <v>235</v>
      </c>
      <c r="R35" s="85" t="s">
        <v>274</v>
      </c>
      <c r="S35" s="26" t="s">
        <v>274</v>
      </c>
      <c r="T35" s="17" t="s">
        <v>144</v>
      </c>
      <c r="U35" s="17" t="s">
        <v>91</v>
      </c>
      <c r="V35" s="17" t="s">
        <v>86</v>
      </c>
      <c r="W35" s="17" t="s">
        <v>145</v>
      </c>
      <c r="X35" s="17" t="s">
        <v>36</v>
      </c>
      <c r="Y35" s="18"/>
      <c r="Z35" s="18"/>
      <c r="AA35" s="82"/>
    </row>
    <row r="36" spans="1:27" x14ac:dyDescent="0.25">
      <c r="A36" s="13">
        <v>26</v>
      </c>
      <c r="B36" s="5">
        <v>34</v>
      </c>
      <c r="C36" s="5" t="s">
        <v>146</v>
      </c>
      <c r="D36" s="12" t="s">
        <v>278</v>
      </c>
      <c r="E36" s="13" t="s">
        <v>275</v>
      </c>
      <c r="F36" s="5" t="s">
        <v>275</v>
      </c>
      <c r="G36" s="5" t="s">
        <v>146</v>
      </c>
      <c r="H36" s="5" t="s">
        <v>95</v>
      </c>
      <c r="I36" s="5" t="s">
        <v>81</v>
      </c>
      <c r="J36" s="5" t="s">
        <v>147</v>
      </c>
      <c r="K36" s="5" t="s">
        <v>39</v>
      </c>
      <c r="L36" s="4"/>
      <c r="M36" s="16"/>
      <c r="N36" s="68">
        <v>18</v>
      </c>
      <c r="O36" s="7">
        <v>26</v>
      </c>
      <c r="P36" s="7">
        <v>34</v>
      </c>
      <c r="Q36" s="67" t="s">
        <v>236</v>
      </c>
      <c r="R36" s="75" t="s">
        <v>275</v>
      </c>
      <c r="S36" s="17" t="s">
        <v>275</v>
      </c>
      <c r="T36" s="17" t="s">
        <v>146</v>
      </c>
      <c r="U36" s="17" t="s">
        <v>95</v>
      </c>
      <c r="V36" s="17" t="s">
        <v>81</v>
      </c>
      <c r="W36" s="17" t="s">
        <v>147</v>
      </c>
      <c r="X36" s="17" t="s">
        <v>39</v>
      </c>
      <c r="Y36" s="18"/>
      <c r="Z36" s="18"/>
      <c r="AA36" s="81" t="s">
        <v>268</v>
      </c>
    </row>
    <row r="37" spans="1:27" x14ac:dyDescent="0.25">
      <c r="A37" s="13">
        <v>27</v>
      </c>
      <c r="B37" s="5">
        <v>35</v>
      </c>
      <c r="C37" s="5" t="s">
        <v>148</v>
      </c>
      <c r="D37" s="12" t="s">
        <v>151</v>
      </c>
      <c r="E37" s="13" t="s">
        <v>14</v>
      </c>
      <c r="F37" s="4"/>
      <c r="G37" s="5" t="s">
        <v>148</v>
      </c>
      <c r="H37" s="5" t="s">
        <v>72</v>
      </c>
      <c r="I37" s="5" t="s">
        <v>149</v>
      </c>
      <c r="J37" s="4"/>
      <c r="K37" s="4"/>
      <c r="L37" s="5" t="s">
        <v>150</v>
      </c>
      <c r="M37" s="16"/>
      <c r="N37" s="66"/>
      <c r="O37" s="7">
        <v>27</v>
      </c>
      <c r="P37" s="7">
        <v>35</v>
      </c>
      <c r="Q37" s="67" t="s">
        <v>151</v>
      </c>
      <c r="R37" s="75" t="s">
        <v>14</v>
      </c>
      <c r="S37" s="18"/>
      <c r="T37" s="17" t="s">
        <v>148</v>
      </c>
      <c r="U37" s="17" t="s">
        <v>72</v>
      </c>
      <c r="V37" s="17" t="s">
        <v>149</v>
      </c>
      <c r="W37" s="18"/>
      <c r="X37" s="18"/>
      <c r="Y37" s="17" t="s">
        <v>150</v>
      </c>
      <c r="Z37" s="18"/>
      <c r="AA37" s="77"/>
    </row>
    <row r="38" spans="1:27" x14ac:dyDescent="0.25">
      <c r="A38" s="13">
        <v>28</v>
      </c>
      <c r="B38" s="5">
        <v>36</v>
      </c>
      <c r="C38" s="5" t="s">
        <v>152</v>
      </c>
      <c r="D38" s="12" t="s">
        <v>155</v>
      </c>
      <c r="E38" s="13" t="s">
        <v>14</v>
      </c>
      <c r="F38" s="4"/>
      <c r="G38" s="5" t="s">
        <v>152</v>
      </c>
      <c r="H38" s="5" t="s">
        <v>73</v>
      </c>
      <c r="I38" s="5" t="s">
        <v>153</v>
      </c>
      <c r="J38" s="4"/>
      <c r="K38" s="4"/>
      <c r="L38" s="5" t="s">
        <v>154</v>
      </c>
      <c r="M38" s="16"/>
      <c r="N38" s="66"/>
      <c r="O38" s="7">
        <v>28</v>
      </c>
      <c r="P38" s="7">
        <v>36</v>
      </c>
      <c r="Q38" s="67" t="s">
        <v>155</v>
      </c>
      <c r="R38" s="75" t="s">
        <v>14</v>
      </c>
      <c r="S38" s="18"/>
      <c r="T38" s="17" t="s">
        <v>152</v>
      </c>
      <c r="U38" s="17" t="s">
        <v>73</v>
      </c>
      <c r="V38" s="17" t="s">
        <v>153</v>
      </c>
      <c r="W38" s="18"/>
      <c r="X38" s="18"/>
      <c r="Y38" s="17" t="s">
        <v>154</v>
      </c>
      <c r="Z38" s="18"/>
      <c r="AA38" s="77"/>
    </row>
    <row r="39" spans="1:27" x14ac:dyDescent="0.25">
      <c r="A39" s="13">
        <v>29</v>
      </c>
      <c r="B39" s="5">
        <v>37</v>
      </c>
      <c r="C39" s="5" t="s">
        <v>156</v>
      </c>
      <c r="D39" s="12" t="s">
        <v>262</v>
      </c>
      <c r="E39" s="13" t="s">
        <v>157</v>
      </c>
      <c r="F39" s="5" t="s">
        <v>157</v>
      </c>
      <c r="G39" s="5" t="s">
        <v>156</v>
      </c>
      <c r="H39" s="5" t="s">
        <v>59</v>
      </c>
      <c r="I39" s="4"/>
      <c r="J39" s="10"/>
      <c r="K39" s="4"/>
      <c r="L39" s="5" t="s">
        <v>15</v>
      </c>
      <c r="M39" s="16"/>
      <c r="N39" s="68">
        <v>19</v>
      </c>
      <c r="O39" s="7">
        <v>29</v>
      </c>
      <c r="P39" s="7">
        <v>37</v>
      </c>
      <c r="Q39" s="67" t="s">
        <v>237</v>
      </c>
      <c r="R39" s="75" t="s">
        <v>157</v>
      </c>
      <c r="S39" s="17" t="s">
        <v>157</v>
      </c>
      <c r="T39" s="17" t="s">
        <v>156</v>
      </c>
      <c r="U39" s="17" t="s">
        <v>59</v>
      </c>
      <c r="V39" s="18"/>
      <c r="W39" s="21"/>
      <c r="X39" s="18"/>
      <c r="Y39" s="17" t="s">
        <v>15</v>
      </c>
      <c r="Z39" s="18"/>
      <c r="AA39" s="81" t="s">
        <v>269</v>
      </c>
    </row>
    <row r="40" spans="1:27" x14ac:dyDescent="0.25">
      <c r="A40" s="11"/>
      <c r="B40" s="5">
        <v>38</v>
      </c>
      <c r="C40" s="5" t="s">
        <v>158</v>
      </c>
      <c r="D40" s="12" t="s">
        <v>238</v>
      </c>
      <c r="E40" s="13" t="s">
        <v>159</v>
      </c>
      <c r="F40" s="5" t="s">
        <v>159</v>
      </c>
      <c r="G40" s="5" t="s">
        <v>158</v>
      </c>
      <c r="H40" s="5" t="s">
        <v>53</v>
      </c>
      <c r="I40" s="10"/>
      <c r="J40" s="4"/>
      <c r="K40" s="4"/>
      <c r="L40" s="5" t="s">
        <v>17</v>
      </c>
      <c r="M40" s="16"/>
      <c r="N40" s="66"/>
      <c r="O40" s="6"/>
      <c r="P40" s="7">
        <v>38</v>
      </c>
      <c r="Q40" s="67" t="s">
        <v>238</v>
      </c>
      <c r="R40" s="75" t="s">
        <v>159</v>
      </c>
      <c r="S40" s="17" t="s">
        <v>159</v>
      </c>
      <c r="T40" s="17" t="s">
        <v>158</v>
      </c>
      <c r="U40" s="17" t="s">
        <v>53</v>
      </c>
      <c r="V40" s="18"/>
      <c r="W40" s="18"/>
      <c r="X40" s="18"/>
      <c r="Y40" s="17" t="s">
        <v>17</v>
      </c>
      <c r="Z40" s="18"/>
      <c r="AA40" s="77"/>
    </row>
    <row r="41" spans="1:27" x14ac:dyDescent="0.25">
      <c r="A41" s="11"/>
      <c r="B41" s="5">
        <v>39</v>
      </c>
      <c r="C41" s="5" t="s">
        <v>160</v>
      </c>
      <c r="D41" s="12" t="s">
        <v>239</v>
      </c>
      <c r="E41" s="13" t="s">
        <v>14</v>
      </c>
      <c r="F41" s="4"/>
      <c r="G41" s="5" t="s">
        <v>160</v>
      </c>
      <c r="H41" s="5" t="s">
        <v>70</v>
      </c>
      <c r="I41" s="10"/>
      <c r="J41" s="4"/>
      <c r="K41" s="4"/>
      <c r="L41" s="4"/>
      <c r="M41" s="16"/>
      <c r="N41" s="66"/>
      <c r="O41" s="6"/>
      <c r="P41" s="7">
        <v>39</v>
      </c>
      <c r="Q41" s="67" t="s">
        <v>239</v>
      </c>
      <c r="R41" s="75" t="s">
        <v>14</v>
      </c>
      <c r="S41" s="18"/>
      <c r="T41" s="17" t="s">
        <v>160</v>
      </c>
      <c r="U41" s="17" t="s">
        <v>70</v>
      </c>
      <c r="V41" s="20"/>
      <c r="W41" s="18"/>
      <c r="X41" s="18"/>
      <c r="Y41" s="18"/>
      <c r="Z41" s="18"/>
      <c r="AA41" s="82"/>
    </row>
    <row r="42" spans="1:27" x14ac:dyDescent="0.25">
      <c r="A42" s="13">
        <v>30</v>
      </c>
      <c r="B42" s="5">
        <v>40</v>
      </c>
      <c r="C42" s="5" t="s">
        <v>44</v>
      </c>
      <c r="D42" s="12" t="s">
        <v>44</v>
      </c>
      <c r="E42" s="13" t="s">
        <v>44</v>
      </c>
      <c r="F42" s="5" t="s">
        <v>44</v>
      </c>
      <c r="G42" s="4"/>
      <c r="H42" s="4"/>
      <c r="I42" s="4"/>
      <c r="J42" s="4"/>
      <c r="K42" s="4"/>
      <c r="L42" s="4"/>
      <c r="M42" s="16"/>
      <c r="N42" s="68">
        <v>20</v>
      </c>
      <c r="O42" s="7">
        <v>30</v>
      </c>
      <c r="P42" s="7">
        <v>40</v>
      </c>
      <c r="Q42" s="67" t="s">
        <v>44</v>
      </c>
      <c r="R42" s="75" t="s">
        <v>44</v>
      </c>
      <c r="S42" s="17" t="s">
        <v>44</v>
      </c>
      <c r="T42" s="18"/>
      <c r="U42" s="18"/>
      <c r="V42" s="18"/>
      <c r="W42" s="18"/>
      <c r="X42" s="18"/>
      <c r="Y42" s="18"/>
      <c r="Z42" s="18"/>
      <c r="AA42" s="82"/>
    </row>
    <row r="43" spans="1:27" x14ac:dyDescent="0.25">
      <c r="A43" s="13">
        <v>31</v>
      </c>
      <c r="B43" s="5">
        <v>41</v>
      </c>
      <c r="C43" s="5" t="s">
        <v>41</v>
      </c>
      <c r="D43" s="12" t="s">
        <v>41</v>
      </c>
      <c r="E43" s="13" t="s">
        <v>41</v>
      </c>
      <c r="F43" s="5" t="s">
        <v>41</v>
      </c>
      <c r="G43" s="4"/>
      <c r="H43" s="4"/>
      <c r="I43" s="4"/>
      <c r="J43" s="4"/>
      <c r="K43" s="4"/>
      <c r="L43" s="4"/>
      <c r="M43" s="16"/>
      <c r="N43" s="68">
        <v>21</v>
      </c>
      <c r="O43" s="7">
        <v>31</v>
      </c>
      <c r="P43" s="7">
        <v>41</v>
      </c>
      <c r="Q43" s="67" t="s">
        <v>41</v>
      </c>
      <c r="R43" s="75" t="s">
        <v>41</v>
      </c>
      <c r="S43" s="17" t="s">
        <v>41</v>
      </c>
      <c r="T43" s="18"/>
      <c r="U43" s="18"/>
      <c r="V43" s="18"/>
      <c r="W43" s="18"/>
      <c r="X43" s="18"/>
      <c r="Y43" s="18"/>
      <c r="Z43" s="18"/>
      <c r="AA43" s="82"/>
    </row>
    <row r="44" spans="1:27" x14ac:dyDescent="0.25">
      <c r="A44" s="13">
        <v>32</v>
      </c>
      <c r="B44" s="5">
        <v>42</v>
      </c>
      <c r="C44" s="5" t="s">
        <v>161</v>
      </c>
      <c r="D44" s="12" t="s">
        <v>240</v>
      </c>
      <c r="E44" s="13" t="s">
        <v>14</v>
      </c>
      <c r="F44" s="5"/>
      <c r="G44" s="5" t="s">
        <v>161</v>
      </c>
      <c r="H44" s="5" t="s">
        <v>61</v>
      </c>
      <c r="I44" s="10"/>
      <c r="J44" s="4"/>
      <c r="K44" s="4"/>
      <c r="L44" s="4"/>
      <c r="M44" s="16"/>
      <c r="N44" s="66"/>
      <c r="O44" s="7">
        <v>32</v>
      </c>
      <c r="P44" s="7">
        <v>42</v>
      </c>
      <c r="Q44" s="67" t="s">
        <v>240</v>
      </c>
      <c r="R44" s="75" t="s">
        <v>14</v>
      </c>
      <c r="S44" s="18"/>
      <c r="T44" s="17" t="s">
        <v>161</v>
      </c>
      <c r="U44" s="17" t="s">
        <v>61</v>
      </c>
      <c r="V44" s="24"/>
      <c r="W44" s="24"/>
      <c r="X44" s="18"/>
      <c r="Y44" s="18"/>
      <c r="Z44" s="18"/>
      <c r="AA44" s="82"/>
    </row>
    <row r="45" spans="1:27" x14ac:dyDescent="0.25">
      <c r="A45" s="11"/>
      <c r="B45" s="5">
        <v>43</v>
      </c>
      <c r="C45" s="5" t="s">
        <v>162</v>
      </c>
      <c r="D45" s="12" t="s">
        <v>241</v>
      </c>
      <c r="E45" s="13" t="s">
        <v>14</v>
      </c>
      <c r="F45" s="5"/>
      <c r="G45" s="5" t="s">
        <v>162</v>
      </c>
      <c r="H45" s="5" t="s">
        <v>66</v>
      </c>
      <c r="I45" s="10"/>
      <c r="J45" s="4"/>
      <c r="K45" s="4"/>
      <c r="L45" s="4"/>
      <c r="M45" s="16"/>
      <c r="N45" s="66"/>
      <c r="O45" s="6"/>
      <c r="P45" s="7">
        <v>43</v>
      </c>
      <c r="Q45" s="67" t="s">
        <v>241</v>
      </c>
      <c r="R45" s="75" t="s">
        <v>14</v>
      </c>
      <c r="S45" s="18"/>
      <c r="T45" s="17" t="s">
        <v>162</v>
      </c>
      <c r="U45" s="17" t="s">
        <v>66</v>
      </c>
      <c r="V45" s="24"/>
      <c r="W45" s="24"/>
      <c r="X45" s="18"/>
      <c r="Y45" s="18"/>
      <c r="Z45" s="18"/>
      <c r="AA45" s="82"/>
    </row>
    <row r="46" spans="1:27" x14ac:dyDescent="0.25">
      <c r="A46" s="11"/>
      <c r="B46" s="5">
        <v>44</v>
      </c>
      <c r="C46" s="5" t="s">
        <v>164</v>
      </c>
      <c r="D46" s="12" t="s">
        <v>242</v>
      </c>
      <c r="E46" s="13" t="s">
        <v>14</v>
      </c>
      <c r="F46" s="5"/>
      <c r="G46" s="5" t="s">
        <v>164</v>
      </c>
      <c r="H46" s="5" t="s">
        <v>58</v>
      </c>
      <c r="I46" s="10"/>
      <c r="J46" s="4"/>
      <c r="K46" s="4"/>
      <c r="L46" s="4"/>
      <c r="M46" s="16"/>
      <c r="N46" s="66"/>
      <c r="O46" s="6"/>
      <c r="P46" s="7">
        <v>44</v>
      </c>
      <c r="Q46" s="67" t="s">
        <v>242</v>
      </c>
      <c r="R46" s="75" t="s">
        <v>14</v>
      </c>
      <c r="S46" s="18"/>
      <c r="T46" s="17" t="s">
        <v>164</v>
      </c>
      <c r="U46" s="17" t="s">
        <v>58</v>
      </c>
      <c r="V46" s="24"/>
      <c r="W46" s="18"/>
      <c r="X46" s="18"/>
      <c r="Y46" s="18"/>
      <c r="Z46" s="18"/>
      <c r="AA46" s="82"/>
    </row>
    <row r="47" spans="1:27" x14ac:dyDescent="0.25">
      <c r="A47" s="13">
        <v>33</v>
      </c>
      <c r="B47" s="5">
        <v>45</v>
      </c>
      <c r="C47" s="5" t="s">
        <v>165</v>
      </c>
      <c r="D47" s="12" t="s">
        <v>279</v>
      </c>
      <c r="E47" s="13" t="s">
        <v>14</v>
      </c>
      <c r="F47" s="5"/>
      <c r="G47" s="5" t="s">
        <v>165</v>
      </c>
      <c r="H47" s="10"/>
      <c r="I47" s="10"/>
      <c r="J47" s="5" t="s">
        <v>29</v>
      </c>
      <c r="K47" s="5" t="s">
        <v>37</v>
      </c>
      <c r="L47" s="5" t="s">
        <v>166</v>
      </c>
      <c r="M47" s="12" t="s">
        <v>167</v>
      </c>
      <c r="N47" s="68">
        <v>22</v>
      </c>
      <c r="O47" s="7">
        <v>33</v>
      </c>
      <c r="P47" s="7">
        <v>45</v>
      </c>
      <c r="Q47" s="67" t="s">
        <v>243</v>
      </c>
      <c r="R47" s="75" t="s">
        <v>14</v>
      </c>
      <c r="S47" s="18"/>
      <c r="T47" s="17" t="s">
        <v>165</v>
      </c>
      <c r="U47" s="24"/>
      <c r="V47" s="24"/>
      <c r="W47" s="17" t="s">
        <v>29</v>
      </c>
      <c r="X47" s="17" t="s">
        <v>37</v>
      </c>
      <c r="Y47" s="17" t="s">
        <v>166</v>
      </c>
      <c r="Z47" s="17" t="s">
        <v>167</v>
      </c>
      <c r="AA47" s="81" t="s">
        <v>86</v>
      </c>
    </row>
    <row r="48" spans="1:27" x14ac:dyDescent="0.25">
      <c r="A48" s="13">
        <v>34</v>
      </c>
      <c r="B48" s="5">
        <v>46</v>
      </c>
      <c r="C48" s="5" t="s">
        <v>168</v>
      </c>
      <c r="D48" s="12" t="s">
        <v>280</v>
      </c>
      <c r="E48" s="13" t="s">
        <v>14</v>
      </c>
      <c r="F48" s="5"/>
      <c r="G48" s="5" t="s">
        <v>168</v>
      </c>
      <c r="H48" s="10"/>
      <c r="I48" s="10"/>
      <c r="J48" s="5" t="s">
        <v>33</v>
      </c>
      <c r="K48" s="5" t="s">
        <v>40</v>
      </c>
      <c r="L48" s="5" t="s">
        <v>169</v>
      </c>
      <c r="M48" s="16"/>
      <c r="N48" s="66"/>
      <c r="O48" s="7">
        <v>34</v>
      </c>
      <c r="P48" s="7">
        <v>46</v>
      </c>
      <c r="Q48" s="67" t="s">
        <v>244</v>
      </c>
      <c r="R48" s="75" t="s">
        <v>14</v>
      </c>
      <c r="S48" s="18"/>
      <c r="T48" s="17" t="s">
        <v>168</v>
      </c>
      <c r="U48" s="24"/>
      <c r="V48" s="24"/>
      <c r="W48" s="17" t="s">
        <v>33</v>
      </c>
      <c r="X48" s="17" t="s">
        <v>40</v>
      </c>
      <c r="Y48" s="17" t="s">
        <v>169</v>
      </c>
      <c r="Z48" s="18"/>
      <c r="AA48" s="81" t="s">
        <v>189</v>
      </c>
    </row>
    <row r="49" spans="1:27" x14ac:dyDescent="0.25">
      <c r="A49" s="13">
        <v>35</v>
      </c>
      <c r="B49" s="5">
        <v>47</v>
      </c>
      <c r="C49" s="5" t="s">
        <v>170</v>
      </c>
      <c r="D49" s="12" t="s">
        <v>281</v>
      </c>
      <c r="E49" s="13" t="s">
        <v>14</v>
      </c>
      <c r="F49" s="5"/>
      <c r="G49" s="5" t="s">
        <v>170</v>
      </c>
      <c r="H49" s="10"/>
      <c r="I49" s="5" t="s">
        <v>47</v>
      </c>
      <c r="J49" s="10"/>
      <c r="K49" s="5" t="s">
        <v>29</v>
      </c>
      <c r="L49" s="5" t="s">
        <v>91</v>
      </c>
      <c r="M49" s="16"/>
      <c r="N49" s="68">
        <v>23</v>
      </c>
      <c r="O49" s="7">
        <v>35</v>
      </c>
      <c r="P49" s="7">
        <v>47</v>
      </c>
      <c r="Q49" s="67" t="s">
        <v>245</v>
      </c>
      <c r="R49" s="75" t="s">
        <v>14</v>
      </c>
      <c r="S49" s="18"/>
      <c r="T49" s="17" t="s">
        <v>170</v>
      </c>
      <c r="U49" s="24"/>
      <c r="V49" s="17" t="s">
        <v>47</v>
      </c>
      <c r="W49" s="24"/>
      <c r="X49" s="17" t="s">
        <v>29</v>
      </c>
      <c r="Y49" s="17" t="s">
        <v>91</v>
      </c>
      <c r="Z49" s="18"/>
      <c r="AA49" s="81" t="s">
        <v>62</v>
      </c>
    </row>
    <row r="50" spans="1:27" x14ac:dyDescent="0.25">
      <c r="A50" s="13">
        <v>36</v>
      </c>
      <c r="B50" s="5">
        <v>48</v>
      </c>
      <c r="C50" s="5" t="s">
        <v>172</v>
      </c>
      <c r="D50" s="12" t="s">
        <v>282</v>
      </c>
      <c r="E50" s="13" t="s">
        <v>14</v>
      </c>
      <c r="F50" s="5"/>
      <c r="G50" s="5" t="s">
        <v>172</v>
      </c>
      <c r="H50" s="10"/>
      <c r="I50" s="5" t="s">
        <v>51</v>
      </c>
      <c r="J50" s="10"/>
      <c r="K50" s="5" t="s">
        <v>33</v>
      </c>
      <c r="L50" s="5" t="s">
        <v>95</v>
      </c>
      <c r="M50" s="16"/>
      <c r="N50" s="68">
        <v>24</v>
      </c>
      <c r="O50" s="7">
        <v>36</v>
      </c>
      <c r="P50" s="7">
        <v>48</v>
      </c>
      <c r="Q50" s="67" t="s">
        <v>246</v>
      </c>
      <c r="R50" s="75" t="s">
        <v>14</v>
      </c>
      <c r="S50" s="18"/>
      <c r="T50" s="17" t="s">
        <v>172</v>
      </c>
      <c r="U50" s="24"/>
      <c r="V50" s="17" t="s">
        <v>51</v>
      </c>
      <c r="W50" s="24"/>
      <c r="X50" s="17" t="s">
        <v>33</v>
      </c>
      <c r="Y50" s="17" t="s">
        <v>95</v>
      </c>
      <c r="Z50" s="18"/>
      <c r="AA50" s="81" t="s">
        <v>67</v>
      </c>
    </row>
    <row r="51" spans="1:27" x14ac:dyDescent="0.25">
      <c r="A51" s="13">
        <v>37</v>
      </c>
      <c r="B51" s="5">
        <v>49</v>
      </c>
      <c r="C51" s="5" t="s">
        <v>177</v>
      </c>
      <c r="D51" s="12" t="s">
        <v>180</v>
      </c>
      <c r="E51" s="13" t="s">
        <v>178</v>
      </c>
      <c r="F51" s="5" t="s">
        <v>178</v>
      </c>
      <c r="G51" s="5" t="s">
        <v>177</v>
      </c>
      <c r="H51" s="5" t="s">
        <v>134</v>
      </c>
      <c r="I51" s="5" t="s">
        <v>175</v>
      </c>
      <c r="J51" s="5" t="s">
        <v>16</v>
      </c>
      <c r="K51" s="5" t="s">
        <v>135</v>
      </c>
      <c r="L51" s="5" t="s">
        <v>150</v>
      </c>
      <c r="M51" s="12" t="s">
        <v>179</v>
      </c>
      <c r="N51" s="68">
        <v>25</v>
      </c>
      <c r="O51" s="7">
        <v>37</v>
      </c>
      <c r="P51" s="7">
        <v>49</v>
      </c>
      <c r="Q51" s="67" t="s">
        <v>247</v>
      </c>
      <c r="R51" s="75" t="s">
        <v>178</v>
      </c>
      <c r="S51" s="17" t="s">
        <v>178</v>
      </c>
      <c r="T51" s="17" t="s">
        <v>177</v>
      </c>
      <c r="U51" s="17" t="s">
        <v>134</v>
      </c>
      <c r="V51" s="17" t="s">
        <v>175</v>
      </c>
      <c r="W51" s="17" t="s">
        <v>16</v>
      </c>
      <c r="X51" s="17" t="s">
        <v>135</v>
      </c>
      <c r="Y51" s="17" t="s">
        <v>150</v>
      </c>
      <c r="Z51" s="17" t="s">
        <v>179</v>
      </c>
      <c r="AA51" s="81" t="s">
        <v>80</v>
      </c>
    </row>
    <row r="52" spans="1:27" x14ac:dyDescent="0.25">
      <c r="A52" s="13">
        <v>38</v>
      </c>
      <c r="B52" s="5">
        <v>50</v>
      </c>
      <c r="C52" s="5" t="s">
        <v>181</v>
      </c>
      <c r="D52" s="12" t="s">
        <v>263</v>
      </c>
      <c r="E52" s="13" t="s">
        <v>182</v>
      </c>
      <c r="F52" s="5" t="s">
        <v>182</v>
      </c>
      <c r="G52" s="5" t="s">
        <v>181</v>
      </c>
      <c r="H52" s="10"/>
      <c r="I52" s="5" t="s">
        <v>176</v>
      </c>
      <c r="J52" s="5" t="s">
        <v>18</v>
      </c>
      <c r="K52" s="10"/>
      <c r="L52" s="5" t="s">
        <v>154</v>
      </c>
      <c r="M52" s="12" t="s">
        <v>183</v>
      </c>
      <c r="N52" s="68">
        <v>26</v>
      </c>
      <c r="O52" s="7">
        <v>38</v>
      </c>
      <c r="P52" s="7">
        <v>50</v>
      </c>
      <c r="Q52" s="67" t="s">
        <v>248</v>
      </c>
      <c r="R52" s="83" t="s">
        <v>276</v>
      </c>
      <c r="S52" s="23" t="s">
        <v>276</v>
      </c>
      <c r="T52" s="17" t="s">
        <v>181</v>
      </c>
      <c r="U52" s="24"/>
      <c r="V52" s="17" t="s">
        <v>176</v>
      </c>
      <c r="W52" s="17" t="s">
        <v>18</v>
      </c>
      <c r="X52" s="24"/>
      <c r="Y52" s="17" t="s">
        <v>154</v>
      </c>
      <c r="Z52" s="17" t="s">
        <v>183</v>
      </c>
      <c r="AA52" s="82"/>
    </row>
    <row r="53" spans="1:27" x14ac:dyDescent="0.25">
      <c r="A53" s="13">
        <v>39</v>
      </c>
      <c r="B53" s="5">
        <v>51</v>
      </c>
      <c r="C53" s="5" t="s">
        <v>184</v>
      </c>
      <c r="D53" s="12" t="s">
        <v>249</v>
      </c>
      <c r="E53" s="13" t="s">
        <v>14</v>
      </c>
      <c r="F53" s="5"/>
      <c r="G53" s="5" t="s">
        <v>184</v>
      </c>
      <c r="H53" s="5" t="s">
        <v>72</v>
      </c>
      <c r="I53" s="10"/>
      <c r="J53" s="10"/>
      <c r="K53" s="4"/>
      <c r="L53" s="5" t="s">
        <v>135</v>
      </c>
      <c r="M53" s="16"/>
      <c r="N53" s="66"/>
      <c r="O53" s="7">
        <v>39</v>
      </c>
      <c r="P53" s="7">
        <v>51</v>
      </c>
      <c r="Q53" s="67" t="s">
        <v>249</v>
      </c>
      <c r="R53" s="75" t="s">
        <v>14</v>
      </c>
      <c r="S53" s="18"/>
      <c r="T53" s="17" t="s">
        <v>184</v>
      </c>
      <c r="U53" s="17" t="s">
        <v>72</v>
      </c>
      <c r="V53" s="24"/>
      <c r="W53" s="24"/>
      <c r="X53" s="18"/>
      <c r="Y53" s="17" t="s">
        <v>135</v>
      </c>
      <c r="Z53" s="18"/>
      <c r="AA53" s="82"/>
    </row>
    <row r="54" spans="1:27" x14ac:dyDescent="0.25">
      <c r="A54" s="13">
        <v>40</v>
      </c>
      <c r="B54" s="5">
        <v>52</v>
      </c>
      <c r="C54" s="5" t="s">
        <v>185</v>
      </c>
      <c r="D54" s="12" t="s">
        <v>250</v>
      </c>
      <c r="E54" s="13" t="s">
        <v>14</v>
      </c>
      <c r="F54" s="5"/>
      <c r="G54" s="5" t="s">
        <v>185</v>
      </c>
      <c r="H54" s="5" t="s">
        <v>73</v>
      </c>
      <c r="I54" s="10"/>
      <c r="J54" s="10"/>
      <c r="K54" s="4"/>
      <c r="L54" s="5" t="s">
        <v>141</v>
      </c>
      <c r="M54" s="16"/>
      <c r="N54" s="66"/>
      <c r="O54" s="7">
        <v>40</v>
      </c>
      <c r="P54" s="7">
        <v>52</v>
      </c>
      <c r="Q54" s="67" t="s">
        <v>250</v>
      </c>
      <c r="R54" s="75" t="s">
        <v>14</v>
      </c>
      <c r="S54" s="18"/>
      <c r="T54" s="17" t="s">
        <v>185</v>
      </c>
      <c r="U54" s="17" t="s">
        <v>73</v>
      </c>
      <c r="V54" s="24"/>
      <c r="W54" s="24"/>
      <c r="X54" s="18"/>
      <c r="Y54" s="17" t="s">
        <v>141</v>
      </c>
      <c r="Z54" s="18"/>
      <c r="AA54" s="82"/>
    </row>
    <row r="55" spans="1:27" x14ac:dyDescent="0.25">
      <c r="A55" s="11"/>
      <c r="B55" s="5">
        <v>53</v>
      </c>
      <c r="C55" s="5" t="s">
        <v>188</v>
      </c>
      <c r="D55" s="12" t="s">
        <v>251</v>
      </c>
      <c r="E55" s="13" t="s">
        <v>14</v>
      </c>
      <c r="F55" s="5"/>
      <c r="G55" s="5" t="s">
        <v>188</v>
      </c>
      <c r="H55" s="5" t="s">
        <v>189</v>
      </c>
      <c r="I55" s="4"/>
      <c r="J55" s="10"/>
      <c r="K55" s="4"/>
      <c r="L55" s="5" t="s">
        <v>15</v>
      </c>
      <c r="M55" s="16"/>
      <c r="N55" s="66"/>
      <c r="O55" s="6"/>
      <c r="P55" s="7">
        <v>53</v>
      </c>
      <c r="Q55" s="67" t="s">
        <v>251</v>
      </c>
      <c r="R55" s="75" t="s">
        <v>14</v>
      </c>
      <c r="S55" s="18"/>
      <c r="T55" s="17" t="s">
        <v>188</v>
      </c>
      <c r="U55" s="17" t="s">
        <v>189</v>
      </c>
      <c r="V55" s="18"/>
      <c r="W55" s="24"/>
      <c r="X55" s="18"/>
      <c r="Y55" s="17" t="s">
        <v>15</v>
      </c>
      <c r="Z55" s="18"/>
      <c r="AA55" s="82"/>
    </row>
    <row r="56" spans="1:27" x14ac:dyDescent="0.25">
      <c r="A56" s="11"/>
      <c r="B56" s="5">
        <v>54</v>
      </c>
      <c r="C56" s="5" t="s">
        <v>190</v>
      </c>
      <c r="D56" s="12" t="s">
        <v>252</v>
      </c>
      <c r="E56" s="13" t="s">
        <v>14</v>
      </c>
      <c r="F56" s="5"/>
      <c r="G56" s="5" t="s">
        <v>190</v>
      </c>
      <c r="H56" s="5" t="s">
        <v>86</v>
      </c>
      <c r="I56" s="5" t="s">
        <v>147</v>
      </c>
      <c r="J56" s="10"/>
      <c r="K56" s="4"/>
      <c r="L56" s="5" t="s">
        <v>17</v>
      </c>
      <c r="M56" s="16"/>
      <c r="N56" s="66"/>
      <c r="O56" s="6"/>
      <c r="P56" s="7">
        <v>54</v>
      </c>
      <c r="Q56" s="67" t="s">
        <v>252</v>
      </c>
      <c r="R56" s="75" t="s">
        <v>14</v>
      </c>
      <c r="S56" s="18"/>
      <c r="T56" s="17" t="s">
        <v>190</v>
      </c>
      <c r="U56" s="17" t="s">
        <v>86</v>
      </c>
      <c r="V56" s="17" t="s">
        <v>147</v>
      </c>
      <c r="W56" s="24"/>
      <c r="X56" s="18"/>
      <c r="Y56" s="17" t="s">
        <v>17</v>
      </c>
      <c r="Z56" s="18"/>
      <c r="AA56" s="82"/>
    </row>
    <row r="57" spans="1:27" x14ac:dyDescent="0.25">
      <c r="A57" s="13">
        <v>41</v>
      </c>
      <c r="B57" s="5">
        <v>55</v>
      </c>
      <c r="C57" s="5" t="s">
        <v>191</v>
      </c>
      <c r="D57" s="12" t="s">
        <v>265</v>
      </c>
      <c r="E57" s="13" t="s">
        <v>14</v>
      </c>
      <c r="F57" s="4"/>
      <c r="G57" s="5" t="s">
        <v>191</v>
      </c>
      <c r="H57" s="5" t="s">
        <v>106</v>
      </c>
      <c r="I57" s="10"/>
      <c r="J57" s="4"/>
      <c r="K57" s="4"/>
      <c r="L57" s="10"/>
      <c r="M57" s="16"/>
      <c r="N57" s="66"/>
      <c r="O57" s="7">
        <v>41</v>
      </c>
      <c r="P57" s="7">
        <v>55</v>
      </c>
      <c r="Q57" s="67" t="s">
        <v>253</v>
      </c>
      <c r="R57" s="75" t="s">
        <v>14</v>
      </c>
      <c r="S57" s="18"/>
      <c r="T57" s="17" t="s">
        <v>191</v>
      </c>
      <c r="U57" s="17" t="s">
        <v>106</v>
      </c>
      <c r="V57" s="24"/>
      <c r="W57" s="18"/>
      <c r="X57" s="18"/>
      <c r="Y57" s="24"/>
      <c r="Z57" s="18"/>
      <c r="AA57" s="81" t="s">
        <v>51</v>
      </c>
    </row>
    <row r="58" spans="1:27" x14ac:dyDescent="0.25">
      <c r="A58" s="13">
        <v>42</v>
      </c>
      <c r="B58" s="5">
        <v>56</v>
      </c>
      <c r="C58" s="5" t="s">
        <v>192</v>
      </c>
      <c r="D58" s="12" t="s">
        <v>264</v>
      </c>
      <c r="E58" s="13" t="s">
        <v>14</v>
      </c>
      <c r="F58" s="4"/>
      <c r="G58" s="5" t="s">
        <v>192</v>
      </c>
      <c r="H58" s="5" t="s">
        <v>110</v>
      </c>
      <c r="I58" s="10"/>
      <c r="J58" s="4"/>
      <c r="K58" s="4"/>
      <c r="L58" s="10"/>
      <c r="M58" s="16"/>
      <c r="N58" s="66"/>
      <c r="O58" s="7">
        <v>42</v>
      </c>
      <c r="P58" s="7">
        <v>56</v>
      </c>
      <c r="Q58" s="67" t="s">
        <v>254</v>
      </c>
      <c r="R58" s="75" t="s">
        <v>14</v>
      </c>
      <c r="S58" s="18"/>
      <c r="T58" s="17" t="s">
        <v>192</v>
      </c>
      <c r="U58" s="17" t="s">
        <v>110</v>
      </c>
      <c r="V58" s="24"/>
      <c r="W58" s="18"/>
      <c r="X58" s="18"/>
      <c r="Y58" s="24"/>
      <c r="Z58" s="18"/>
      <c r="AA58" s="81" t="s">
        <v>47</v>
      </c>
    </row>
    <row r="59" spans="1:27" x14ac:dyDescent="0.25">
      <c r="A59" s="13">
        <v>43</v>
      </c>
      <c r="B59" s="5">
        <v>57</v>
      </c>
      <c r="C59" s="5" t="s">
        <v>193</v>
      </c>
      <c r="D59" s="12" t="s">
        <v>194</v>
      </c>
      <c r="E59" s="13" t="s">
        <v>14</v>
      </c>
      <c r="F59" s="4"/>
      <c r="G59" s="5" t="s">
        <v>193</v>
      </c>
      <c r="H59" s="5" t="s">
        <v>112</v>
      </c>
      <c r="I59" s="4"/>
      <c r="J59" s="5" t="s">
        <v>21</v>
      </c>
      <c r="K59" s="5" t="s">
        <v>63</v>
      </c>
      <c r="L59" s="4"/>
      <c r="M59" s="16"/>
      <c r="N59" s="68">
        <v>27</v>
      </c>
      <c r="O59" s="7">
        <v>43</v>
      </c>
      <c r="P59" s="7">
        <v>57</v>
      </c>
      <c r="Q59" s="67" t="s">
        <v>194</v>
      </c>
      <c r="R59" s="75" t="s">
        <v>14</v>
      </c>
      <c r="S59" s="18"/>
      <c r="T59" s="17" t="s">
        <v>193</v>
      </c>
      <c r="U59" s="17" t="s">
        <v>112</v>
      </c>
      <c r="V59" s="18"/>
      <c r="W59" s="17" t="s">
        <v>21</v>
      </c>
      <c r="X59" s="17" t="s">
        <v>63</v>
      </c>
      <c r="Y59" s="18"/>
      <c r="Z59" s="18"/>
      <c r="AA59" s="82"/>
    </row>
    <row r="60" spans="1:27" x14ac:dyDescent="0.25">
      <c r="A60" s="13">
        <v>44</v>
      </c>
      <c r="B60" s="5">
        <v>58</v>
      </c>
      <c r="C60" s="5" t="s">
        <v>195</v>
      </c>
      <c r="D60" s="12" t="s">
        <v>255</v>
      </c>
      <c r="E60" s="13" t="s">
        <v>261</v>
      </c>
      <c r="F60" s="4"/>
      <c r="G60" s="5" t="s">
        <v>195</v>
      </c>
      <c r="H60" s="5" t="s">
        <v>113</v>
      </c>
      <c r="I60" s="4"/>
      <c r="J60" s="5" t="s">
        <v>25</v>
      </c>
      <c r="K60" s="4"/>
      <c r="L60" s="4"/>
      <c r="M60" s="12" t="s">
        <v>261</v>
      </c>
      <c r="N60" s="68">
        <v>28</v>
      </c>
      <c r="O60" s="7">
        <v>44</v>
      </c>
      <c r="P60" s="7">
        <v>58</v>
      </c>
      <c r="Q60" s="67" t="s">
        <v>255</v>
      </c>
      <c r="R60" s="75" t="s">
        <v>261</v>
      </c>
      <c r="S60" s="18"/>
      <c r="T60" s="17" t="s">
        <v>195</v>
      </c>
      <c r="U60" s="17" t="s">
        <v>113</v>
      </c>
      <c r="V60" s="18"/>
      <c r="W60" s="17" t="s">
        <v>25</v>
      </c>
      <c r="X60" s="18"/>
      <c r="Y60" s="18"/>
      <c r="Z60" s="17" t="s">
        <v>261</v>
      </c>
      <c r="AA60" s="80"/>
    </row>
    <row r="61" spans="1:27" x14ac:dyDescent="0.25">
      <c r="A61" s="11"/>
      <c r="B61" s="5">
        <v>59</v>
      </c>
      <c r="C61" s="5" t="s">
        <v>196</v>
      </c>
      <c r="D61" s="12" t="s">
        <v>256</v>
      </c>
      <c r="E61" s="13" t="s">
        <v>14</v>
      </c>
      <c r="F61" s="4"/>
      <c r="G61" s="5" t="s">
        <v>196</v>
      </c>
      <c r="H61" s="5" t="s">
        <v>62</v>
      </c>
      <c r="I61" s="5" t="s">
        <v>174</v>
      </c>
      <c r="J61" s="4"/>
      <c r="K61" s="10"/>
      <c r="L61" s="5" t="s">
        <v>149</v>
      </c>
      <c r="M61" s="16"/>
      <c r="N61" s="66"/>
      <c r="O61" s="6"/>
      <c r="P61" s="7">
        <v>59</v>
      </c>
      <c r="Q61" s="67" t="s">
        <v>256</v>
      </c>
      <c r="R61" s="75" t="s">
        <v>14</v>
      </c>
      <c r="S61" s="18"/>
      <c r="T61" s="17" t="s">
        <v>196</v>
      </c>
      <c r="U61" s="17" t="s">
        <v>62</v>
      </c>
      <c r="V61" s="17" t="s">
        <v>174</v>
      </c>
      <c r="W61" s="18"/>
      <c r="X61" s="27"/>
      <c r="Y61" s="17" t="s">
        <v>149</v>
      </c>
      <c r="Z61" s="18"/>
      <c r="AA61" s="77"/>
    </row>
    <row r="62" spans="1:27" x14ac:dyDescent="0.25">
      <c r="A62" s="11"/>
      <c r="B62" s="5">
        <v>60</v>
      </c>
      <c r="C62" s="5" t="s">
        <v>197</v>
      </c>
      <c r="D62" s="12" t="s">
        <v>257</v>
      </c>
      <c r="E62" s="13" t="s">
        <v>14</v>
      </c>
      <c r="F62" s="4"/>
      <c r="G62" s="5" t="s">
        <v>197</v>
      </c>
      <c r="H62" s="5" t="s">
        <v>67</v>
      </c>
      <c r="I62" s="5" t="s">
        <v>198</v>
      </c>
      <c r="J62" s="4"/>
      <c r="K62" s="10"/>
      <c r="L62" s="5" t="s">
        <v>120</v>
      </c>
      <c r="M62" s="16"/>
      <c r="N62" s="66"/>
      <c r="O62" s="6"/>
      <c r="P62" s="7">
        <v>60</v>
      </c>
      <c r="Q62" s="67" t="s">
        <v>257</v>
      </c>
      <c r="R62" s="75" t="s">
        <v>14</v>
      </c>
      <c r="S62" s="18"/>
      <c r="T62" s="17" t="s">
        <v>197</v>
      </c>
      <c r="U62" s="17" t="s">
        <v>67</v>
      </c>
      <c r="V62" s="17" t="s">
        <v>198</v>
      </c>
      <c r="W62" s="18"/>
      <c r="X62" s="27"/>
      <c r="Y62" s="17" t="s">
        <v>120</v>
      </c>
      <c r="Z62" s="18"/>
      <c r="AA62" s="77"/>
    </row>
    <row r="63" spans="1:27" x14ac:dyDescent="0.25">
      <c r="A63" s="13">
        <v>45</v>
      </c>
      <c r="B63" s="5">
        <v>61</v>
      </c>
      <c r="C63" s="5" t="s">
        <v>199</v>
      </c>
      <c r="D63" s="12" t="s">
        <v>258</v>
      </c>
      <c r="E63" s="13" t="s">
        <v>200</v>
      </c>
      <c r="F63" s="4"/>
      <c r="G63" s="5" t="s">
        <v>199</v>
      </c>
      <c r="H63" s="10"/>
      <c r="I63" s="10"/>
      <c r="J63" s="4"/>
      <c r="K63" s="4"/>
      <c r="L63" s="10"/>
      <c r="M63" s="12" t="s">
        <v>200</v>
      </c>
      <c r="N63" s="68">
        <v>29</v>
      </c>
      <c r="O63" s="7">
        <v>45</v>
      </c>
      <c r="P63" s="7">
        <v>61</v>
      </c>
      <c r="Q63" s="67" t="s">
        <v>258</v>
      </c>
      <c r="R63" s="75" t="s">
        <v>200</v>
      </c>
      <c r="S63" s="18"/>
      <c r="T63" s="17" t="s">
        <v>199</v>
      </c>
      <c r="U63" s="24"/>
      <c r="V63" s="27"/>
      <c r="W63" s="18"/>
      <c r="X63" s="18"/>
      <c r="Y63" s="24"/>
      <c r="Z63" s="17" t="s">
        <v>200</v>
      </c>
      <c r="AA63" s="80"/>
    </row>
    <row r="64" spans="1:27" x14ac:dyDescent="0.25">
      <c r="A64" s="13">
        <v>46</v>
      </c>
      <c r="B64" s="5">
        <v>62</v>
      </c>
      <c r="C64" s="5" t="s">
        <v>201</v>
      </c>
      <c r="D64" s="12" t="s">
        <v>259</v>
      </c>
      <c r="E64" s="13" t="s">
        <v>202</v>
      </c>
      <c r="F64" s="5" t="s">
        <v>203</v>
      </c>
      <c r="G64" s="5" t="s">
        <v>201</v>
      </c>
      <c r="H64" s="5" t="s">
        <v>140</v>
      </c>
      <c r="I64" s="10"/>
      <c r="J64" s="4"/>
      <c r="K64" s="10"/>
      <c r="L64" s="5" t="s">
        <v>141</v>
      </c>
      <c r="M64" s="12" t="s">
        <v>202</v>
      </c>
      <c r="N64" s="68">
        <v>30</v>
      </c>
      <c r="O64" s="7">
        <v>46</v>
      </c>
      <c r="P64" s="7">
        <v>62</v>
      </c>
      <c r="Q64" s="67" t="s">
        <v>259</v>
      </c>
      <c r="R64" s="75" t="s">
        <v>202</v>
      </c>
      <c r="S64" s="17" t="s">
        <v>203</v>
      </c>
      <c r="T64" s="17" t="s">
        <v>201</v>
      </c>
      <c r="U64" s="17" t="s">
        <v>140</v>
      </c>
      <c r="V64" s="27"/>
      <c r="W64" s="18"/>
      <c r="X64" s="24"/>
      <c r="Y64" s="17" t="s">
        <v>141</v>
      </c>
      <c r="Z64" s="17" t="s">
        <v>202</v>
      </c>
      <c r="AA64" s="80"/>
    </row>
    <row r="65" spans="1:27" x14ac:dyDescent="0.25">
      <c r="A65" s="13">
        <v>47</v>
      </c>
      <c r="B65" s="5">
        <v>63</v>
      </c>
      <c r="C65" s="5" t="s">
        <v>204</v>
      </c>
      <c r="D65" s="12" t="s">
        <v>206</v>
      </c>
      <c r="E65" s="13" t="s">
        <v>205</v>
      </c>
      <c r="F65" s="4"/>
      <c r="G65" s="5" t="s">
        <v>204</v>
      </c>
      <c r="H65" s="4"/>
      <c r="I65" s="5" t="s">
        <v>198</v>
      </c>
      <c r="J65" s="4"/>
      <c r="K65" s="4"/>
      <c r="L65" s="4"/>
      <c r="M65" s="12" t="s">
        <v>205</v>
      </c>
      <c r="N65" s="68">
        <v>31</v>
      </c>
      <c r="O65" s="7">
        <v>47</v>
      </c>
      <c r="P65" s="7">
        <v>63</v>
      </c>
      <c r="Q65" s="67" t="s">
        <v>206</v>
      </c>
      <c r="R65" s="75" t="s">
        <v>205</v>
      </c>
      <c r="S65" s="18"/>
      <c r="T65" s="17" t="s">
        <v>204</v>
      </c>
      <c r="U65" s="18"/>
      <c r="V65" s="17" t="s">
        <v>198</v>
      </c>
      <c r="W65" s="18"/>
      <c r="X65" s="18"/>
      <c r="Y65" s="18"/>
      <c r="Z65" s="17" t="s">
        <v>205</v>
      </c>
      <c r="AA65" s="80"/>
    </row>
    <row r="66" spans="1:27" ht="15.75" thickBot="1" x14ac:dyDescent="0.3">
      <c r="A66" s="56">
        <v>48</v>
      </c>
      <c r="B66" s="57">
        <v>64</v>
      </c>
      <c r="C66" s="57" t="s">
        <v>207</v>
      </c>
      <c r="D66" s="58" t="s">
        <v>260</v>
      </c>
      <c r="E66" s="56" t="s">
        <v>208</v>
      </c>
      <c r="F66" s="14"/>
      <c r="G66" s="57" t="s">
        <v>207</v>
      </c>
      <c r="H66" s="14"/>
      <c r="I66" s="14"/>
      <c r="J66" s="57" t="s">
        <v>57</v>
      </c>
      <c r="K66" s="62"/>
      <c r="L66" s="14"/>
      <c r="M66" s="58" t="s">
        <v>208</v>
      </c>
      <c r="N66" s="69">
        <v>32</v>
      </c>
      <c r="O66" s="70">
        <v>48</v>
      </c>
      <c r="P66" s="70">
        <v>64</v>
      </c>
      <c r="Q66" s="71" t="s">
        <v>260</v>
      </c>
      <c r="R66" s="86" t="s">
        <v>208</v>
      </c>
      <c r="S66" s="87"/>
      <c r="T66" s="88" t="s">
        <v>207</v>
      </c>
      <c r="U66" s="87"/>
      <c r="V66" s="87"/>
      <c r="W66" s="88" t="s">
        <v>57</v>
      </c>
      <c r="X66" s="89"/>
      <c r="Y66" s="87"/>
      <c r="Z66" s="88" t="s">
        <v>208</v>
      </c>
      <c r="AA66" s="90"/>
    </row>
    <row r="67" spans="1:27" x14ac:dyDescent="0.25">
      <c r="A67" s="33">
        <f>COUNTA(A3:A66)</f>
        <v>48</v>
      </c>
      <c r="B67" s="33">
        <f>COUNTA(B3:B66)</f>
        <v>64</v>
      </c>
    </row>
    <row r="69" spans="1:27" x14ac:dyDescent="0.25">
      <c r="H69" s="34"/>
      <c r="I69" s="35" t="s">
        <v>288</v>
      </c>
    </row>
  </sheetData>
  <mergeCells count="2">
    <mergeCell ref="E1:M1"/>
    <mergeCell ref="R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9226-01CA-42C9-BEB8-C214E1346513}">
  <sheetPr>
    <tabColor theme="6" tint="0.79998168889431442"/>
  </sheetPr>
  <dimension ref="C2:V24"/>
  <sheetViews>
    <sheetView workbookViewId="0">
      <selection activeCell="I69" sqref="I69"/>
    </sheetView>
  </sheetViews>
  <sheetFormatPr defaultColWidth="2.42578125" defaultRowHeight="9.4" customHeight="1" x14ac:dyDescent="0.25"/>
  <cols>
    <col min="1" max="2" width="2.42578125" style="33"/>
    <col min="3" max="3" width="18" style="33" customWidth="1"/>
    <col min="4" max="4" width="4" style="33" customWidth="1"/>
    <col min="5" max="20" width="2.42578125" style="33"/>
    <col min="21" max="21" width="4" style="33" customWidth="1"/>
    <col min="22" max="22" width="18" style="33" customWidth="1"/>
    <col min="23" max="16384" width="2.42578125" style="33"/>
  </cols>
  <sheetData>
    <row r="2" spans="3:22" ht="19.899999999999999" customHeight="1" x14ac:dyDescent="0.25">
      <c r="H2" s="28" t="s">
        <v>289</v>
      </c>
      <c r="I2" s="36"/>
      <c r="J2" s="36"/>
      <c r="K2" s="36"/>
      <c r="L2" s="36"/>
      <c r="M2" s="36"/>
      <c r="N2" s="36"/>
      <c r="O2" s="36"/>
      <c r="P2" s="36"/>
      <c r="Q2" s="36"/>
    </row>
    <row r="5" spans="3:22" ht="75" customHeight="1" thickBot="1" x14ac:dyDescent="0.3">
      <c r="C5" s="37"/>
      <c r="D5" s="37"/>
      <c r="E5" s="38" t="s">
        <v>207</v>
      </c>
      <c r="F5" s="38" t="s">
        <v>204</v>
      </c>
      <c r="G5" s="38" t="s">
        <v>201</v>
      </c>
      <c r="H5" s="38" t="s">
        <v>199</v>
      </c>
      <c r="I5" s="38" t="s">
        <v>197</v>
      </c>
      <c r="J5" s="38" t="s">
        <v>196</v>
      </c>
      <c r="K5" s="38" t="s">
        <v>195</v>
      </c>
      <c r="L5" s="38" t="s">
        <v>193</v>
      </c>
      <c r="M5" s="38" t="s">
        <v>192</v>
      </c>
      <c r="N5" s="38" t="s">
        <v>191</v>
      </c>
      <c r="O5" s="38" t="s">
        <v>190</v>
      </c>
      <c r="P5" s="38" t="s">
        <v>188</v>
      </c>
      <c r="Q5" s="38" t="s">
        <v>185</v>
      </c>
      <c r="R5" s="38" t="s">
        <v>184</v>
      </c>
      <c r="S5" s="38" t="s">
        <v>181</v>
      </c>
      <c r="T5" s="38" t="s">
        <v>177</v>
      </c>
      <c r="U5" s="39"/>
      <c r="V5" s="39"/>
    </row>
    <row r="6" spans="3:22" ht="19.899999999999999" customHeight="1" thickTop="1" x14ac:dyDescent="0.25">
      <c r="C6" s="37"/>
      <c r="D6" s="40"/>
      <c r="E6" s="41">
        <v>64</v>
      </c>
      <c r="F6" s="41">
        <v>63</v>
      </c>
      <c r="G6" s="41">
        <v>62</v>
      </c>
      <c r="H6" s="41">
        <v>61</v>
      </c>
      <c r="I6" s="41">
        <v>60</v>
      </c>
      <c r="J6" s="41">
        <v>59</v>
      </c>
      <c r="K6" s="41">
        <v>58</v>
      </c>
      <c r="L6" s="41">
        <v>57</v>
      </c>
      <c r="M6" s="41">
        <v>56</v>
      </c>
      <c r="N6" s="41">
        <v>55</v>
      </c>
      <c r="O6" s="41">
        <v>54</v>
      </c>
      <c r="P6" s="41">
        <v>53</v>
      </c>
      <c r="Q6" s="41">
        <v>52</v>
      </c>
      <c r="R6" s="41">
        <v>51</v>
      </c>
      <c r="S6" s="41">
        <v>50</v>
      </c>
      <c r="T6" s="41">
        <v>49</v>
      </c>
      <c r="U6" s="42"/>
      <c r="V6" s="39"/>
    </row>
    <row r="7" spans="3:22" ht="15" x14ac:dyDescent="0.25">
      <c r="C7" s="43" t="s">
        <v>19</v>
      </c>
      <c r="D7" s="44">
        <v>1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5">
        <v>48</v>
      </c>
      <c r="V7" s="46" t="s">
        <v>172</v>
      </c>
    </row>
    <row r="8" spans="3:22" ht="15" x14ac:dyDescent="0.25">
      <c r="C8" s="43" t="s">
        <v>23</v>
      </c>
      <c r="D8" s="44">
        <v>2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45">
        <v>47</v>
      </c>
      <c r="V8" s="46" t="s">
        <v>170</v>
      </c>
    </row>
    <row r="9" spans="3:22" ht="15" x14ac:dyDescent="0.25">
      <c r="C9" s="43" t="s">
        <v>27</v>
      </c>
      <c r="D9" s="44">
        <v>3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45">
        <v>46</v>
      </c>
      <c r="V9" s="46" t="s">
        <v>168</v>
      </c>
    </row>
    <row r="10" spans="3:22" ht="15" x14ac:dyDescent="0.25">
      <c r="C10" s="43" t="s">
        <v>31</v>
      </c>
      <c r="D10" s="44">
        <v>4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45">
        <v>45</v>
      </c>
      <c r="V10" s="46" t="s">
        <v>165</v>
      </c>
    </row>
    <row r="11" spans="3:22" ht="15" x14ac:dyDescent="0.25">
      <c r="C11" s="43" t="s">
        <v>35</v>
      </c>
      <c r="D11" s="44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5">
        <v>44</v>
      </c>
      <c r="V11" s="46" t="s">
        <v>164</v>
      </c>
    </row>
    <row r="12" spans="3:22" ht="15" x14ac:dyDescent="0.25">
      <c r="C12" s="43" t="s">
        <v>38</v>
      </c>
      <c r="D12" s="44">
        <v>6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45">
        <v>43</v>
      </c>
      <c r="V12" s="46" t="s">
        <v>162</v>
      </c>
    </row>
    <row r="13" spans="3:22" ht="15" x14ac:dyDescent="0.25">
      <c r="C13" s="47" t="s">
        <v>41</v>
      </c>
      <c r="D13" s="44">
        <v>7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5">
        <v>42</v>
      </c>
      <c r="V13" s="46" t="s">
        <v>161</v>
      </c>
    </row>
    <row r="14" spans="3:22" ht="15" x14ac:dyDescent="0.25">
      <c r="C14" s="43" t="s">
        <v>42</v>
      </c>
      <c r="D14" s="44">
        <v>8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5">
        <v>41</v>
      </c>
      <c r="V14" s="48" t="s">
        <v>41</v>
      </c>
    </row>
    <row r="15" spans="3:22" ht="15" x14ac:dyDescent="0.25">
      <c r="C15" s="43" t="s">
        <v>43</v>
      </c>
      <c r="D15" s="44">
        <v>9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45">
        <v>40</v>
      </c>
      <c r="V15" s="49" t="s">
        <v>44</v>
      </c>
    </row>
    <row r="16" spans="3:22" ht="15" x14ac:dyDescent="0.25">
      <c r="C16" s="50" t="s">
        <v>44</v>
      </c>
      <c r="D16" s="44">
        <v>10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5">
        <v>39</v>
      </c>
      <c r="V16" s="46" t="s">
        <v>160</v>
      </c>
    </row>
    <row r="17" spans="3:22" ht="15" x14ac:dyDescent="0.25">
      <c r="C17" s="43" t="s">
        <v>45</v>
      </c>
      <c r="D17" s="44">
        <v>11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45">
        <v>38</v>
      </c>
      <c r="V17" s="46" t="s">
        <v>158</v>
      </c>
    </row>
    <row r="18" spans="3:22" ht="15" x14ac:dyDescent="0.25">
      <c r="C18" s="43" t="s">
        <v>49</v>
      </c>
      <c r="D18" s="44">
        <v>12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5">
        <v>37</v>
      </c>
      <c r="V18" s="46" t="s">
        <v>156</v>
      </c>
    </row>
    <row r="19" spans="3:22" ht="15" x14ac:dyDescent="0.25">
      <c r="C19" s="43" t="s">
        <v>54</v>
      </c>
      <c r="D19" s="44">
        <v>13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45">
        <v>36</v>
      </c>
      <c r="V19" s="46" t="s">
        <v>152</v>
      </c>
    </row>
    <row r="20" spans="3:22" ht="15" x14ac:dyDescent="0.25">
      <c r="C20" s="43" t="s">
        <v>60</v>
      </c>
      <c r="D20" s="44">
        <v>14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45">
        <v>35</v>
      </c>
      <c r="V20" s="46" t="s">
        <v>148</v>
      </c>
    </row>
    <row r="21" spans="3:22" ht="15" x14ac:dyDescent="0.25">
      <c r="C21" s="43" t="s">
        <v>65</v>
      </c>
      <c r="D21" s="44">
        <v>15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45">
        <v>34</v>
      </c>
      <c r="V21" s="46" t="s">
        <v>146</v>
      </c>
    </row>
    <row r="22" spans="3:22" ht="15" x14ac:dyDescent="0.25">
      <c r="C22" s="43" t="s">
        <v>69</v>
      </c>
      <c r="D22" s="44">
        <v>16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45">
        <v>33</v>
      </c>
      <c r="V22" s="46" t="s">
        <v>144</v>
      </c>
    </row>
    <row r="23" spans="3:22" ht="19.899999999999999" customHeight="1" thickBot="1" x14ac:dyDescent="0.3">
      <c r="C23" s="37"/>
      <c r="D23" s="51"/>
      <c r="E23" s="52">
        <v>17</v>
      </c>
      <c r="F23" s="52">
        <v>18</v>
      </c>
      <c r="G23" s="52">
        <v>19</v>
      </c>
      <c r="H23" s="52">
        <v>20</v>
      </c>
      <c r="I23" s="52">
        <v>21</v>
      </c>
      <c r="J23" s="52">
        <v>22</v>
      </c>
      <c r="K23" s="52">
        <v>23</v>
      </c>
      <c r="L23" s="52">
        <v>24</v>
      </c>
      <c r="M23" s="52">
        <v>25</v>
      </c>
      <c r="N23" s="52">
        <v>26</v>
      </c>
      <c r="O23" s="52">
        <v>27</v>
      </c>
      <c r="P23" s="52">
        <v>28</v>
      </c>
      <c r="Q23" s="52">
        <v>29</v>
      </c>
      <c r="R23" s="52">
        <v>30</v>
      </c>
      <c r="S23" s="52">
        <v>31</v>
      </c>
      <c r="T23" s="52">
        <v>32</v>
      </c>
      <c r="U23" s="53"/>
      <c r="V23" s="39"/>
    </row>
    <row r="24" spans="3:22" ht="75" customHeight="1" thickTop="1" x14ac:dyDescent="0.25">
      <c r="C24" s="37"/>
      <c r="D24" s="37"/>
      <c r="E24" s="54" t="s">
        <v>74</v>
      </c>
      <c r="F24" s="54" t="s">
        <v>78</v>
      </c>
      <c r="G24" s="54" t="s">
        <v>84</v>
      </c>
      <c r="H24" s="54" t="s">
        <v>89</v>
      </c>
      <c r="I24" s="54" t="s">
        <v>93</v>
      </c>
      <c r="J24" s="54" t="s">
        <v>97</v>
      </c>
      <c r="K24" s="54" t="s">
        <v>99</v>
      </c>
      <c r="L24" s="54" t="s">
        <v>101</v>
      </c>
      <c r="M24" s="54" t="s">
        <v>104</v>
      </c>
      <c r="N24" s="54" t="s">
        <v>108</v>
      </c>
      <c r="O24" s="54" t="s">
        <v>114</v>
      </c>
      <c r="P24" s="54" t="s">
        <v>118</v>
      </c>
      <c r="Q24" s="54" t="s">
        <v>122</v>
      </c>
      <c r="R24" s="54" t="s">
        <v>127</v>
      </c>
      <c r="S24" s="54" t="s">
        <v>132</v>
      </c>
      <c r="T24" s="54" t="s">
        <v>138</v>
      </c>
      <c r="U24" s="39"/>
      <c r="V24" s="39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F303-0CFC-41B5-8095-A985B9A29617}">
  <sheetPr>
    <tabColor theme="6" tint="0.79998168889431442"/>
  </sheetPr>
  <dimension ref="C2:R20"/>
  <sheetViews>
    <sheetView workbookViewId="0">
      <selection activeCell="I69" sqref="I69"/>
    </sheetView>
  </sheetViews>
  <sheetFormatPr defaultColWidth="2.42578125" defaultRowHeight="9.4" customHeight="1" x14ac:dyDescent="0.25"/>
  <cols>
    <col min="1" max="2" width="2.42578125" style="33"/>
    <col min="3" max="3" width="18" style="33" customWidth="1"/>
    <col min="4" max="4" width="4" style="33" customWidth="1"/>
    <col min="5" max="16" width="2.42578125" style="33"/>
    <col min="17" max="17" width="4" style="33" customWidth="1"/>
    <col min="18" max="18" width="18" style="33" customWidth="1"/>
    <col min="19" max="16384" width="2.42578125" style="33"/>
  </cols>
  <sheetData>
    <row r="2" spans="3:18" ht="19.899999999999999" customHeight="1" x14ac:dyDescent="0.25">
      <c r="H2" s="28" t="s">
        <v>290</v>
      </c>
      <c r="I2" s="36"/>
      <c r="J2" s="36"/>
      <c r="K2" s="36"/>
      <c r="L2" s="36"/>
      <c r="M2" s="36"/>
      <c r="N2" s="36"/>
      <c r="O2" s="36"/>
      <c r="P2" s="36"/>
      <c r="Q2" s="36"/>
    </row>
    <row r="5" spans="3:18" ht="75" customHeight="1" thickBot="1" x14ac:dyDescent="0.3">
      <c r="C5" s="37"/>
      <c r="D5" s="37"/>
      <c r="E5" s="38" t="s">
        <v>207</v>
      </c>
      <c r="F5" s="38" t="s">
        <v>204</v>
      </c>
      <c r="G5" s="38" t="s">
        <v>201</v>
      </c>
      <c r="H5" s="38" t="s">
        <v>199</v>
      </c>
      <c r="I5" s="38" t="s">
        <v>195</v>
      </c>
      <c r="J5" s="38" t="s">
        <v>193</v>
      </c>
      <c r="K5" s="38" t="s">
        <v>192</v>
      </c>
      <c r="L5" s="38" t="s">
        <v>191</v>
      </c>
      <c r="M5" s="38" t="s">
        <v>185</v>
      </c>
      <c r="N5" s="38" t="s">
        <v>184</v>
      </c>
      <c r="O5" s="38" t="s">
        <v>181</v>
      </c>
      <c r="P5" s="38" t="s">
        <v>177</v>
      </c>
      <c r="Q5" s="39"/>
      <c r="R5" s="39"/>
    </row>
    <row r="6" spans="3:18" ht="19.899999999999999" customHeight="1" thickTop="1" x14ac:dyDescent="0.25">
      <c r="C6" s="37"/>
      <c r="D6" s="40"/>
      <c r="E6" s="41">
        <v>48</v>
      </c>
      <c r="F6" s="41">
        <v>47</v>
      </c>
      <c r="G6" s="41">
        <v>46</v>
      </c>
      <c r="H6" s="41">
        <v>45</v>
      </c>
      <c r="I6" s="41">
        <v>44</v>
      </c>
      <c r="J6" s="41">
        <v>43</v>
      </c>
      <c r="K6" s="41">
        <v>42</v>
      </c>
      <c r="L6" s="41">
        <v>41</v>
      </c>
      <c r="M6" s="41">
        <v>40</v>
      </c>
      <c r="N6" s="41">
        <v>39</v>
      </c>
      <c r="O6" s="41">
        <v>38</v>
      </c>
      <c r="P6" s="41">
        <v>37</v>
      </c>
      <c r="Q6" s="42"/>
      <c r="R6" s="39"/>
    </row>
    <row r="7" spans="3:18" ht="15" x14ac:dyDescent="0.25">
      <c r="C7" s="43" t="s">
        <v>19</v>
      </c>
      <c r="D7" s="44">
        <v>1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5">
        <v>36</v>
      </c>
      <c r="R7" s="46" t="s">
        <v>172</v>
      </c>
    </row>
    <row r="8" spans="3:18" ht="15" x14ac:dyDescent="0.25">
      <c r="C8" s="43" t="s">
        <v>23</v>
      </c>
      <c r="D8" s="44">
        <v>2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5">
        <v>35</v>
      </c>
      <c r="R8" s="46" t="s">
        <v>170</v>
      </c>
    </row>
    <row r="9" spans="3:18" ht="15" x14ac:dyDescent="0.25">
      <c r="C9" s="43" t="s">
        <v>35</v>
      </c>
      <c r="D9" s="44">
        <v>3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45">
        <v>34</v>
      </c>
      <c r="R9" s="46" t="s">
        <v>168</v>
      </c>
    </row>
    <row r="10" spans="3:18" ht="15" x14ac:dyDescent="0.25">
      <c r="C10" s="43" t="s">
        <v>38</v>
      </c>
      <c r="D10" s="44">
        <v>4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5">
        <v>33</v>
      </c>
      <c r="R10" s="46" t="s">
        <v>165</v>
      </c>
    </row>
    <row r="11" spans="3:18" ht="15" x14ac:dyDescent="0.25">
      <c r="C11" s="47" t="s">
        <v>41</v>
      </c>
      <c r="D11" s="44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5">
        <v>32</v>
      </c>
      <c r="R11" s="46" t="s">
        <v>161</v>
      </c>
    </row>
    <row r="12" spans="3:18" ht="15" x14ac:dyDescent="0.25">
      <c r="C12" s="43" t="s">
        <v>42</v>
      </c>
      <c r="D12" s="44">
        <v>6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5">
        <v>31</v>
      </c>
      <c r="R12" s="48" t="s">
        <v>41</v>
      </c>
    </row>
    <row r="13" spans="3:18" ht="15" x14ac:dyDescent="0.25">
      <c r="C13" s="50" t="s">
        <v>44</v>
      </c>
      <c r="D13" s="44">
        <v>7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45">
        <v>30</v>
      </c>
      <c r="R13" s="49" t="s">
        <v>44</v>
      </c>
    </row>
    <row r="14" spans="3:18" ht="15" x14ac:dyDescent="0.25">
      <c r="C14" s="43" t="s">
        <v>45</v>
      </c>
      <c r="D14" s="44">
        <v>8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45">
        <v>29</v>
      </c>
      <c r="R14" s="46" t="s">
        <v>156</v>
      </c>
    </row>
    <row r="15" spans="3:18" ht="15" x14ac:dyDescent="0.25">
      <c r="C15" s="43" t="s">
        <v>49</v>
      </c>
      <c r="D15" s="44">
        <v>9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5">
        <v>28</v>
      </c>
      <c r="R15" s="46" t="s">
        <v>152</v>
      </c>
    </row>
    <row r="16" spans="3:18" ht="15" x14ac:dyDescent="0.25">
      <c r="C16" s="43" t="s">
        <v>60</v>
      </c>
      <c r="D16" s="44">
        <v>10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5">
        <v>27</v>
      </c>
      <c r="R16" s="46" t="s">
        <v>148</v>
      </c>
    </row>
    <row r="17" spans="3:18" ht="15" x14ac:dyDescent="0.25">
      <c r="C17" s="43" t="s">
        <v>65</v>
      </c>
      <c r="D17" s="44">
        <v>11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5">
        <v>26</v>
      </c>
      <c r="R17" s="46" t="s">
        <v>146</v>
      </c>
    </row>
    <row r="18" spans="3:18" ht="15" x14ac:dyDescent="0.25">
      <c r="C18" s="43" t="s">
        <v>69</v>
      </c>
      <c r="D18" s="44">
        <v>12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5">
        <v>25</v>
      </c>
      <c r="R18" s="46" t="s">
        <v>144</v>
      </c>
    </row>
    <row r="19" spans="3:18" ht="19.899999999999999" customHeight="1" thickBot="1" x14ac:dyDescent="0.3">
      <c r="C19" s="37"/>
      <c r="D19" s="51"/>
      <c r="E19" s="52">
        <v>13</v>
      </c>
      <c r="F19" s="52">
        <v>14</v>
      </c>
      <c r="G19" s="52">
        <v>15</v>
      </c>
      <c r="H19" s="52">
        <v>16</v>
      </c>
      <c r="I19" s="52">
        <v>17</v>
      </c>
      <c r="J19" s="52">
        <v>18</v>
      </c>
      <c r="K19" s="52">
        <v>19</v>
      </c>
      <c r="L19" s="52">
        <v>20</v>
      </c>
      <c r="M19" s="52">
        <v>21</v>
      </c>
      <c r="N19" s="52">
        <v>22</v>
      </c>
      <c r="O19" s="52">
        <v>23</v>
      </c>
      <c r="P19" s="52">
        <v>24</v>
      </c>
      <c r="Q19" s="53"/>
      <c r="R19" s="39"/>
    </row>
    <row r="20" spans="3:18" ht="75" customHeight="1" thickTop="1" x14ac:dyDescent="0.25">
      <c r="C20" s="37"/>
      <c r="D20" s="37"/>
      <c r="E20" s="54" t="s">
        <v>74</v>
      </c>
      <c r="F20" s="54" t="s">
        <v>78</v>
      </c>
      <c r="G20" s="54" t="s">
        <v>84</v>
      </c>
      <c r="H20" s="54" t="s">
        <v>89</v>
      </c>
      <c r="I20" s="54" t="s">
        <v>93</v>
      </c>
      <c r="J20" s="54" t="s">
        <v>101</v>
      </c>
      <c r="K20" s="54" t="s">
        <v>104</v>
      </c>
      <c r="L20" s="54" t="s">
        <v>118</v>
      </c>
      <c r="M20" s="54" t="s">
        <v>122</v>
      </c>
      <c r="N20" s="54" t="s">
        <v>127</v>
      </c>
      <c r="O20" s="54" t="s">
        <v>132</v>
      </c>
      <c r="P20" s="54" t="s">
        <v>138</v>
      </c>
      <c r="Q20" s="39"/>
      <c r="R20" s="39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History</vt:lpstr>
      <vt:lpstr>S32K118V Pinout</vt:lpstr>
      <vt:lpstr>S32K118V_64lqfp</vt:lpstr>
      <vt:lpstr>S32K118V_48lqfp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Vazquez Goyarzu</dc:creator>
  <cp:lastModifiedBy>Carlos Vazquez Goyarzu</cp:lastModifiedBy>
  <dcterms:created xsi:type="dcterms:W3CDTF">2026-04-29T12:43:28Z</dcterms:created>
  <dcterms:modified xsi:type="dcterms:W3CDTF">2026-05-09T21:20:34Z</dcterms:modified>
</cp:coreProperties>
</file>