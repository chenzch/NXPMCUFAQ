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60E4C916-5B2D-4B4F-8F03-49CBBBBA41A4}" xr6:coauthVersionLast="47" xr6:coauthVersionMax="47" xr10:uidLastSave="{00000000-0000-0000-0000-000000000000}"/>
  <bookViews>
    <workbookView xWindow="-28920" yWindow="-120" windowWidth="29040" windowHeight="15720" firstSheet="4" activeTab="8" xr2:uid="{0DC66155-C6DE-4E2C-95A7-34CC4D3C070B}"/>
  </bookViews>
  <sheets>
    <sheet name="Title" sheetId="147" r:id="rId1"/>
    <sheet name="S32K344_Pinout" sheetId="138" r:id="rId2"/>
    <sheet name="S32K3_Pinout_Mapping" sheetId="149" r:id="rId3"/>
    <sheet name="S32K344_IO Signal Table" sheetId="139" r:id="rId4"/>
    <sheet name="S32K344_Input Muxing" sheetId="140" r:id="rId5"/>
    <sheet name="S32K344_Supplies" sheetId="141" r:id="rId6"/>
    <sheet name="S32K344_Misc Pins" sheetId="142" r:id="rId7"/>
    <sheet name="S32K344_PeripheralSummaries" sheetId="143" r:id="rId8"/>
    <sheet name="S32K314_S32K324_S32K344_100lqfp" sheetId="148" r:id="rId9"/>
    <sheet name="S32K344_172hdqfp" sheetId="144" r:id="rId10"/>
    <sheet name="S32K344_257bga" sheetId="146" r:id="rId11"/>
    <sheet name="S32K34x_Ethernet Use cases" sheetId="24" r:id="rId12"/>
    <sheet name="TSPC Selection" sheetId="27" r:id="rId13"/>
  </sheets>
  <definedNames>
    <definedName name="_xlnm._FilterDatabase" localSheetId="3" hidden="1">'S32K344_IO Signal Table'!$A$2:$AE$2264</definedName>
    <definedName name="_xlnm._FilterDatabase" localSheetId="1" hidden="1">S32K344_Pinout!$A$1:$A$267</definedName>
    <definedName name="_xlnm._FilterDatabase" localSheetId="5" hidden="1">S32K344_Supplies!$A$1:$A$38</definedName>
    <definedName name="_xlnm._FilterDatabase" localSheetId="12" hidden="1">'TSPC Selection'!$A$1:$Q$227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138" l="1"/>
  <c r="AG15" i="138" a="1"/>
  <c r="AG15" i="138" s="1"/>
  <c r="AH15" i="138" s="1"/>
  <c r="AG16" i="138" l="1" a="1"/>
  <c r="AG16" i="138" s="1"/>
  <c r="AG18" i="138" a="1"/>
  <c r="AG18" i="138" s="1"/>
  <c r="AG139" i="138" a="1"/>
  <c r="AG139" i="138" s="1"/>
  <c r="AG138" i="138" a="1"/>
  <c r="AG138" i="138" s="1"/>
  <c r="AG19" i="138" a="1"/>
  <c r="AG19" i="138" s="1"/>
  <c r="AG100" i="138" a="1"/>
  <c r="AG100" i="138" s="1"/>
  <c r="AG99" i="138" a="1"/>
  <c r="AG99" i="138" s="1"/>
  <c r="AG134" i="138" a="1"/>
  <c r="AG134" i="138" s="1"/>
  <c r="AG133" i="138" a="1"/>
  <c r="AG133" i="138" s="1"/>
  <c r="AG136" i="138" a="1"/>
  <c r="AG136" i="138" s="1"/>
  <c r="AG158" i="138" a="1"/>
  <c r="AG158" i="138" s="1"/>
  <c r="AG157" i="138" a="1"/>
  <c r="AG157" i="138" s="1"/>
  <c r="AG22" i="138" a="1"/>
  <c r="AG22" i="138" s="1"/>
  <c r="AG23" i="138" a="1"/>
  <c r="AG23" i="138" s="1"/>
  <c r="AG246" i="138" a="1"/>
  <c r="AG246" i="138" s="1"/>
  <c r="AG247" i="138" a="1"/>
  <c r="AG247" i="138" s="1"/>
  <c r="AG234" i="138" a="1"/>
  <c r="AG234" i="138" s="1"/>
  <c r="AG233" i="138" a="1"/>
  <c r="AG233" i="138" s="1"/>
  <c r="AG229" i="138" a="1"/>
  <c r="AG229" i="138" s="1"/>
  <c r="AG225" i="138" a="1"/>
  <c r="AG225" i="138" s="1"/>
  <c r="AG248" i="138" a="1"/>
  <c r="AG248" i="138" s="1"/>
  <c r="AG3" i="138" a="1"/>
  <c r="AG3" i="138" s="1"/>
  <c r="AG249" i="138" a="1"/>
  <c r="AG249" i="138" s="1"/>
  <c r="AG266" i="138" a="1"/>
  <c r="AG266" i="138" s="1"/>
  <c r="AG137" i="138" a="1"/>
  <c r="AG137" i="138" s="1"/>
  <c r="AG154" i="138" a="1"/>
  <c r="AG154" i="138" s="1"/>
  <c r="AG25" i="138" a="1"/>
  <c r="AG25" i="138" s="1"/>
  <c r="AG135" i="138" a="1"/>
  <c r="AG135" i="138" s="1"/>
  <c r="AG26" i="138" a="1"/>
  <c r="AG26" i="138" s="1"/>
  <c r="AG108" i="138" a="1"/>
  <c r="AG108" i="138" s="1"/>
  <c r="AG27" i="138" a="1"/>
  <c r="AG27" i="138" s="1"/>
  <c r="AG29" i="138" a="1"/>
  <c r="AG29" i="138" s="1"/>
  <c r="AG107" i="138" a="1"/>
  <c r="AG107" i="138" s="1"/>
  <c r="AG106" i="138" a="1"/>
  <c r="AG106" i="138" s="1"/>
  <c r="AG162" i="138" a="1"/>
  <c r="AG162" i="138" s="1"/>
  <c r="AG250" i="138" a="1"/>
  <c r="AG250" i="138" s="1"/>
  <c r="AG241" i="138" a="1"/>
  <c r="AG241" i="138" s="1"/>
  <c r="AG30" i="138" a="1"/>
  <c r="AG30" i="138" s="1"/>
  <c r="AG105" i="138" a="1"/>
  <c r="AG105" i="138" s="1"/>
  <c r="AG104" i="138" a="1"/>
  <c r="AG104" i="138" s="1"/>
  <c r="AG47" i="138" a="1"/>
  <c r="AG47" i="138" s="1"/>
  <c r="AG48" i="138" a="1"/>
  <c r="AG48" i="138" s="1"/>
  <c r="AG50" i="138" a="1"/>
  <c r="AG50" i="138" s="1"/>
  <c r="AG51" i="138" a="1"/>
  <c r="AG51" i="138" s="1"/>
  <c r="AG161" i="138" a="1"/>
  <c r="AG161" i="138" s="1"/>
  <c r="AG64" i="138" a="1"/>
  <c r="AG64" i="138" s="1"/>
  <c r="AG63" i="138" a="1"/>
  <c r="AG63" i="138" s="1"/>
  <c r="AG90" i="138" a="1"/>
  <c r="AG90" i="138" s="1"/>
  <c r="AG79" i="138" a="1"/>
  <c r="AG79" i="138" s="1"/>
  <c r="AG128" i="138" a="1"/>
  <c r="AG128" i="138" s="1"/>
  <c r="AG127" i="138" a="1"/>
  <c r="AG127" i="138" s="1"/>
  <c r="AG126" i="138" a="1"/>
  <c r="AG126" i="138" s="1"/>
  <c r="AG103" i="138" a="1"/>
  <c r="AG103" i="138" s="1"/>
  <c r="AG102" i="138" a="1"/>
  <c r="AG102" i="138" s="1"/>
  <c r="AG101" i="138" a="1"/>
  <c r="AG101" i="138" s="1"/>
  <c r="AG242" i="138" a="1"/>
  <c r="AG242" i="138" s="1"/>
  <c r="AG251" i="138" a="1"/>
  <c r="AG251" i="138" s="1"/>
  <c r="AG226" i="138" a="1"/>
  <c r="AG226" i="138" s="1"/>
  <c r="AG230" i="138" a="1"/>
  <c r="AG230" i="138" s="1"/>
  <c r="AG68" i="138" a="1"/>
  <c r="AG68" i="138" s="1"/>
  <c r="AG67" i="138" a="1"/>
  <c r="AG67" i="138" s="1"/>
  <c r="AG130" i="138" a="1"/>
  <c r="AG130" i="138" s="1"/>
  <c r="AG129" i="138" a="1"/>
  <c r="AG129" i="138" s="1"/>
  <c r="AG76" i="138" a="1"/>
  <c r="AG76" i="138" s="1"/>
  <c r="AG75" i="138" a="1"/>
  <c r="AG75" i="138" s="1"/>
  <c r="AG52" i="138" a="1"/>
  <c r="AG52" i="138" s="1"/>
  <c r="AG74" i="138" a="1"/>
  <c r="AG74" i="138" s="1"/>
  <c r="AG53" i="138" a="1"/>
  <c r="AG53" i="138" s="1"/>
  <c r="AG54" i="138" a="1"/>
  <c r="AG54" i="138" s="1"/>
  <c r="AG73" i="138" a="1"/>
  <c r="AG73" i="138" s="1"/>
  <c r="AG55" i="138" a="1"/>
  <c r="AG55" i="138" s="1"/>
  <c r="AG56" i="138" a="1"/>
  <c r="AG56" i="138" s="1"/>
  <c r="AG60" i="138" a="1"/>
  <c r="AG60" i="138" s="1"/>
  <c r="AG57" i="138" a="1"/>
  <c r="AG57" i="138" s="1"/>
  <c r="AG58" i="138" a="1"/>
  <c r="AG58" i="138" s="1"/>
  <c r="AG243" i="138" a="1"/>
  <c r="AG243" i="138" s="1"/>
  <c r="AG252" i="138" a="1"/>
  <c r="AG252" i="138" s="1"/>
  <c r="AG49" i="138" a="1"/>
  <c r="AG49" i="138" s="1"/>
  <c r="AG59" i="138" a="1"/>
  <c r="AG59" i="138" s="1"/>
  <c r="AG72" i="138" a="1"/>
  <c r="AG72" i="138" s="1"/>
  <c r="AG77" i="138" a="1"/>
  <c r="AG77" i="138" s="1"/>
  <c r="AG71" i="138" a="1"/>
  <c r="AG71" i="138" s="1"/>
  <c r="AG78" i="138" a="1"/>
  <c r="AG78" i="138" s="1"/>
  <c r="AG80" i="138" a="1"/>
  <c r="AG80" i="138" s="1"/>
  <c r="AG81" i="138" a="1"/>
  <c r="AG81" i="138" s="1"/>
  <c r="AG83" i="138" a="1"/>
  <c r="AG83" i="138" s="1"/>
  <c r="AG84" i="138" a="1"/>
  <c r="AG84" i="138" s="1"/>
  <c r="AG85" i="138" a="1"/>
  <c r="AG85" i="138" s="1"/>
  <c r="AG70" i="138" a="1"/>
  <c r="AG70" i="138" s="1"/>
  <c r="AG86" i="138" a="1"/>
  <c r="AG86" i="138" s="1"/>
  <c r="AG69" i="138" a="1"/>
  <c r="AG69" i="138" s="1"/>
  <c r="AG87" i="138" a="1"/>
  <c r="AG87" i="138" s="1"/>
  <c r="AG38" i="138" a="1"/>
  <c r="AG38" i="138" s="1"/>
  <c r="AG37" i="138" a="1"/>
  <c r="AG37" i="138" s="1"/>
  <c r="AG88" i="138" a="1"/>
  <c r="AG88" i="138" s="1"/>
  <c r="AG98" i="138" a="1"/>
  <c r="AG98" i="138" s="1"/>
  <c r="AG97" i="138" a="1"/>
  <c r="AG97" i="138" s="1"/>
  <c r="AG89" i="138" a="1"/>
  <c r="AG89" i="138" s="1"/>
  <c r="AG34" i="138" a="1"/>
  <c r="AG34" i="138" s="1"/>
  <c r="AG91" i="138" a="1"/>
  <c r="AG91" i="138" s="1"/>
  <c r="AG33" i="138" a="1"/>
  <c r="AG33" i="138" s="1"/>
  <c r="AG92" i="138" a="1"/>
  <c r="AG92" i="138" s="1"/>
  <c r="AG160" i="138" a="1"/>
  <c r="AG160" i="138" s="1"/>
  <c r="AG231" i="138" a="1"/>
  <c r="AG231" i="138" s="1"/>
  <c r="AG227" i="138" a="1"/>
  <c r="AG227" i="138" s="1"/>
  <c r="AG253" i="138" a="1"/>
  <c r="AG253" i="138" s="1"/>
  <c r="AG235" i="138" a="1"/>
  <c r="AG235" i="138" s="1"/>
  <c r="AG14" i="138" a="1"/>
  <c r="AG14" i="138" s="1"/>
  <c r="AG46" i="138" a="1"/>
  <c r="AG46" i="138" s="1"/>
  <c r="AG112" i="138" a="1"/>
  <c r="AG112" i="138" s="1"/>
  <c r="AG45" i="138" a="1"/>
  <c r="AG45" i="138" s="1"/>
  <c r="AG44" i="138" a="1"/>
  <c r="AG44" i="138" s="1"/>
  <c r="AG43" i="138" a="1"/>
  <c r="AG43" i="138" s="1"/>
  <c r="AG113" i="138" a="1"/>
  <c r="AG113" i="138" s="1"/>
  <c r="AG42" i="138" a="1"/>
  <c r="AG42" i="138" s="1"/>
  <c r="AG41" i="138" a="1"/>
  <c r="AG41" i="138" s="1"/>
  <c r="AG114" i="138" a="1"/>
  <c r="AG114" i="138" s="1"/>
  <c r="AG125" i="138" a="1"/>
  <c r="AG125" i="138" s="1"/>
  <c r="AG122" i="138" a="1"/>
  <c r="AG122" i="138" s="1"/>
  <c r="AG111" i="138" a="1"/>
  <c r="AG111" i="138" s="1"/>
  <c r="AG115" i="138" a="1"/>
  <c r="AG115" i="138" s="1"/>
  <c r="AG28" i="138" a="1"/>
  <c r="AG28" i="138" s="1"/>
  <c r="AG17" i="138" a="1"/>
  <c r="AG17" i="138" s="1"/>
  <c r="AG116" i="138" a="1"/>
  <c r="AG116" i="138" s="1"/>
  <c r="AG40" i="138" a="1"/>
  <c r="AG40" i="138" s="1"/>
  <c r="AG254" i="138" a="1"/>
  <c r="AG254" i="138" s="1"/>
  <c r="AG236" i="138" a="1"/>
  <c r="AG236" i="138" s="1"/>
  <c r="AG39" i="138" a="1"/>
  <c r="AG39" i="138" s="1"/>
  <c r="AG66" i="138" a="1"/>
  <c r="AG66" i="138" s="1"/>
  <c r="AG118" i="138" a="1"/>
  <c r="AG118" i="138" s="1"/>
  <c r="AG119" i="138" a="1"/>
  <c r="AG119" i="138" s="1"/>
  <c r="AG65" i="138" a="1"/>
  <c r="AG65" i="138" s="1"/>
  <c r="AG120" i="138" a="1"/>
  <c r="AG120" i="138" s="1"/>
  <c r="AG6" i="138" a="1"/>
  <c r="AG6" i="138" s="1"/>
  <c r="AG121" i="138" a="1"/>
  <c r="AG121" i="138" s="1"/>
  <c r="AG5" i="138" a="1"/>
  <c r="AG5" i="138" s="1"/>
  <c r="AG123" i="138" a="1"/>
  <c r="AG123" i="138" s="1"/>
  <c r="AG124" i="138" a="1"/>
  <c r="AG124" i="138" s="1"/>
  <c r="AG96" i="138" a="1"/>
  <c r="AG96" i="138" s="1"/>
  <c r="AG95" i="138" a="1"/>
  <c r="AG95" i="138" s="1"/>
  <c r="AG140" i="138" a="1"/>
  <c r="AG140" i="138" s="1"/>
  <c r="AG13" i="138" a="1"/>
  <c r="AG13" i="138" s="1"/>
  <c r="AG141" i="138" a="1"/>
  <c r="AG141" i="138" s="1"/>
  <c r="AG12" i="138" a="1"/>
  <c r="AG12" i="138" s="1"/>
  <c r="AG159" i="138" a="1"/>
  <c r="AG159" i="138" s="1"/>
  <c r="AG143" i="138" a="1"/>
  <c r="AG143" i="138" s="1"/>
  <c r="AG232" i="138" a="1"/>
  <c r="AG232" i="138" s="1"/>
  <c r="AG228" i="138" a="1"/>
  <c r="AG228" i="138" s="1"/>
  <c r="AG255" i="138" a="1"/>
  <c r="AG255" i="138" s="1"/>
  <c r="AG237" i="138" a="1"/>
  <c r="AG237" i="138" s="1"/>
  <c r="AG11" i="138" a="1"/>
  <c r="AG11" i="138" s="1"/>
  <c r="AG145" i="138" a="1"/>
  <c r="AG145" i="138" s="1"/>
  <c r="AG146" i="138" a="1"/>
  <c r="AG146" i="138" s="1"/>
  <c r="AG10" i="138" a="1"/>
  <c r="AG10" i="138" s="1"/>
  <c r="AG147" i="138" a="1"/>
  <c r="AG147" i="138" s="1"/>
  <c r="AG148" i="138" a="1"/>
  <c r="AG148" i="138" s="1"/>
  <c r="AG149" i="138" a="1"/>
  <c r="AG149" i="138" s="1"/>
  <c r="AG9" i="138" a="1"/>
  <c r="AG9" i="138" s="1"/>
  <c r="AG8" i="138" a="1"/>
  <c r="AG8" i="138" s="1"/>
  <c r="AG7" i="138" a="1"/>
  <c r="AG7" i="138" s="1"/>
  <c r="AG132" i="138" a="1"/>
  <c r="AG132" i="138" s="1"/>
  <c r="AG131" i="138" a="1"/>
  <c r="AG131" i="138" s="1"/>
  <c r="AG150" i="138" a="1"/>
  <c r="AG150" i="138" s="1"/>
  <c r="AG94" i="138" a="1"/>
  <c r="AG94" i="138" s="1"/>
  <c r="AG93" i="138" a="1"/>
  <c r="AG93" i="138" s="1"/>
  <c r="AG32" i="138" a="1"/>
  <c r="AG32" i="138" s="1"/>
  <c r="AG256" i="138" a="1"/>
  <c r="AG256" i="138" s="1"/>
  <c r="AG238" i="138" a="1"/>
  <c r="AG238" i="138" s="1"/>
  <c r="AG31" i="138" a="1"/>
  <c r="AG31" i="138" s="1"/>
  <c r="AG36" i="138" a="1"/>
  <c r="AG36" i="138" s="1"/>
  <c r="AG35" i="138" a="1"/>
  <c r="AG35" i="138" s="1"/>
  <c r="AG267" i="138" a="1"/>
  <c r="AG267" i="138" s="1"/>
  <c r="AG109" i="138" a="1"/>
  <c r="AG109" i="138" s="1"/>
  <c r="AG110" i="138" a="1"/>
  <c r="AG110" i="138" s="1"/>
  <c r="AG117" i="138" a="1"/>
  <c r="AG117" i="138" s="1"/>
  <c r="AG142" i="138" a="1"/>
  <c r="AG142" i="138" s="1"/>
  <c r="AG144" i="138" a="1"/>
  <c r="AG144" i="138" s="1"/>
  <c r="AG151" i="138" a="1"/>
  <c r="AG151" i="138" s="1"/>
  <c r="AG152" i="138" a="1"/>
  <c r="AG152" i="138" s="1"/>
  <c r="AG153" i="138" a="1"/>
  <c r="AG153" i="138" s="1"/>
  <c r="AG155" i="138" a="1"/>
  <c r="AG155" i="138" s="1"/>
  <c r="AG156" i="138" a="1"/>
  <c r="AG156" i="138" s="1"/>
  <c r="AG163" i="138" a="1"/>
  <c r="AG163" i="138" s="1"/>
  <c r="AG164" i="138" a="1"/>
  <c r="AG164" i="138" s="1"/>
  <c r="AG175" i="138" a="1"/>
  <c r="AG175" i="138" s="1"/>
  <c r="AG186" i="138" a="1"/>
  <c r="AG186" i="138" s="1"/>
  <c r="AG189" i="138" a="1"/>
  <c r="AG189" i="138" s="1"/>
  <c r="AG190" i="138" a="1"/>
  <c r="AG190" i="138" s="1"/>
  <c r="AG191" i="138" a="1"/>
  <c r="AG191" i="138" s="1"/>
  <c r="AG192" i="138" a="1"/>
  <c r="AG192" i="138" s="1"/>
  <c r="AG193" i="138" a="1"/>
  <c r="AG193" i="138" s="1"/>
  <c r="AG194" i="138" a="1"/>
  <c r="AG194" i="138" s="1"/>
  <c r="AG165" i="138" a="1"/>
  <c r="AG165" i="138" s="1"/>
  <c r="AG166" i="138" a="1"/>
  <c r="AG166" i="138" s="1"/>
  <c r="AG167" i="138" a="1"/>
  <c r="AG167" i="138" s="1"/>
  <c r="AG168" i="138" a="1"/>
  <c r="AG168" i="138" s="1"/>
  <c r="AG169" i="138" a="1"/>
  <c r="AG169" i="138" s="1"/>
  <c r="AG170" i="138" a="1"/>
  <c r="AG170" i="138" s="1"/>
  <c r="AG171" i="138" a="1"/>
  <c r="AG171" i="138" s="1"/>
  <c r="AG172" i="138" a="1"/>
  <c r="AG172" i="138" s="1"/>
  <c r="AG173" i="138" a="1"/>
  <c r="AG173" i="138" s="1"/>
  <c r="AG174" i="138" a="1"/>
  <c r="AG174" i="138" s="1"/>
  <c r="AG176" i="138" a="1"/>
  <c r="AG176" i="138" s="1"/>
  <c r="AG177" i="138" a="1"/>
  <c r="AG177" i="138" s="1"/>
  <c r="AG178" i="138" a="1"/>
  <c r="AG178" i="138" s="1"/>
  <c r="AG179" i="138" a="1"/>
  <c r="AG179" i="138" s="1"/>
  <c r="AG180" i="138" a="1"/>
  <c r="AG180" i="138" s="1"/>
  <c r="AG181" i="138" a="1"/>
  <c r="AG181" i="138" s="1"/>
  <c r="AG182" i="138" a="1"/>
  <c r="AG182" i="138" s="1"/>
  <c r="AG183" i="138" a="1"/>
  <c r="AG183" i="138" s="1"/>
  <c r="AG184" i="138" a="1"/>
  <c r="AG184" i="138" s="1"/>
  <c r="AG185" i="138" a="1"/>
  <c r="AG185" i="138" s="1"/>
  <c r="AG187" i="138" a="1"/>
  <c r="AG187" i="138" s="1"/>
  <c r="AG188" i="138" a="1"/>
  <c r="AG188" i="138" s="1"/>
  <c r="AG195" i="138" a="1"/>
  <c r="AG195" i="138" s="1"/>
  <c r="AG196" i="138" a="1"/>
  <c r="AG196" i="138" s="1"/>
  <c r="AG207" i="138" a="1"/>
  <c r="AG207" i="138" s="1"/>
  <c r="AG216" i="138" a="1"/>
  <c r="AG216" i="138" s="1"/>
  <c r="AG217" i="138" a="1"/>
  <c r="AG217" i="138" s="1"/>
  <c r="AG218" i="138" a="1"/>
  <c r="AG218" i="138" s="1"/>
  <c r="AG219" i="138" a="1"/>
  <c r="AG219" i="138" s="1"/>
  <c r="AG220" i="138" a="1"/>
  <c r="AG220" i="138" s="1"/>
  <c r="AG221" i="138" a="1"/>
  <c r="AG221" i="138" s="1"/>
  <c r="AG222" i="138" a="1"/>
  <c r="AG222" i="138" s="1"/>
  <c r="AG197" i="138" a="1"/>
  <c r="AG197" i="138" s="1"/>
  <c r="AG198" i="138" a="1"/>
  <c r="AG198" i="138" s="1"/>
  <c r="AG199" i="138" a="1"/>
  <c r="AG199" i="138" s="1"/>
  <c r="AG200" i="138" a="1"/>
  <c r="AG200" i="138" s="1"/>
  <c r="AG201" i="138" a="1"/>
  <c r="AG201" i="138" s="1"/>
  <c r="AG202" i="138" a="1"/>
  <c r="AG202" i="138" s="1"/>
  <c r="AG203" i="138" a="1"/>
  <c r="AG203" i="138" s="1"/>
  <c r="AG204" i="138" a="1"/>
  <c r="AG204" i="138" s="1"/>
  <c r="AG205" i="138" a="1"/>
  <c r="AG205" i="138" s="1"/>
  <c r="AG206" i="138" a="1"/>
  <c r="AG206" i="138" s="1"/>
  <c r="AG208" i="138" a="1"/>
  <c r="AG208" i="138" s="1"/>
  <c r="AG209" i="138" a="1"/>
  <c r="AG209" i="138" s="1"/>
  <c r="AG210" i="138" a="1"/>
  <c r="AG210" i="138" s="1"/>
  <c r="AG211" i="138" a="1"/>
  <c r="AG211" i="138" s="1"/>
  <c r="AG212" i="138" a="1"/>
  <c r="AG212" i="138" s="1"/>
  <c r="AG213" i="138" a="1"/>
  <c r="AG213" i="138" s="1"/>
  <c r="AG214" i="138" a="1"/>
  <c r="AG214" i="138" s="1"/>
  <c r="AG215" i="138" a="1"/>
  <c r="AG215" i="138" s="1"/>
  <c r="AG20" i="138" a="1"/>
  <c r="AG20" i="138" s="1"/>
  <c r="AG21" i="138" a="1"/>
  <c r="AG21" i="138" s="1"/>
  <c r="AG24" i="138" a="1"/>
  <c r="AG24" i="138" s="1"/>
  <c r="AG61" i="138" a="1"/>
  <c r="AG61" i="138" s="1"/>
  <c r="AG62" i="138" a="1"/>
  <c r="AG62" i="138" s="1"/>
  <c r="AG82" i="138" a="1"/>
  <c r="AG82" i="138" s="1"/>
  <c r="AG239" i="138" a="1"/>
  <c r="AG239" i="138" s="1"/>
  <c r="AG240" i="138" a="1"/>
  <c r="AG240" i="138" s="1"/>
  <c r="AG257" i="138" a="1"/>
  <c r="AG257" i="138" s="1"/>
  <c r="AG258" i="138" a="1"/>
  <c r="AG258" i="138" s="1"/>
  <c r="AG259" i="138" a="1"/>
  <c r="AG259" i="138" s="1"/>
  <c r="AG260" i="138" a="1"/>
  <c r="AG260" i="138" s="1"/>
  <c r="AG261" i="138" a="1"/>
  <c r="AG261" i="138" s="1"/>
  <c r="AG262" i="138" a="1"/>
  <c r="AG262" i="138" s="1"/>
  <c r="AG263" i="138" a="1"/>
  <c r="AG263" i="138" s="1"/>
  <c r="AG264" i="138" a="1"/>
  <c r="AG264" i="138" s="1"/>
  <c r="AG265" i="138" a="1"/>
  <c r="AG265" i="138" s="1"/>
  <c r="AG224" i="138" a="1"/>
  <c r="AG224" i="138" s="1"/>
  <c r="AG4" i="138" a="1"/>
  <c r="AG4" i="138" s="1"/>
  <c r="AG244" i="138" a="1"/>
  <c r="AG244" i="138" s="1"/>
  <c r="AG245" i="138" a="1"/>
  <c r="AG245" i="138" s="1"/>
  <c r="AF16" i="138"/>
  <c r="AF18" i="138"/>
  <c r="AF139" i="138"/>
  <c r="AF138" i="138"/>
  <c r="AF19" i="138"/>
  <c r="AF100" i="138"/>
  <c r="AF99" i="138"/>
  <c r="AF134" i="138"/>
  <c r="AF133" i="138"/>
  <c r="AF136" i="138"/>
  <c r="AF158" i="138"/>
  <c r="AF157" i="138"/>
  <c r="AF22" i="138"/>
  <c r="AH22" i="138" s="1"/>
  <c r="AF23" i="138"/>
  <c r="AF246" i="138"/>
  <c r="AH246" i="138" s="1"/>
  <c r="AF247" i="138"/>
  <c r="AH247" i="138" s="1"/>
  <c r="AF234" i="138"/>
  <c r="AH234" i="138" s="1"/>
  <c r="AF233" i="138"/>
  <c r="AH233" i="138" s="1"/>
  <c r="AF229" i="138"/>
  <c r="AH229" i="138" s="1"/>
  <c r="AF225" i="138"/>
  <c r="AH225" i="138" s="1"/>
  <c r="AF248" i="138"/>
  <c r="AH248" i="138" s="1"/>
  <c r="AF3" i="138"/>
  <c r="AH3" i="138" s="1"/>
  <c r="AF249" i="138"/>
  <c r="AH249" i="138" s="1"/>
  <c r="AF266" i="138"/>
  <c r="AH266" i="138" s="1"/>
  <c r="AF137" i="138"/>
  <c r="AF154" i="138"/>
  <c r="AF25" i="138"/>
  <c r="AF135" i="138"/>
  <c r="AF26" i="138"/>
  <c r="AF108" i="138"/>
  <c r="AF27" i="138"/>
  <c r="AF29" i="138"/>
  <c r="AF107" i="138"/>
  <c r="AF106" i="138"/>
  <c r="AF162" i="138"/>
  <c r="AF250" i="138"/>
  <c r="AH250" i="138" s="1"/>
  <c r="AF241" i="138"/>
  <c r="AH241" i="138" s="1"/>
  <c r="AF30" i="138"/>
  <c r="AF105" i="138"/>
  <c r="AF104" i="138"/>
  <c r="AF47" i="138"/>
  <c r="AH47" i="138" s="1"/>
  <c r="AF48" i="138"/>
  <c r="AF50" i="138"/>
  <c r="AF51" i="138"/>
  <c r="AF161" i="138"/>
  <c r="AF64" i="138"/>
  <c r="AF63" i="138"/>
  <c r="AF90" i="138"/>
  <c r="AF79" i="138"/>
  <c r="AF128" i="138"/>
  <c r="AF127" i="138"/>
  <c r="AF126" i="138"/>
  <c r="AF103" i="138"/>
  <c r="AF102" i="138"/>
  <c r="AF101" i="138"/>
  <c r="AF242" i="138"/>
  <c r="AH242" i="138" s="1"/>
  <c r="AF251" i="138"/>
  <c r="AH251" i="138" s="1"/>
  <c r="AF226" i="138"/>
  <c r="AH226" i="138" s="1"/>
  <c r="AF230" i="138"/>
  <c r="AH230" i="138" s="1"/>
  <c r="AF68" i="138"/>
  <c r="AF67" i="138"/>
  <c r="AF130" i="138"/>
  <c r="AF129" i="138"/>
  <c r="AF76" i="138"/>
  <c r="AF75" i="138"/>
  <c r="AF52" i="138"/>
  <c r="AF74" i="138"/>
  <c r="AF53" i="138"/>
  <c r="AF54" i="138"/>
  <c r="AF73" i="138"/>
  <c r="AF55" i="138"/>
  <c r="AF56" i="138"/>
  <c r="AF60" i="138"/>
  <c r="AF57" i="138"/>
  <c r="AF58" i="138"/>
  <c r="AH58" i="138" s="1"/>
  <c r="AF243" i="138"/>
  <c r="AH243" i="138" s="1"/>
  <c r="AF252" i="138"/>
  <c r="AH252" i="138" s="1"/>
  <c r="AF49" i="138"/>
  <c r="AF59" i="138"/>
  <c r="AF72" i="138"/>
  <c r="AF77" i="138"/>
  <c r="AF71" i="138"/>
  <c r="AF78" i="138"/>
  <c r="AF80" i="138"/>
  <c r="AF81" i="138"/>
  <c r="AF83" i="138"/>
  <c r="AF84" i="138"/>
  <c r="AF85" i="138"/>
  <c r="AF70" i="138"/>
  <c r="AF86" i="138"/>
  <c r="AF69" i="138"/>
  <c r="AF87" i="138"/>
  <c r="AF38" i="138"/>
  <c r="AF37" i="138"/>
  <c r="AF88" i="138"/>
  <c r="AF98" i="138"/>
  <c r="AF97" i="138"/>
  <c r="AF89" i="138"/>
  <c r="AF34" i="138"/>
  <c r="AF91" i="138"/>
  <c r="AF33" i="138"/>
  <c r="AF92" i="138"/>
  <c r="AF160" i="138"/>
  <c r="AF231" i="138"/>
  <c r="AH231" i="138" s="1"/>
  <c r="AF227" i="138"/>
  <c r="AH227" i="138" s="1"/>
  <c r="AF253" i="138"/>
  <c r="AH253" i="138" s="1"/>
  <c r="AF235" i="138"/>
  <c r="AH235" i="138" s="1"/>
  <c r="AF14" i="138"/>
  <c r="AF46" i="138"/>
  <c r="AF112" i="138"/>
  <c r="AF45" i="138"/>
  <c r="AF44" i="138"/>
  <c r="AF43" i="138"/>
  <c r="AF113" i="138"/>
  <c r="AF42" i="138"/>
  <c r="AF41" i="138"/>
  <c r="AF114" i="138"/>
  <c r="AF125" i="138"/>
  <c r="AF122" i="138"/>
  <c r="AF111" i="138"/>
  <c r="AF115" i="138"/>
  <c r="AH115" i="138" s="1"/>
  <c r="AF28" i="138"/>
  <c r="AF17" i="138"/>
  <c r="AF116" i="138"/>
  <c r="AF40" i="138"/>
  <c r="AF254" i="138"/>
  <c r="AH254" i="138" s="1"/>
  <c r="AF236" i="138"/>
  <c r="AH236" i="138" s="1"/>
  <c r="AF39" i="138"/>
  <c r="AF66" i="138"/>
  <c r="AF118" i="138"/>
  <c r="AF119" i="138"/>
  <c r="AF65" i="138"/>
  <c r="AF120" i="138"/>
  <c r="AH120" i="138" s="1"/>
  <c r="AF6" i="138"/>
  <c r="AF121" i="138"/>
  <c r="AF5" i="138"/>
  <c r="AF123" i="138"/>
  <c r="AF124" i="138"/>
  <c r="AF96" i="138"/>
  <c r="AF95" i="138"/>
  <c r="AF140" i="138"/>
  <c r="AF13" i="138"/>
  <c r="AF141" i="138"/>
  <c r="AF12" i="138"/>
  <c r="AF159" i="138"/>
  <c r="AF143" i="138"/>
  <c r="AF232" i="138"/>
  <c r="AH232" i="138" s="1"/>
  <c r="AF228" i="138"/>
  <c r="AH228" i="138" s="1"/>
  <c r="AF255" i="138"/>
  <c r="AH255" i="138" s="1"/>
  <c r="AF237" i="138"/>
  <c r="AH237" i="138" s="1"/>
  <c r="AF11" i="138"/>
  <c r="AF145" i="138"/>
  <c r="AF146" i="138"/>
  <c r="AF10" i="138"/>
  <c r="AF147" i="138"/>
  <c r="AF148" i="138"/>
  <c r="AF149" i="138"/>
  <c r="AF9" i="138"/>
  <c r="AF8" i="138"/>
  <c r="AF7" i="138"/>
  <c r="AF132" i="138"/>
  <c r="AF131" i="138"/>
  <c r="AF150" i="138"/>
  <c r="AF94" i="138"/>
  <c r="AF93" i="138"/>
  <c r="AF32" i="138"/>
  <c r="AF256" i="138"/>
  <c r="AH256" i="138" s="1"/>
  <c r="AF238" i="138"/>
  <c r="AH238" i="138" s="1"/>
  <c r="AF31" i="138"/>
  <c r="AF36" i="138"/>
  <c r="AF35" i="138"/>
  <c r="AF267" i="138"/>
  <c r="AH267" i="138" s="1"/>
  <c r="AF109" i="138"/>
  <c r="AF110" i="138"/>
  <c r="AF117" i="138"/>
  <c r="AF142" i="138"/>
  <c r="AF144" i="138"/>
  <c r="AF151" i="138"/>
  <c r="AF152" i="138"/>
  <c r="AF153" i="138"/>
  <c r="AF155" i="138"/>
  <c r="AF156" i="138"/>
  <c r="AF163" i="138"/>
  <c r="AF164" i="138"/>
  <c r="AF175" i="138"/>
  <c r="AF186" i="138"/>
  <c r="AF189" i="138"/>
  <c r="AF190" i="138"/>
  <c r="AF191" i="138"/>
  <c r="AF192" i="138"/>
  <c r="AF193" i="138"/>
  <c r="AF194" i="138"/>
  <c r="AF165" i="138"/>
  <c r="AF166" i="138"/>
  <c r="AF167" i="138"/>
  <c r="AF168" i="138"/>
  <c r="AF169" i="138"/>
  <c r="AF170" i="138"/>
  <c r="AF171" i="138"/>
  <c r="AF172" i="138"/>
  <c r="AF173" i="138"/>
  <c r="AF174" i="138"/>
  <c r="AF176" i="138"/>
  <c r="AF177" i="138"/>
  <c r="AF178" i="138"/>
  <c r="AF179" i="138"/>
  <c r="AF180" i="138"/>
  <c r="AF181" i="138"/>
  <c r="AF182" i="138"/>
  <c r="AF183" i="138"/>
  <c r="AF184" i="138"/>
  <c r="AF185" i="138"/>
  <c r="AF187" i="138"/>
  <c r="AF188" i="138"/>
  <c r="AF195" i="138"/>
  <c r="AF196" i="138"/>
  <c r="AF207" i="138"/>
  <c r="AF216" i="138"/>
  <c r="AF217" i="138"/>
  <c r="AF218" i="138"/>
  <c r="AF219" i="138"/>
  <c r="AF220" i="138"/>
  <c r="AF221" i="138"/>
  <c r="AF222" i="138"/>
  <c r="AF197" i="138"/>
  <c r="AF198" i="138"/>
  <c r="AF199" i="138"/>
  <c r="AF200" i="138"/>
  <c r="AF201" i="138"/>
  <c r="AF202" i="138"/>
  <c r="AF203" i="138"/>
  <c r="AF204" i="138"/>
  <c r="AF205" i="138"/>
  <c r="AF206" i="138"/>
  <c r="AF208" i="138"/>
  <c r="AF209" i="138"/>
  <c r="AF210" i="138"/>
  <c r="AF211" i="138"/>
  <c r="AF212" i="138"/>
  <c r="AF213" i="138"/>
  <c r="AF214" i="138"/>
  <c r="AF215" i="138"/>
  <c r="AF20" i="138"/>
  <c r="AF21" i="138"/>
  <c r="AF24" i="138"/>
  <c r="AF61" i="138"/>
  <c r="AF62" i="138"/>
  <c r="AF82" i="138"/>
  <c r="AF239" i="138"/>
  <c r="AH239" i="138" s="1"/>
  <c r="AF240" i="138"/>
  <c r="AH240" i="138" s="1"/>
  <c r="AF257" i="138"/>
  <c r="AH257" i="138" s="1"/>
  <c r="AF258" i="138"/>
  <c r="AH258" i="138" s="1"/>
  <c r="AF259" i="138"/>
  <c r="AH259" i="138" s="1"/>
  <c r="AF260" i="138"/>
  <c r="AH260" i="138" s="1"/>
  <c r="AF261" i="138"/>
  <c r="AH261" i="138" s="1"/>
  <c r="AF262" i="138"/>
  <c r="AH262" i="138" s="1"/>
  <c r="AF263" i="138"/>
  <c r="AH263" i="138" s="1"/>
  <c r="AF264" i="138"/>
  <c r="AH264" i="138" s="1"/>
  <c r="AF265" i="138"/>
  <c r="AH265" i="138" s="1"/>
  <c r="AF224" i="138"/>
  <c r="AF4" i="138"/>
  <c r="AF244" i="138"/>
  <c r="AF245" i="138"/>
  <c r="AF223" i="138"/>
  <c r="AH52" i="138" l="1"/>
  <c r="AH198" i="138"/>
  <c r="AH128" i="138"/>
  <c r="AH108" i="138"/>
  <c r="AH201" i="138"/>
  <c r="AH174" i="138"/>
  <c r="AH169" i="138"/>
  <c r="AH92" i="138"/>
  <c r="AH48" i="138"/>
  <c r="AH124" i="138"/>
  <c r="AH149" i="138"/>
  <c r="AH144" i="138"/>
  <c r="AH54" i="138"/>
  <c r="AH125" i="138"/>
  <c r="AH81" i="138"/>
  <c r="AH197" i="138"/>
  <c r="AH75" i="138"/>
  <c r="AH24" i="138"/>
  <c r="AH127" i="138"/>
  <c r="AH216" i="138"/>
  <c r="AH10" i="138"/>
  <c r="AH114" i="138"/>
  <c r="AH139" i="138"/>
  <c r="AH193" i="138"/>
  <c r="AH208" i="138"/>
  <c r="AH206" i="138"/>
  <c r="AH167" i="138"/>
  <c r="AH74" i="138"/>
  <c r="AH19" i="138"/>
  <c r="AH147" i="138"/>
  <c r="AH162" i="138"/>
  <c r="AH131" i="138"/>
  <c r="AH102" i="138"/>
  <c r="AH106" i="138"/>
  <c r="AH4" i="138"/>
  <c r="AH132" i="138"/>
  <c r="AH140" i="138"/>
  <c r="AH33" i="138"/>
  <c r="AH77" i="138"/>
  <c r="AH96" i="138"/>
  <c r="AH17" i="138"/>
  <c r="AH199" i="138"/>
  <c r="AH109" i="138"/>
  <c r="AH151" i="138"/>
  <c r="AH189" i="138"/>
  <c r="AH186" i="138"/>
  <c r="AH89" i="138"/>
  <c r="AH176" i="138"/>
  <c r="AH42" i="138"/>
  <c r="AH97" i="138"/>
  <c r="AH25" i="138"/>
  <c r="AH55" i="138"/>
  <c r="AH36" i="138"/>
  <c r="AH93" i="138"/>
  <c r="AH26" i="138"/>
  <c r="AH203" i="138"/>
  <c r="AH70" i="138"/>
  <c r="AH146" i="138"/>
  <c r="AH31" i="138"/>
  <c r="AH83" i="138"/>
  <c r="AH217" i="138"/>
  <c r="AH11" i="138"/>
  <c r="AH178" i="138"/>
  <c r="AH205" i="138"/>
  <c r="AH207" i="138"/>
  <c r="AH78" i="138"/>
  <c r="AH35" i="138"/>
  <c r="AH150" i="138"/>
  <c r="AH152" i="138"/>
  <c r="AH50" i="138"/>
  <c r="AH155" i="138"/>
  <c r="AH187" i="138"/>
  <c r="AH20" i="138"/>
  <c r="AH101" i="138"/>
  <c r="AH215" i="138"/>
  <c r="AH40" i="138"/>
  <c r="AH45" i="138"/>
  <c r="AH86" i="138"/>
  <c r="AH71" i="138"/>
  <c r="AH219" i="138"/>
  <c r="AH214" i="138"/>
  <c r="AH69" i="138"/>
  <c r="AH112" i="138"/>
  <c r="AH62" i="138"/>
  <c r="AH180" i="138"/>
  <c r="AH84" i="138"/>
  <c r="AH37" i="138"/>
  <c r="AH184" i="138"/>
  <c r="AH46" i="138"/>
  <c r="AH183" i="138"/>
  <c r="AH123" i="138"/>
  <c r="AH38" i="138"/>
  <c r="AH79" i="138"/>
  <c r="AH182" i="138"/>
  <c r="AH76" i="138"/>
  <c r="AH210" i="138"/>
  <c r="AH166" i="138"/>
  <c r="AH49" i="138"/>
  <c r="AH28" i="138"/>
  <c r="AH245" i="138"/>
  <c r="AH221" i="138"/>
  <c r="AH163" i="138"/>
  <c r="AH141" i="138"/>
  <c r="AH160" i="138"/>
  <c r="AH129" i="138"/>
  <c r="AH165" i="138"/>
  <c r="AH64" i="138"/>
  <c r="AH158" i="138"/>
  <c r="AH72" i="138"/>
  <c r="AH67" i="138"/>
  <c r="AH171" i="138"/>
  <c r="AH8" i="138"/>
  <c r="AH122" i="138"/>
  <c r="AH59" i="138"/>
  <c r="AH191" i="138"/>
  <c r="AH143" i="138"/>
  <c r="AH119" i="138"/>
  <c r="AH57" i="138"/>
  <c r="AH27" i="138"/>
  <c r="AH159" i="138"/>
  <c r="AH60" i="138"/>
  <c r="AH100" i="138"/>
  <c r="AH118" i="138"/>
  <c r="AH212" i="138"/>
  <c r="AH117" i="138"/>
  <c r="AH88" i="138"/>
  <c r="AH23" i="138"/>
  <c r="AH173" i="138"/>
  <c r="AH113" i="138"/>
  <c r="AH34" i="138"/>
  <c r="AH130" i="138"/>
  <c r="AH66" i="138"/>
  <c r="AH103" i="138"/>
  <c r="AH43" i="138"/>
  <c r="AH30" i="138"/>
  <c r="AH18" i="138"/>
  <c r="AH195" i="138"/>
  <c r="AH121" i="138"/>
  <c r="AH56" i="138"/>
  <c r="AH175" i="138"/>
  <c r="AH73" i="138"/>
  <c r="AH134" i="138"/>
  <c r="AH154" i="138"/>
  <c r="AH99" i="138"/>
  <c r="AH137" i="138"/>
  <c r="AH63" i="138"/>
  <c r="AH136" i="138"/>
  <c r="AH133" i="138"/>
  <c r="AH90" i="138"/>
  <c r="AH105" i="138"/>
  <c r="AH107" i="138"/>
  <c r="AH161" i="138"/>
  <c r="AH16" i="138"/>
  <c r="AH204" i="138"/>
  <c r="AH181" i="138"/>
  <c r="AH164" i="138"/>
  <c r="AH145" i="138"/>
  <c r="AH39" i="138"/>
  <c r="AH85" i="138"/>
  <c r="AH104" i="138"/>
  <c r="AH213" i="138"/>
  <c r="AH196" i="138"/>
  <c r="AH142" i="138"/>
  <c r="AH12" i="138"/>
  <c r="AH111" i="138"/>
  <c r="AH82" i="138"/>
  <c r="AH222" i="138"/>
  <c r="AH172" i="138"/>
  <c r="AH194" i="138"/>
  <c r="AH7" i="138"/>
  <c r="AH5" i="138"/>
  <c r="AH44" i="138"/>
  <c r="AH98" i="138"/>
  <c r="AH29" i="138"/>
  <c r="AH224" i="138"/>
  <c r="AH209" i="138"/>
  <c r="AH185" i="138"/>
  <c r="AH177" i="138"/>
  <c r="AH190" i="138"/>
  <c r="AH148" i="138"/>
  <c r="AH95" i="138"/>
  <c r="AH116" i="138"/>
  <c r="AH91" i="138"/>
  <c r="AH68" i="138"/>
  <c r="AH126" i="138"/>
  <c r="AH135" i="138"/>
  <c r="AH157" i="138"/>
  <c r="AH21" i="138"/>
  <c r="AH200" i="138"/>
  <c r="AH218" i="138"/>
  <c r="AH168" i="138"/>
  <c r="AH153" i="138"/>
  <c r="AH94" i="138"/>
  <c r="AH65" i="138"/>
  <c r="AH41" i="138"/>
  <c r="AH14" i="138"/>
  <c r="AH87" i="138"/>
  <c r="AH80" i="138"/>
  <c r="AH53" i="138"/>
  <c r="AH51" i="138"/>
  <c r="AH138" i="138"/>
  <c r="AH244" i="138"/>
  <c r="AH61" i="138"/>
  <c r="AH202" i="138"/>
  <c r="AH188" i="138"/>
  <c r="AH179" i="138"/>
  <c r="AH192" i="138"/>
  <c r="AH110" i="138"/>
  <c r="AH6" i="138"/>
  <c r="AH211" i="138"/>
  <c r="AH220" i="138"/>
  <c r="AH170" i="138"/>
  <c r="AH156" i="138"/>
  <c r="AH32" i="138"/>
  <c r="AH9" i="138"/>
  <c r="AH13" i="13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<sst xmlns="http://schemas.openxmlformats.org/spreadsheetml/2006/main" count="34807" uniqueCount="2681">
  <si>
    <t>S32K344_IOMUX</t>
  </si>
  <si>
    <t>MSCR</t>
  </si>
  <si>
    <t>IMCR</t>
  </si>
  <si>
    <t>S32K344_172hdqfp</t>
  </si>
  <si>
    <t>S32K344_257bga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</si>
  <si>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</si>
  <si>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</si>
  <si>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</si>
  <si>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</si>
  <si>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</si>
  <si>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</si>
  <si>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</si>
  <si>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</si>
  <si>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</si>
  <si>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</si>
  <si>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Direct Signals</t>
  </si>
  <si>
    <t>Composite Pin Name</t>
  </si>
  <si>
    <t>PAD TYPE</t>
  </si>
  <si>
    <t>TSPC</t>
  </si>
  <si>
    <t>ILKG prefix</t>
  </si>
  <si>
    <t>ILKG cat</t>
  </si>
  <si>
    <t>ILKG Parameter</t>
  </si>
  <si>
    <t>B1</t>
  </si>
  <si>
    <t>PTA18</t>
  </si>
  <si>
    <t>GPIO[18]</t>
  </si>
  <si>
    <t>eMIOS_1_CH[0]_X</t>
  </si>
  <si>
    <t>LPUART1_TX</t>
  </si>
  <si>
    <t>LPSPI1_SOUT</t>
  </si>
  <si>
    <t>eMIOS_1_CH[16]_X</t>
  </si>
  <si>
    <t>eMIOS_2_CH[0]_X</t>
  </si>
  <si>
    <t>ADC2_P0</t>
  </si>
  <si>
    <t>EIRQ[0]</t>
  </si>
  <si>
    <t>TRGMUX_IN12</t>
  </si>
  <si>
    <t>GPIO[18]/eMIOS_1_CH[0]_X/LPUART1_TX/LPSPI1_SOUT/eMIOS_1_CH[16]_X/eMIOS_2_CH[0]_X/EIRQ[0]/TRGMUX_IN12/ADC2_P0</t>
  </si>
  <si>
    <t>c40esf3_p_io_standard_mv</t>
  </si>
  <si>
    <t>TSPC_GPIO0</t>
  </si>
  <si>
    <t>C1</t>
  </si>
  <si>
    <t>PTA19</t>
  </si>
  <si>
    <t>GPIO[19]</t>
  </si>
  <si>
    <t>eMIOS_1_CH[1]_H</t>
  </si>
  <si>
    <t>LPSPI1_SCK</t>
  </si>
  <si>
    <t>eMIOS_2_CH[1]_H</t>
  </si>
  <si>
    <t>ADC2_P1</t>
  </si>
  <si>
    <t>EIRQ[1]</t>
  </si>
  <si>
    <t>LPUART1_RX</t>
  </si>
  <si>
    <t>TRGMUX_IN13</t>
  </si>
  <si>
    <t>GPIO[19]/eMIOS_1_CH[1]_H/LPSPI1_SCK/eMIOS_2_CH[1]_H/LPUART1_RX/EIRQ[1]/TRGMUX_IN13/ADC2_P1</t>
  </si>
  <si>
    <t>E4</t>
  </si>
  <si>
    <t>PTA20</t>
  </si>
  <si>
    <t>GPIO[20]</t>
  </si>
  <si>
    <t>eMIOS_1_CH[2]_H</t>
  </si>
  <si>
    <t>LPSPI1_SIN</t>
  </si>
  <si>
    <t>eMIOS_2_CH[2]_H</t>
  </si>
  <si>
    <t>ADC2_P2/WKPU[59]</t>
  </si>
  <si>
    <t>EIRQ[2]</t>
  </si>
  <si>
    <t>TRGMUX_IN14</t>
  </si>
  <si>
    <t>GPIO[20]/eMIOS_1_CH[2]_H/LPSPI1_SIN/eMIOS_2_CH[2]_H/EIRQ[2]/TRGMUX_IN14/ADC2_P2/WKPU[59]</t>
  </si>
  <si>
    <t>C2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</si>
  <si>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</si>
  <si>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</si>
  <si>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</si>
  <si>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</si>
  <si>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</si>
  <si>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</si>
  <si>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</si>
  <si>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</si>
  <si>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</si>
  <si>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</si>
  <si>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</si>
  <si>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</si>
  <si>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</si>
  <si>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TSPC_ADC0/TSPC_GPIO0</t>
  </si>
  <si>
    <t>D2</t>
  </si>
  <si>
    <t>PTE15</t>
  </si>
  <si>
    <t>GPIO[143]</t>
  </si>
  <si>
    <t>FCCU_ERR0</t>
  </si>
  <si>
    <t>LPSPI2_SCK</t>
  </si>
  <si>
    <t>eMIOS_0_CH[22]_X</t>
  </si>
  <si>
    <t>CMP1_RRT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</si>
  <si>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</si>
  <si>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</si>
  <si>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</si>
  <si>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</si>
  <si>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</si>
  <si>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</si>
  <si>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</si>
  <si>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GPIO[143]/FCCU_ERR0/LPSPI2_SCK/eMIOS_0_CH[22]_X/CMP1_RRT/FXIO_D2/TRGMUX_OUT6/FCCU_ERR_IN0/LPUART1_CTS/LPUART3_RX/EIRQ[14]/ADC0_P3</t>
  </si>
  <si>
    <t>D1</t>
  </si>
  <si>
    <t>PTA21</t>
  </si>
  <si>
    <t>GPIO[21]</t>
  </si>
  <si>
    <t>LPSPI2_PCS2</t>
  </si>
  <si>
    <t>eMIOS_1_CH[3]_H</t>
  </si>
  <si>
    <t>FXIO_D0</t>
  </si>
  <si>
    <t>LPSPI1_PCS0</t>
  </si>
  <si>
    <t>eMIOS_2_CH[3]_H</t>
  </si>
  <si>
    <t>ADC2_S12</t>
  </si>
  <si>
    <t>EIRQ[3]</t>
  </si>
  <si>
    <t>TRGMUX_IN15</t>
  </si>
  <si>
    <t>GPIO[21]/LPSPI2_PCS2/eMIOS_1_CH[3]_H/FXIO_D0/LPSPI1_PCS0/eMIOS_2_CH[3]_H/EIRQ[3]/TRGMUX_IN15/ADC2_S12</t>
  </si>
  <si>
    <t>E3</t>
  </si>
  <si>
    <t>PTD1</t>
  </si>
  <si>
    <t>GPIO[97]</t>
  </si>
  <si>
    <t>LPUART5_TX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</si>
  <si>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</si>
  <si>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</si>
  <si>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</si>
  <si>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</si>
  <si>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</si>
  <si>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</si>
  <si>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</si>
  <si>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GPIO[97]/LPUART5_TX/eMIOS_0_CH[3]_G/LPSPI3_SCK/eMIOS_0_CH[17]_Y/FXIO_D1/TRGMUX_OUT2/EIRQ[9]/ADC0_P0</t>
  </si>
  <si>
    <t>F3</t>
  </si>
  <si>
    <t>PTD0</t>
  </si>
  <si>
    <t>GPIO[96]</t>
  </si>
  <si>
    <t>eMIOS_0_CH[2]_G</t>
  </si>
  <si>
    <t>LPSPI3_SOUT</t>
  </si>
  <si>
    <t>eMIOS_0_CH[16]_X</t>
  </si>
  <si>
    <t>TRGMUX_OUT1</t>
  </si>
  <si>
    <t>WKPU[6]/ADC0_P1</t>
  </si>
  <si>
    <t>EIRQ[8]</t>
  </si>
  <si>
    <t>LPUART5_RX</t>
  </si>
  <si>
    <t>GPIO[96]/eMIOS_0_CH[2]_G/LPSPI3_SOUT/eMIOS_0_CH[16]_X/FXIO_D0/TRGMUX_OUT1/LPUART5_RX/EIRQ[8]/WKPU[6]/ADC0_P1</t>
  </si>
  <si>
    <t>TSPC_ADC0</t>
  </si>
  <si>
    <t>E1</t>
  </si>
  <si>
    <t>PTE11</t>
  </si>
  <si>
    <t>GPIO[139]</t>
  </si>
  <si>
    <t>LPUART4_TX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</si>
  <si>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</si>
  <si>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</si>
  <si>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</si>
  <si>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</si>
  <si>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</si>
  <si>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</si>
  <si>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</si>
  <si>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GPIO[139]/LPUART4_TX/LPSPI2_PCS0/eMIOS_0_CH[1]_G/eMIOS_0_CH[21]_Y/FXIO_D5/TRGMUX_OUT5/EIRQ[10]/WKPU[28]/ADC0_P6</t>
  </si>
  <si>
    <t>E2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</si>
  <si>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</si>
  <si>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</si>
  <si>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</si>
  <si>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</si>
  <si>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</si>
  <si>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</si>
  <si>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</si>
  <si>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</si>
  <si>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</si>
  <si>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LPUART4_RX</t>
  </si>
  <si>
    <t>GPIO[138]/LPSPI3_SIN/LPSPI2_PCS1/eMIOS_0_CH[20]_Y/CLKOUT_STANDBY/FXIO_D4/TRGMUX_OUT4/LPUART4_RX/EIRQ[9]/ADC0_P5</t>
  </si>
  <si>
    <t>F1</t>
  </si>
  <si>
    <t>PTE13</t>
  </si>
  <si>
    <t>GPIO[141]</t>
  </si>
  <si>
    <t>eMIOS_1_CH[5]_H</t>
  </si>
  <si>
    <t>VRC_CTRL/ADC1_S19</t>
  </si>
  <si>
    <t>EIRQ[12]</t>
  </si>
  <si>
    <t>GPIO[141]/eMIOS_1_CH[5]_H/LPSPI2_PCS2/LPSPI2_PCS0/FXIO_D5/EIRQ[12]/VRC_CTRL/ADC1_S19</t>
  </si>
  <si>
    <t>F2</t>
  </si>
  <si>
    <t>PTE5</t>
  </si>
  <si>
    <t>GPIO[133]</t>
  </si>
  <si>
    <t>eMIOS_0_CH[19]_Y</t>
  </si>
  <si>
    <t>FXIO_D7</t>
  </si>
  <si>
    <t>ADC2_S8/WKPU[32]</t>
  </si>
  <si>
    <t>EIRQ[5]</t>
  </si>
  <si>
    <t>LPUART12_RX</t>
  </si>
  <si>
    <t>GPIO[133]/eMIOS_1_CH[5]_H/eMIOS_0_CH[19]_Y/FXIO_D7/LPUART12_RX/EIRQ[5]/ADC2_S8/WKPU[32]</t>
  </si>
  <si>
    <t>G6</t>
  </si>
  <si>
    <t>PTE4</t>
  </si>
  <si>
    <t>GPIO[132]</t>
  </si>
  <si>
    <t>LPSPI0_PCS0</t>
  </si>
  <si>
    <t>LPSPI1_PCS1</t>
  </si>
  <si>
    <t>eMIOS_1_CH[4]_H</t>
  </si>
  <si>
    <t>eMIOS_0_CH[18]_Y</t>
  </si>
  <si>
    <t>LPUART12_TX</t>
  </si>
  <si>
    <t>FXIO_D6</t>
  </si>
  <si>
    <t>ADC2_S9</t>
  </si>
  <si>
    <t>EIRQ[4]</t>
  </si>
  <si>
    <t>GPIO[132]/LPSPI0_PCS0/LPSPI1_PCS1/eMIOS_1_CH[4]_H/eMIOS_0_CH[18]_Y/LPUART12_TX/FXIO_D6/EIRQ[4]/ADC2_S9</t>
  </si>
  <si>
    <t>G1</t>
  </si>
  <si>
    <t>PTA24</t>
  </si>
  <si>
    <t>GPI[24]</t>
  </si>
  <si>
    <t>OSC32K_XTAL</t>
  </si>
  <si>
    <t>eMIOS_1_CH[7]_H</t>
  </si>
  <si>
    <t>GPI[24]/eMIOS_1_CH[7]_H/FXIO_D3/OSC32K_XTAL</t>
  </si>
  <si>
    <t>c40esf3_p_io_input_mv</t>
  </si>
  <si>
    <t>H1</t>
  </si>
  <si>
    <t>PTA25</t>
  </si>
  <si>
    <t>GPI[25]</t>
  </si>
  <si>
    <t>OSC32K_EXTAL/WKPU[34]</t>
  </si>
  <si>
    <t>eMIOS_1_CH[8]_X</t>
  </si>
  <si>
    <t>eMIOS_2_CH[8]_X</t>
  </si>
  <si>
    <t>GPI[25]/eMIOS_1_CH[8]_X/eMIOS_2_CH[8]_X/FXIO_D2/EIRQ[5]/OSC32K_EXTAL/WKPU[34]</t>
  </si>
  <si>
    <t>H6</t>
  </si>
  <si>
    <t>VREFH</t>
  </si>
  <si>
    <t>c40esf3_p_io_ae_adc_mv</t>
  </si>
  <si>
    <t>J6</t>
  </si>
  <si>
    <t>VREFL</t>
  </si>
  <si>
    <t>G10</t>
  </si>
  <si>
    <t>VDD_HV_A</t>
  </si>
  <si>
    <t>c40esf3_p_pwr_mv</t>
  </si>
  <si>
    <t>J7</t>
  </si>
  <si>
    <t>V25</t>
  </si>
  <si>
    <t>c40esf3_p_pwr_2p5_mv</t>
  </si>
  <si>
    <t>H8</t>
  </si>
  <si>
    <t>V15</t>
  </si>
  <si>
    <t>c40esf3_p_pwr_ballast_mv</t>
  </si>
  <si>
    <t>J8</t>
  </si>
  <si>
    <t>V11</t>
  </si>
  <si>
    <t>D4</t>
  </si>
  <si>
    <t>VSS</t>
  </si>
  <si>
    <t>c40esf3_p_gnd_mv</t>
  </si>
  <si>
    <t>K1</t>
  </si>
  <si>
    <t>EXTAL</t>
  </si>
  <si>
    <t>c40esf3_p_io_ae_mv</t>
  </si>
  <si>
    <t>L11</t>
  </si>
  <si>
    <t>L1</t>
  </si>
  <si>
    <t>XTAL</t>
  </si>
  <si>
    <t>L3</t>
  </si>
  <si>
    <t>PTE14</t>
  </si>
  <si>
    <t>GPIO[142]</t>
  </si>
  <si>
    <t>EMAC_PPS1</t>
  </si>
  <si>
    <t>WKPU[30]</t>
  </si>
  <si>
    <t>CAN4_RX</t>
  </si>
  <si>
    <t>EIRQ[13]</t>
  </si>
  <si>
    <t>GPIO[142]/eMIOS_0_CH[19]_Y/LPUART5_TX/FXIO_D7/EMAC_PPS1/CAN4_RX/EIRQ[13]/WKPU[30]</t>
  </si>
  <si>
    <t>N1</t>
  </si>
  <si>
    <t>PTE3</t>
  </si>
  <si>
    <t>GPIO[131]</t>
  </si>
  <si>
    <t>CAN4_TX</t>
  </si>
  <si>
    <t>LPUART2_RTS</t>
  </si>
  <si>
    <t>EMAC_PPS0</t>
  </si>
  <si>
    <t>CMP0_OUT</t>
  </si>
  <si>
    <t>TRGMUX_IN6</t>
  </si>
  <si>
    <t>GPIO[131]/CAN4_TX/eMIOS_0_CH[19]_Y/FXIO_D6/LPUART2_RTS/EMAC_PPS0/CMP0_OUT/LPUART5_RX/EIRQ[3]/TRGMUX_IN6</t>
  </si>
  <si>
    <t>c40esf3_p_io_standard_plus_mv</t>
  </si>
  <si>
    <t>M2</t>
  </si>
  <si>
    <t>PTA27</t>
  </si>
  <si>
    <t>GPIO[27]</t>
  </si>
  <si>
    <t>eMIOS_1_CH[10]_H</t>
  </si>
  <si>
    <t>LPUART0_TX</t>
  </si>
  <si>
    <t>CAN0_TX</t>
  </si>
  <si>
    <t>eMIOS_2_CH[10]_H</t>
  </si>
  <si>
    <t>GPIO[27]/FXIO_D5/eMIOS_1_CH[10]_H/EMAC_PPS1/LPUART0_TX/CAN0_TX/eMIOS_2_CH[10]_H</t>
  </si>
  <si>
    <t>M1</t>
  </si>
  <si>
    <t>PTE12</t>
  </si>
  <si>
    <t>GPIO[140]</t>
  </si>
  <si>
    <t>CAN5_TX</t>
  </si>
  <si>
    <t>LPUART2_TX</t>
  </si>
  <si>
    <t>EMAC_PPS3</t>
  </si>
  <si>
    <t>FXIO_D8</t>
  </si>
  <si>
    <t>EIRQ[11]</t>
  </si>
  <si>
    <t>GPIO[140]/CAN5_TX/LPUART2_TX/eMIOS_1_CH[5]_H/EMAC_PPS3/FXIO_D8/EIRQ[11]</t>
  </si>
  <si>
    <t>N2</t>
  </si>
  <si>
    <t>PTA28</t>
  </si>
  <si>
    <t>GPIO[28]</t>
  </si>
  <si>
    <t>eMIOS_1_CH[11]_H</t>
  </si>
  <si>
    <t>eMIOS_2_CH[11]_H</t>
  </si>
  <si>
    <t>CAN0_RX</t>
  </si>
  <si>
    <t>EIRQ[6]</t>
  </si>
  <si>
    <t>LPUART0_RX</t>
  </si>
  <si>
    <t>GPIO[28]/eMIOS_1_CH[11]_H/LPSPI1_SCK/eMIOS_2_CH[11]_H/CAN0_RX/LPUART0_RX/EIRQ[6]</t>
  </si>
  <si>
    <t>N3</t>
  </si>
  <si>
    <t>PTD17</t>
  </si>
  <si>
    <t>GPIO[113]</t>
  </si>
  <si>
    <t>LPSPI5_PCS0</t>
  </si>
  <si>
    <t>EMAC_MII_RMII_MDC</t>
  </si>
  <si>
    <t>LPSPI3_PCS0</t>
  </si>
  <si>
    <t>FXIO_D9</t>
  </si>
  <si>
    <t>EMAC_PPS2</t>
  </si>
  <si>
    <t>CAN5_RX</t>
  </si>
  <si>
    <t>EIRQ[24]</t>
  </si>
  <si>
    <t>LPUART2_RX</t>
  </si>
  <si>
    <t>GPIO[113]/LPSPI5_PCS0/eMIOS_0_CH[18]_Y/EMAC_MII_RMII_MDC/LPSPI3_PCS0/FXIO_D9/EMAC_PPS2/CAN5_RX/LPUART2_RX/EIRQ[24]</t>
  </si>
  <si>
    <t>M3</t>
  </si>
  <si>
    <t>PTA29</t>
  </si>
  <si>
    <t>GPIO[29]</t>
  </si>
  <si>
    <t>eMIOS_1_CH[12]_H</t>
  </si>
  <si>
    <t>eMIOS_2_CH[12]_H</t>
  </si>
  <si>
    <t>GPIO[29]/eMIOS_1_CH[12]_H/EMAC_PPS2/LPUART2_TX/LPSPI1_SIN/eMIOS_2_CH[12]_H</t>
  </si>
  <si>
    <t>P3</t>
  </si>
  <si>
    <t>PTA30</t>
  </si>
  <si>
    <t>GPIO[30]</t>
  </si>
  <si>
    <t>eMIOS_1_CH[13]_H</t>
  </si>
  <si>
    <t>LPSPI0_SOUT</t>
  </si>
  <si>
    <t>eMIOS_2_CH[13]_H</t>
  </si>
  <si>
    <t>WKPU[37]</t>
  </si>
  <si>
    <t>EIRQ[7]</t>
  </si>
  <si>
    <t>GPIO[30]/eMIOS_1_CH[13]_H/LPSPI1_SOUT/LPSPI0_SOUT/eMIOS_2_CH[13]_H/LPUART2_RX/EIRQ[7]/WKPU[37]</t>
  </si>
  <si>
    <t>P2</t>
  </si>
  <si>
    <t>PTD16</t>
  </si>
  <si>
    <t>GPIO[112]</t>
  </si>
  <si>
    <t>EMAC_MII_RMII_MDIO</t>
  </si>
  <si>
    <t>LPSPI0_SIN</t>
  </si>
  <si>
    <t>eMIOS_1_CH[15]_H</t>
  </si>
  <si>
    <t>LPUART8_TX</t>
  </si>
  <si>
    <t>CMP0_IN5</t>
  </si>
  <si>
    <t>GPIO[112]/eMIOS_0_CH[1]_G/EMAC_MII_RMII_MDIO/LPSPI0_SIN/eMIOS_1_CH[15]_H/LPUART2_RTS/LPUART8_TX/CMP0_IN5</t>
  </si>
  <si>
    <t>L4</t>
  </si>
  <si>
    <t>PTD15</t>
  </si>
  <si>
    <t>GPIO[111]</t>
  </si>
  <si>
    <t>eMIOS_0_CH[0]_X</t>
  </si>
  <si>
    <t>eMIOS_1_CH[14]_H</t>
  </si>
  <si>
    <t>LPSPI0_SCK</t>
  </si>
  <si>
    <t>SAI1_SYNC</t>
  </si>
  <si>
    <t>FXIO_D10</t>
  </si>
  <si>
    <t>CMP0_IN1</t>
  </si>
  <si>
    <t>CAN3_RX</t>
  </si>
  <si>
    <t>EIRQ[31]</t>
  </si>
  <si>
    <t>LPUART2_CTS</t>
  </si>
  <si>
    <t>LPUART8_RX</t>
  </si>
  <si>
    <t>GPIO[111]/FXIO_D6/eMIOS_0_CH[0]_X/eMIOS_1_CH[14]_H/LPSPI0_SCK/EMAC_PPS2/SAI1_SYNC/FXIO_D10/CAN3_RX/LPUART2_CTS/LPUART8_RX/EIRQ[31]/CMP0_IN1</t>
  </si>
  <si>
    <t>R3</t>
  </si>
  <si>
    <t>PTE9</t>
  </si>
  <si>
    <t>GPIO[137]</t>
  </si>
  <si>
    <t>LPSPI5_SOUT</t>
  </si>
  <si>
    <t>eMIOS_0_CH[7]_G</t>
  </si>
  <si>
    <t>CAN3_TX</t>
  </si>
  <si>
    <t>EMAC_MII_RMII_TX_EN</t>
  </si>
  <si>
    <t>FXIO_D11</t>
  </si>
  <si>
    <t>CMP0_IN0</t>
  </si>
  <si>
    <t>GPIO[137]/LPSPI5_SOUT/eMIOS_0_CH[7]_G/eMIOS_1_CH[13]_H/CAN3_TX/EMAC_PPS3/EMAC_MII_RMII_TX_EN/FXIO_D11/LPUART2_CTS/EIRQ[8]/CMP0_IN0</t>
  </si>
  <si>
    <t>G11</t>
  </si>
  <si>
    <t>R10</t>
  </si>
  <si>
    <t>VDD_HV_B</t>
  </si>
  <si>
    <t>P1</t>
  </si>
  <si>
    <t>PTA31</t>
  </si>
  <si>
    <t>GPIO[31]</t>
  </si>
  <si>
    <t>LPSPI0_PCS1</t>
  </si>
  <si>
    <t>TRGMUX_OUT8</t>
  </si>
  <si>
    <t>GPIO[31]/eMIOS_1_CH[14]_H/FXIO_D0/LPSPI0_PCS1/TRGMUX_OUT8</t>
  </si>
  <si>
    <t>M4</t>
  </si>
  <si>
    <t>PTD14</t>
  </si>
  <si>
    <t>GPIO[110]</t>
  </si>
  <si>
    <t>LPSPI5_SCK</t>
  </si>
  <si>
    <t>LPI2C0_SCL</t>
  </si>
  <si>
    <t>CMP0_RRT</t>
  </si>
  <si>
    <t>CLKOUT_RUN</t>
  </si>
  <si>
    <t>EIRQ[30]</t>
  </si>
  <si>
    <t>SAI1_MCLK</t>
  </si>
  <si>
    <t>GPIO[110]/LPSPI5_SCK/eMIOS_0_CH[21]_Y/LPUART1_TX/LPI2C0_SCL/EMAC_PPS0/CMP0_RRT/CLKOUT_RUN/SAI1_MCLK/EIRQ[30]</t>
  </si>
  <si>
    <t>P5</t>
  </si>
  <si>
    <t>PTD13</t>
  </si>
  <si>
    <t>GPIO[109]</t>
  </si>
  <si>
    <t>LPSPI5_SIN</t>
  </si>
  <si>
    <t>LPI2C0_SDA</t>
  </si>
  <si>
    <t>SAI1_D0</t>
  </si>
  <si>
    <t>WKPU[24]</t>
  </si>
  <si>
    <t>EIRQ[29]</t>
  </si>
  <si>
    <t>GPIO[109]/LPSPI5_SIN/eMIOS_0_CH[20]_Y/FXIO_D7/LPI2C0_SDA/EMAC_PPS1/SAI1_D0/LPUART1_RX/EIRQ[29]/WKPU[24]</t>
  </si>
  <si>
    <t>R1</t>
  </si>
  <si>
    <t>PTB18</t>
  </si>
  <si>
    <t>GPIO[50]</t>
  </si>
  <si>
    <t>LPUART13_TX</t>
  </si>
  <si>
    <t>eMIOS_2_CH[14]_H</t>
  </si>
  <si>
    <t>TRGMUX_OUT9</t>
  </si>
  <si>
    <t>GPIO[50]/LPUART13_TX/eMIOS_1_CH[15]_H/FXIO_D1/LPSPI1_PCS1/eMIOS_2_CH[14]_H/TRGMUX_OUT9</t>
  </si>
  <si>
    <t>R2</t>
  </si>
  <si>
    <t>PTB19</t>
  </si>
  <si>
    <t>GPIO[51]</t>
  </si>
  <si>
    <t>eMIOS_2_CH[15]_H</t>
  </si>
  <si>
    <t>TRGMUX_OUT10</t>
  </si>
  <si>
    <t>WKPU[38]</t>
  </si>
  <si>
    <t>LPUART13_RX</t>
  </si>
  <si>
    <t>GPIO[51]/eMIOS_1_CH[15]_H/FXIO_D2/eMIOS_2_CH[15]_H/TRGMUX_OUT10/LPUART13_RX/WKPU[38]</t>
  </si>
  <si>
    <t>T1</t>
  </si>
  <si>
    <t>PTB20</t>
  </si>
  <si>
    <t>GPIO[52]</t>
  </si>
  <si>
    <t>LPUART14_TX</t>
  </si>
  <si>
    <t>eMIOS_2_CH[16]_X</t>
  </si>
  <si>
    <t>TRGMUX_OUT11</t>
  </si>
  <si>
    <t>GPIO[52]/LPUART14_TX/eMIOS_1_CH[16]_X/FXIO_D3/eMIOS_2_CH[16]_X/TRGMUX_OUT11</t>
  </si>
  <si>
    <t>U1</t>
  </si>
  <si>
    <t>PTB21</t>
  </si>
  <si>
    <t>GPIO[53]</t>
  </si>
  <si>
    <t>eMIOS_1_CH[17]_Y</t>
  </si>
  <si>
    <t>eMIOS_2_CH[17]_Y</t>
  </si>
  <si>
    <t>TRGMUX_OUT12</t>
  </si>
  <si>
    <t>WKPU[39]</t>
  </si>
  <si>
    <t>LPUART14_RX</t>
  </si>
  <si>
    <t>GPIO[53]/eMIOS_1_CH[17]_Y/FXIO_D4/eMIOS_2_CH[17]_Y/TRGMUX_OUT12/LPUART14_RX/EIRQ[8]/WKPU[39]</t>
  </si>
  <si>
    <t>R4</t>
  </si>
  <si>
    <t>PTE8</t>
  </si>
  <si>
    <t>GPIO[136]</t>
  </si>
  <si>
    <t>LPSPI3_PCS1</t>
  </si>
  <si>
    <t>eMIOS_0_CH[6]_G</t>
  </si>
  <si>
    <t>LPSPI5_PCS1</t>
  </si>
  <si>
    <t>FXIO_D12</t>
  </si>
  <si>
    <t>SAI1_BCLK</t>
  </si>
  <si>
    <t>CMP0_IN3</t>
  </si>
  <si>
    <t>GPIO[136]/LPSPI3_PCS1/eMIOS_0_CH[6]_G/LPSPI5_PCS1/FXIO_D12/EMAC_MII_RMII_MDC/SAI1_BCLK/FXIO_D8/EIRQ[7]/CMP0_IN3</t>
  </si>
  <si>
    <t>c40esf3_p_io_medium_mv</t>
  </si>
  <si>
    <t>U2</t>
  </si>
  <si>
    <t>PTB5</t>
  </si>
  <si>
    <t>GPIO[37]</t>
  </si>
  <si>
    <t>EMAC_MII_RMII_TXD[0]</t>
  </si>
  <si>
    <t>eMIOS_0_CH[5]_G</t>
  </si>
  <si>
    <t>TRGMUX_IN0</t>
  </si>
  <si>
    <t>GPIO[37]/EMAC_MII_RMII_TXD[0]/eMIOS_0_CH[5]_G/LPSPI0_PCS1/LPSPI0_PCS0/CLKOUT_RUN/eMIOS_1_CH[11]_H/EMAC_MII_RMII_MDC/EIRQ[13]/TRGMUX_IN0</t>
  </si>
  <si>
    <t>U3</t>
  </si>
  <si>
    <t>PTB4</t>
  </si>
  <si>
    <t>GPIO[36]</t>
  </si>
  <si>
    <t>EMAC_MII_RMII_TXD[1]</t>
  </si>
  <si>
    <t>eMIOS_0_CH[4]_G</t>
  </si>
  <si>
    <t>TRGMUX_IN1</t>
  </si>
  <si>
    <t>GPIO[36]/EMAC_MII_RMII_TXD[1]/eMIOS_0_CH[4]_G/LPSPI0_SOUT/EMAC_MII_RMII_MDIO/eMIOS_1_CH[10]_H/EIRQ[12]/TRGMUX_IN1</t>
  </si>
  <si>
    <t>T3</t>
  </si>
  <si>
    <t>PTC3</t>
  </si>
  <si>
    <t>GPIO[67]</t>
  </si>
  <si>
    <t>QuadSPI_PCSFA</t>
  </si>
  <si>
    <t>CMP0_IN4</t>
  </si>
  <si>
    <t>GPIO[67]/eMIOS_0_CH[3]_G/CAN0_TX/LPUART0_TX/QuadSPI_PCSFA/EIRQ[3]/CMP0_IN4</t>
  </si>
  <si>
    <t>T4</t>
  </si>
  <si>
    <t>PTC2</t>
  </si>
  <si>
    <t>GPIO[66]</t>
  </si>
  <si>
    <t>LPSPI3_PCS2</t>
  </si>
  <si>
    <t>LPSPI0_PCS2</t>
  </si>
  <si>
    <t>TRACE_ETM_CLKOUT</t>
  </si>
  <si>
    <t>QuadSPI_IOFA3</t>
  </si>
  <si>
    <t>CMP0_IN2</t>
  </si>
  <si>
    <t>GPIO[66]/EMAC_MII_RMII_TXD[1]/eMIOS_0_CH[2]_G/LPSPI3_PCS2/LPSPI0_PCS2/EMAC_MII_RMII_TXD[0]/TRACE_ETM_CLKOUT/QuadSPI_IOFA3/CAN0_RX/LPUART0_RX/EIRQ[2]/CMP0_IN2</t>
  </si>
  <si>
    <t>c40esf3_p_io_fast_mv</t>
  </si>
  <si>
    <t>U4</t>
  </si>
  <si>
    <t>PTD7</t>
  </si>
  <si>
    <t>GPIO[103]</t>
  </si>
  <si>
    <t>LPSPI3_PCS3</t>
  </si>
  <si>
    <t>LPSPI0_PCS3</t>
  </si>
  <si>
    <t>TRACE_ETM_D0</t>
  </si>
  <si>
    <t>QuadSPI_IOFA1</t>
  </si>
  <si>
    <t>CMP0_IN6</t>
  </si>
  <si>
    <t>GPIO[103]/EMAC_MII_RMII_TXD[0]/LPUART2_TX/LPSPI3_PCS3/LPSPI0_PCS3/EMAC_MII_RMII_TXD[1]/TRACE_ETM_D0/QuadSPI_IOFA1/EIRQ[15]/CMP0_IN6</t>
  </si>
  <si>
    <t>T5</t>
  </si>
  <si>
    <t>PTD6</t>
  </si>
  <si>
    <t>GPIO[102]</t>
  </si>
  <si>
    <t>EMAC_MII_TXD3</t>
  </si>
  <si>
    <t>EMAC_MII_TXD2</t>
  </si>
  <si>
    <t>FXIO_D13</t>
  </si>
  <si>
    <t>CMP0_IN7</t>
  </si>
  <si>
    <t>EMAC_MII_RMII_TX_CLK</t>
  </si>
  <si>
    <t>GPIO[102]/EMAC_MII_TXD3/eMIOS_1_CH[12]_H/EMAC_MII_RMII_TX_CLK/EMAC_MII_TXD2/FXIO_D13/LPSPI0_PCS0/LPUART2_RX/EIRQ[14]/CMP0_IN7</t>
  </si>
  <si>
    <t>U5</t>
  </si>
  <si>
    <t>PTD5</t>
  </si>
  <si>
    <t>GPIO[101]</t>
  </si>
  <si>
    <t>FXIO_D15</t>
  </si>
  <si>
    <t>EMAC_MII_RX_CLK</t>
  </si>
  <si>
    <t>TRGMUX_IN7</t>
  </si>
  <si>
    <t>GPIO[101]/EMAC_MII_TXD2/eMIOS_0_CH[19]_Y/eMIOS_0_CH[2]_G/EMAC_MII_TXD3/FXIO_D15/LPSPI0_PCS1/EMAC_MII_RX_CLK/EIRQ[13]/TRGMUX_IN7</t>
  </si>
  <si>
    <t>R5</t>
  </si>
  <si>
    <t>PTD12</t>
  </si>
  <si>
    <t>GPIO[108]</t>
  </si>
  <si>
    <t>TRACE_ETM_D1</t>
  </si>
  <si>
    <t>QuadSPI_IOFA2</t>
  </si>
  <si>
    <t>EIRQ[28]</t>
  </si>
  <si>
    <t>LPI2C1_HREQ</t>
  </si>
  <si>
    <t>GPIO[108]/EMAC_MII_RMII_TX_CLK/eMIOS_0_CH[18]_Y/LPUART2_RTS/TRACE_ETM_D1/EMAC_MII_RMII_TX_EN/LPSPI0_SOUT/QuadSPI_IOFA2/LPI2C1_HREQ/EIRQ[28]</t>
  </si>
  <si>
    <t>U6</t>
  </si>
  <si>
    <t>PTD11</t>
  </si>
  <si>
    <t>GPIO[107]</t>
  </si>
  <si>
    <t>TRACE_ETM_D2</t>
  </si>
  <si>
    <t>QuadSPI_IOFA0</t>
  </si>
  <si>
    <t>EIRQ[27]</t>
  </si>
  <si>
    <t>GPIO[107]/EMAC_MII_TXD2/eMIOS_0_CH[17]_Y/EMAC_MII_RMII_TX_EN/TRACE_ETM_D2/EMAC_MII_RMII_TX_CLK/LPSPI0_SCK/QuadSPI_IOFA0/LPUART2_CTS/EIRQ[27]</t>
  </si>
  <si>
    <t>T6</t>
  </si>
  <si>
    <t>PTD10</t>
  </si>
  <si>
    <t>GPIO[106]</t>
  </si>
  <si>
    <t>TRACE_ETM_D3</t>
  </si>
  <si>
    <t>QuadSPI_SCKFA</t>
  </si>
  <si>
    <t>EIRQ[26]</t>
  </si>
  <si>
    <t>GPIO[106]/EMAC_MII_TXD3/eMIOS_0_CH[16]_X/eMIOS_1_CH[10]_H/TRACE_ETM_D3/LPSPI0_SIN/CLKOUT_RUN/QuadSPI_SCKFA/EMAC_MII_RX_CLK/EIRQ[26]</t>
  </si>
  <si>
    <t>N4</t>
  </si>
  <si>
    <t>L7</t>
  </si>
  <si>
    <t>K9</t>
  </si>
  <si>
    <t>K10</t>
  </si>
  <si>
    <t>T8</t>
  </si>
  <si>
    <t>PTC1</t>
  </si>
  <si>
    <t>GPIO[65]</t>
  </si>
  <si>
    <t>eMIOS_0_CH[15]_H</t>
  </si>
  <si>
    <t>EMAC_MII_RMII_RXD[1]</t>
  </si>
  <si>
    <t>EMAC_MII_RMII_RXD[0]</t>
  </si>
  <si>
    <t>GPIO[65]/eMIOS_0_CH[1]_G/FXIO_D5/EMAC_MII_RMII_RXD[1]/eMIOS_0_CH[15]_H/CAN3_RX/EMAC_MII_RMII_RXD[0]/EMAC_MII_RX_CLK/EIRQ[1]</t>
  </si>
  <si>
    <t>U7</t>
  </si>
  <si>
    <t>PTC0</t>
  </si>
  <si>
    <t>GPIO[64]</t>
  </si>
  <si>
    <t>eMIOS_0_CH[14]_H</t>
  </si>
  <si>
    <t>GPIO[64]/CAN3_TX/eMIOS_0_CH[0]_X/EMAC_MII_RMII_RXD[0]/eMIOS_0_CH[14]_H/EMAC_MII_RMII_TX_CLK/EMAC_MII_RMII_RXD[1]/EIRQ[0]</t>
  </si>
  <si>
    <t>U8</t>
  </si>
  <si>
    <t>PTD9</t>
  </si>
  <si>
    <t>GPIO[105]</t>
  </si>
  <si>
    <t>LPI2C1_SCL</t>
  </si>
  <si>
    <t>LPUART6_TX</t>
  </si>
  <si>
    <t>eMIOS_0_CH[13]_H</t>
  </si>
  <si>
    <t>EMAC_MII_RXD2</t>
  </si>
  <si>
    <t>EIRQ[25]</t>
  </si>
  <si>
    <t>GPIO[105]/EMAC_MII_RXD2/LPI2C1_SCL/FXIO_D0/LPUART6_TX/eMIOS_0_CH[13]_H/FXIO_D10/EMAC_MII_RMII_RXD[0]/EIRQ[25]</t>
  </si>
  <si>
    <t>R8</t>
  </si>
  <si>
    <t>PTD8</t>
  </si>
  <si>
    <t>GPIO[104]</t>
  </si>
  <si>
    <t>LPI2C1_SDA</t>
  </si>
  <si>
    <t>eMIOS_0_CH[12]_H</t>
  </si>
  <si>
    <t>EMAC_MII_RXD3</t>
  </si>
  <si>
    <t>LPUART6_RX</t>
  </si>
  <si>
    <t>GPIO[104]/LPSPI3_SOUT/LPI2C1_SDA/EMAC_MII_RXD3/FXIO_D1/eMIOS_0_CH[12]_H/FXIO_D11/EMAC_MII_RMII_RXD[1]/LPUART6_RX/EIRQ[24]</t>
  </si>
  <si>
    <t>R6</t>
  </si>
  <si>
    <t>PTC17</t>
  </si>
  <si>
    <t>GPIO[81]</t>
  </si>
  <si>
    <t>CAN2_TX</t>
  </si>
  <si>
    <t>LPI2C1_SCLS</t>
  </si>
  <si>
    <t>FXIO_D14</t>
  </si>
  <si>
    <t>EMAC_MII_RMII_RX_DV</t>
  </si>
  <si>
    <t>GPIO[81]/LPSPI3_SCK/CAN2_TX/LPI2C1_SCLS/EMAC_MII_RMII_RX_DV/FXIO_D14</t>
  </si>
  <si>
    <t>P6</t>
  </si>
  <si>
    <t>PTC16</t>
  </si>
  <si>
    <t>GPIO[80]</t>
  </si>
  <si>
    <t>eMIOS_1_CH[9]_H</t>
  </si>
  <si>
    <t>eMIOS_2_CH[9]_H</t>
  </si>
  <si>
    <t>LPI2C1_SDAS</t>
  </si>
  <si>
    <t>CAN2_RX</t>
  </si>
  <si>
    <t>EMAC_MII_RMII_RX_ER</t>
  </si>
  <si>
    <t>GPIO[80]/LPSPI3_SIN/eMIOS_1_CH[9]_H/eMIOS_2_CH[9]_H/LPI2C1_SDAS/FXIO_D15/LPI2C1_SDA/CAN2_RX/EMAC_MII_RMII_RX_ER/LPUART2_RX</t>
  </si>
  <si>
    <t>M6</t>
  </si>
  <si>
    <t>PTB22</t>
  </si>
  <si>
    <t>GPIO[54]</t>
  </si>
  <si>
    <t>CAN1_TX</t>
  </si>
  <si>
    <t>eMIOS_1_CH[18]_Y</t>
  </si>
  <si>
    <t>eMIOS_2_CH[18]_Y</t>
  </si>
  <si>
    <t>TRGMUX_OUT13</t>
  </si>
  <si>
    <t>EMAC_MII_CRS</t>
  </si>
  <si>
    <t>GPIO[54]/CAN1_TX/eMIOS_1_CH[18]_Y/LPSPI3_PCS1/eMIOS_2_CH[18]_Y/LPUART1_TX/FXIO_D15/TRGMUX_OUT13/EMAC_MII_CRS/EIRQ[9]</t>
  </si>
  <si>
    <t>U9</t>
  </si>
  <si>
    <t>PTC15</t>
  </si>
  <si>
    <t>GPIO[79]</t>
  </si>
  <si>
    <t>eMIOS_0_CH[11]_H</t>
  </si>
  <si>
    <t>ADC0_MA[2]</t>
  </si>
  <si>
    <t>LCU1_OUT0</t>
  </si>
  <si>
    <t>EIRQ[23]</t>
  </si>
  <si>
    <t>TRGMUX_IN8</t>
  </si>
  <si>
    <t>GPIO[79]/CAN2_TX/eMIOS_0_CH[11]_H/LPSPI2_SCK/ADC0_MA[2]/LPUART2_TX/LCU1_OUT0/LPI2C1_SCL/EMAC_MII_CRS/EMAC_MII_RMII_RX_DV/EMAC_MII_RXD2/EIRQ[23]/TRGMUX_IN8</t>
  </si>
  <si>
    <t>M7</t>
  </si>
  <si>
    <t>PTB23</t>
  </si>
  <si>
    <t>GPIO[55]</t>
  </si>
  <si>
    <t>ADC1_MA[0]</t>
  </si>
  <si>
    <t>eMIOS_1_CH[19]_Y</t>
  </si>
  <si>
    <t>eMIOS_2_CH[19]_Y</t>
  </si>
  <si>
    <t>TRGMUX_OUT14</t>
  </si>
  <si>
    <t>WKPU[40]</t>
  </si>
  <si>
    <t>CAN1_RX</t>
  </si>
  <si>
    <t>EMAC_MII_COL</t>
  </si>
  <si>
    <t>GPIO[55]/ADC1_MA[0]/eMIOS_1_CH[19]_Y/FXIO_D4/eMIOS_2_CH[19]_Y/TRGMUX_OUT14/CAN1_RX/EMAC_MII_COL/LPUART1_RX/EIRQ[10]/WKPU[40]</t>
  </si>
  <si>
    <t>P7</t>
  </si>
  <si>
    <t>PTB24</t>
  </si>
  <si>
    <t>GPIO[56]</t>
  </si>
  <si>
    <t>ADC1_MA[1]</t>
  </si>
  <si>
    <t>eMIOS_1_CH[20]_Y</t>
  </si>
  <si>
    <t>eMIOS_2_CH[20]_Y</t>
  </si>
  <si>
    <t>GPIO[56]/ADC1_MA[1]/eMIOS_1_CH[20]_Y/FXIO_D5/eMIOS_2_CH[20]_Y/EIRQ[11]</t>
  </si>
  <si>
    <t>T9</t>
  </si>
  <si>
    <t>PTC14</t>
  </si>
  <si>
    <t>GPIO[78]</t>
  </si>
  <si>
    <t>eMIOS_0_CH[10]_H</t>
  </si>
  <si>
    <t>ADC0_MA[1]</t>
  </si>
  <si>
    <t>LCU1_OUT1</t>
  </si>
  <si>
    <t>FXIO_D16</t>
  </si>
  <si>
    <t>EIRQ[22]</t>
  </si>
  <si>
    <t>TRGMUX_IN9</t>
  </si>
  <si>
    <t>GPIO[78]/eMIOS_0_CH[10]_H/LPSPI2_PCS0/ADC0_MA[1]/eMIOS_1_CH[4]_H/LCU1_OUT1/FXIO_D16/CAN2_RX/EMAC_MII_COL/EMAC_MII_RMII_RX_ER/EMAC_MII_RXD3/EIRQ[22]/TRGMUX_IN9</t>
  </si>
  <si>
    <t>P8</t>
  </si>
  <si>
    <t>PTB25</t>
  </si>
  <si>
    <t>GPIO[57]</t>
  </si>
  <si>
    <t>LPUART15_TX</t>
  </si>
  <si>
    <t>eMIOS_1_CH[21]_Y</t>
  </si>
  <si>
    <t>eMIOS_2_CH[21]_Y</t>
  </si>
  <si>
    <t>GPIO[57]/LPUART15_TX/eMIOS_1_CH[21]_Y/FXIO_D6/eMIOS_2_CH[21]_Y/LPSPI2_PCS0/EIRQ[12]</t>
  </si>
  <si>
    <t>R9</t>
  </si>
  <si>
    <t>PTB26</t>
  </si>
  <si>
    <t>GPIO[58]</t>
  </si>
  <si>
    <t>eMIOS_1_CH[22]_X</t>
  </si>
  <si>
    <t>eMIOS_2_CH[22]_X</t>
  </si>
  <si>
    <t>WKPU[41]</t>
  </si>
  <si>
    <t>LPUART15_RX</t>
  </si>
  <si>
    <t>GPIO[58]/eMIOS_1_CH[22]_X/FXIO_D7/eMIOS_2_CH[22]_X/LPUART15_RX/EIRQ[13]/WKPU[41]</t>
  </si>
  <si>
    <t>U10</t>
  </si>
  <si>
    <t>PTB3</t>
  </si>
  <si>
    <t>GPIO[35]</t>
  </si>
  <si>
    <t>LPUART9_TX</t>
  </si>
  <si>
    <t>eMIOS_0_CH[9]_H</t>
  </si>
  <si>
    <t>LPSPI2_SOUT</t>
  </si>
  <si>
    <t>ADC0_MA[0]</t>
  </si>
  <si>
    <t>LCU1_OUT2</t>
  </si>
  <si>
    <t>FXIO_D17</t>
  </si>
  <si>
    <t>SAI0_MCLK</t>
  </si>
  <si>
    <t>TRGMUX_IN2</t>
  </si>
  <si>
    <t>GPIO[35]/LPUART9_TX/eMIOS_0_CH[9]_H/LPSPI2_SOUT/ADC0_MA[0]/CAN4_TX/LCU1_OUT2/FXIO_D17/SAI0_MCLK/EIRQ[11]/TRGMUX_IN2</t>
  </si>
  <si>
    <t>P9</t>
  </si>
  <si>
    <t>PTB27</t>
  </si>
  <si>
    <t>GPIO[59]</t>
  </si>
  <si>
    <t>eMIOS_1_CH[23]_X</t>
  </si>
  <si>
    <t>eMIOS_2_CH[23]_X</t>
  </si>
  <si>
    <t>GPIO[59]/LPUART5_TX/eMIOS_1_CH[23]_X/FXIO_D8/eMIOS_2_CH[23]_X/LPSPI2_SOUT</t>
  </si>
  <si>
    <t>P10</t>
  </si>
  <si>
    <t>PTB28</t>
  </si>
  <si>
    <t>GPIO[60]</t>
  </si>
  <si>
    <t>ADC1_MA[2]</t>
  </si>
  <si>
    <t>LCU1_OUT11</t>
  </si>
  <si>
    <t>WKPU[42]</t>
  </si>
  <si>
    <t>GPIO[60]/ADC1_MA[2]/FXIO_D9/eMIOS_2_CH[10]_H/LPSPI2_SIN/LCU1_OUT11/EMAC_PPS3/LPUART5_RX/EIRQ[14]/WKPU[42]</t>
  </si>
  <si>
    <t>R7</t>
  </si>
  <si>
    <t>T2</t>
  </si>
  <si>
    <t>T11</t>
  </si>
  <si>
    <t>PTB2</t>
  </si>
  <si>
    <t>GPIO[34]</t>
  </si>
  <si>
    <t>eMIOS_0_CH[8]_X</t>
  </si>
  <si>
    <t>LCU1_OUT3</t>
  </si>
  <si>
    <t>SAI0_D0</t>
  </si>
  <si>
    <t>FXIO_D18</t>
  </si>
  <si>
    <t>WKPU[8]</t>
  </si>
  <si>
    <t>LPUART9_RX</t>
  </si>
  <si>
    <t>TRGMUX_IN3</t>
  </si>
  <si>
    <t>GPIO[34]/ADC1_MA[0]/eMIOS_0_CH[8]_X/LPSPI2_SIN/LCU1_OUT3/SAI0_D0/FXIO_D18/CAN4_RX/LPUART9_RX/EIRQ[10]/TRGMUX_IN3/WKPU[8]</t>
  </si>
  <si>
    <t>U12</t>
  </si>
  <si>
    <t>PTB29</t>
  </si>
  <si>
    <t>GPIO[61]</t>
  </si>
  <si>
    <t>LCU1_OUT10</t>
  </si>
  <si>
    <t>SAI0_D1</t>
  </si>
  <si>
    <t>GPIO[61]/LPUART6_TX/FXIO_D10/eMIOS_2_CH[11]_H/LPSPI2_SCK/LCU1_OUT10/SAI0_D1</t>
  </si>
  <si>
    <t>R11</t>
  </si>
  <si>
    <t>PTC13</t>
  </si>
  <si>
    <t>GPIO[77]</t>
  </si>
  <si>
    <t>LPUART10_TX</t>
  </si>
  <si>
    <t>LCU1_OUT8</t>
  </si>
  <si>
    <t>SAI0_SYNC</t>
  </si>
  <si>
    <t>EIRQ[21]</t>
  </si>
  <si>
    <t>GPIO[77]/LPUART10_TX/eMIOS_1_CH[3]_H/eMIOS_0_CH[23]_X/ADC1_MA[1]/FXIO_D16/LCU1_OUT8/SAI0_SYNC/EIRQ[21]</t>
  </si>
  <si>
    <t>U11</t>
  </si>
  <si>
    <t>PTC18</t>
  </si>
  <si>
    <t>GPIO[82]</t>
  </si>
  <si>
    <t>LCU1_OUT7</t>
  </si>
  <si>
    <t>SAI0_D2</t>
  </si>
  <si>
    <t>WKPU[36]</t>
  </si>
  <si>
    <t>GPIO[82]/FXIO_D6/FXIO_D12/eMIOS_2_CH[12]_H/LCU1_OUT7/SAI0_D2/LPUART6_RX/WKPU[36]</t>
  </si>
  <si>
    <t>P11</t>
  </si>
  <si>
    <t>PTC12</t>
  </si>
  <si>
    <t>GPIO[76]</t>
  </si>
  <si>
    <t>FXIO_D19</t>
  </si>
  <si>
    <t>LCU1_OUT9</t>
  </si>
  <si>
    <t>SAI0_BCLK</t>
  </si>
  <si>
    <t>EIRQ[20]</t>
  </si>
  <si>
    <t>LPUART10_RX</t>
  </si>
  <si>
    <t>GPIO[76]/ADC1_MA[2]/eMIOS_1_CH[2]_H/eMIOS_0_CH[22]_X/LPSPI2_PCS1/FXIO_D19/LCU1_OUT9/SAI0_BCLK/LPUART10_RX/EIRQ[20]</t>
  </si>
  <si>
    <t>T12</t>
  </si>
  <si>
    <t>PTC19</t>
  </si>
  <si>
    <t>GPIO[83]</t>
  </si>
  <si>
    <t>LPUART7_TX</t>
  </si>
  <si>
    <t>LCU1_OUT6</t>
  </si>
  <si>
    <t>SAI0_D3</t>
  </si>
  <si>
    <t>GPIO[83]/LPUART7_TX/FXIO_D13/eMIOS_2_CH[13]_H/LPSPI2_PCS1/LCU1_OUT6/SAI0_D3</t>
  </si>
  <si>
    <t>T13</t>
  </si>
  <si>
    <t>PTC20</t>
  </si>
  <si>
    <t>GPIO[84]</t>
  </si>
  <si>
    <t>LCU1_OUT5</t>
  </si>
  <si>
    <t>WKPU[43]</t>
  </si>
  <si>
    <t>EIRQ[16]</t>
  </si>
  <si>
    <t>LPUART7_RX</t>
  </si>
  <si>
    <t>GPIO[84]/FXIO_D14/eMIOS_2_CH[14]_H/ADC1_MA[2]/LCU1_OUT5/LPUART7_RX/EIRQ[16]/WKPU[43]</t>
  </si>
  <si>
    <t>R13</t>
  </si>
  <si>
    <t>PTC21</t>
  </si>
  <si>
    <t>GPIO[85]</t>
  </si>
  <si>
    <t>LCU1_OUT4</t>
  </si>
  <si>
    <t>EIRQ[17]</t>
  </si>
  <si>
    <t>GPIO[85]/FXIO_D15/eMIOS_2_CH[15]_H/ADC1_MA[1]/LCU1_OUT4/EIRQ[17]</t>
  </si>
  <si>
    <t>U14</t>
  </si>
  <si>
    <t>PTC23</t>
  </si>
  <si>
    <t>GPIO[87]</t>
  </si>
  <si>
    <t>WKPU[44]/ADC2_S23</t>
  </si>
  <si>
    <t>EIRQ[18]</t>
  </si>
  <si>
    <t>GPIO[87]/FXIO_D16/LCU1_OUT0/EIRQ[18]/WKPU[44]/ADC2_S23</t>
  </si>
  <si>
    <t>R15</t>
  </si>
  <si>
    <t>PTC24</t>
  </si>
  <si>
    <t>GPIO[88]</t>
  </si>
  <si>
    <t>TRGMUX_OUT15</t>
  </si>
  <si>
    <t>ADC2_S22/WKPU[46]</t>
  </si>
  <si>
    <t>EIRQ[19]</t>
  </si>
  <si>
    <t>GPIO[88]/LPUART12_TX/eMIOS_1_CH[0]_X/FXIO_D17/eMIOS_2_CH[0]_X/LCU1_OUT1/TRGMUX_OUT15/EIRQ[19]/ADC2_S22/WKPU[46]</t>
  </si>
  <si>
    <t>R14</t>
  </si>
  <si>
    <t>PTC25</t>
  </si>
  <si>
    <t>GPIO[89]</t>
  </si>
  <si>
    <t>LPSPI4_PCS1</t>
  </si>
  <si>
    <t>ADC0_S20/WKPU[45]</t>
  </si>
  <si>
    <t>GPIO[89]/eMIOS_1_CH[1]_H/FXIO_D18/eMIOS_2_CH[1]_H/LPSPI4_PCS1/LCU1_OUT2/LPUART12_RX/EIRQ[20]/ADC0_S20/WKPU[45]</t>
  </si>
  <si>
    <t>T15</t>
  </si>
  <si>
    <t>PTC11</t>
  </si>
  <si>
    <t>GPIO[75]</t>
  </si>
  <si>
    <t>LPSPI4_SOUT</t>
  </si>
  <si>
    <t>WKPU[18]/ADC0_S17</t>
  </si>
  <si>
    <t>LPUART11_RX</t>
  </si>
  <si>
    <t>TRGMUX_IN10</t>
  </si>
  <si>
    <t>GPIO[75]/eMIOS_1_CH[1]_H/FXIO_D15/LPSPI4_SOUT/FXIO_D19/LCU1_OUT10/CAN5_RX/LPUART11_RX/EIRQ[19]/TRGMUX_IN10/WKPU[18]/ADC0_S17</t>
  </si>
  <si>
    <t>P15</t>
  </si>
  <si>
    <t>PTC26</t>
  </si>
  <si>
    <t>GPIO[90]</t>
  </si>
  <si>
    <t>LPSPI4_SIN</t>
  </si>
  <si>
    <t>ADC0_S21/WKPU[48]</t>
  </si>
  <si>
    <t>GPIO[90]/LPUART13_TX/eMIOS_1_CH[3]_H/FXIO_D19/eMIOS_2_CH[2]_H/LCU1_OUT9/LPSPI4_SIN/CAN5_RX/EIRQ[21]/ADC0_S21/WKPU[48]</t>
  </si>
  <si>
    <t>T17</t>
  </si>
  <si>
    <t>PTC10</t>
  </si>
  <si>
    <t>GPIO[74]</t>
  </si>
  <si>
    <t>LPUART11_TX</t>
  </si>
  <si>
    <t>LPSPI4_PCS0</t>
  </si>
  <si>
    <t>ADC1_X[3]</t>
  </si>
  <si>
    <t>TRGMUX_IN11</t>
  </si>
  <si>
    <t>GPIO[74]/eMIOS_0_CH[6]_G/LPUART11_TX/CAN5_TX/LPSPI2_PCS1/LPSPI4_PCS0/LCU1_OUT11/eMIOS_1_CH[0]_X/EIRQ[18]/TRGMUX_IN11/ADC1_X[3]</t>
  </si>
  <si>
    <t>R16</t>
  </si>
  <si>
    <t>PTC27</t>
  </si>
  <si>
    <t>GPIO[91]</t>
  </si>
  <si>
    <t>FXIO_D20</t>
  </si>
  <si>
    <t>LPSPI4_SCK</t>
  </si>
  <si>
    <t>GPIO[91]/CAN5_TX/eMIOS_1_CH[4]_H/FXIO_D20/eMIOS_2_CH[3]_H/ADC1_MA[0]/LCU1_OUT3/LPSPI4_SCK/LPUART13_RX/EIRQ[22]</t>
  </si>
  <si>
    <t>R17</t>
  </si>
  <si>
    <t>PTB1</t>
  </si>
  <si>
    <t>GPIO[33]</t>
  </si>
  <si>
    <t>LPI2C0_SCLS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</si>
  <si>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</si>
  <si>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</si>
  <si>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</si>
  <si>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P16</t>
  </si>
  <si>
    <t>PTB0</t>
  </si>
  <si>
    <t>GPIO[32]</t>
  </si>
  <si>
    <t>LPI2C0_SDAS</t>
  </si>
  <si>
    <t>eMIOS_1_CH[6]_H</t>
  </si>
  <si>
    <t xml:space="preserve">HSE_TAMPER_LOOP_OUT0 </t>
  </si>
  <si>
    <t>ADC1_S14/ADC0_S14/WKPU[7]</t>
  </si>
  <si>
    <t>GPIO[32]/LPI2C0_SDAS/FXIO_D14/LPSPI0_PCS0/eMIOS_0_CH[3]_G/LCU1_OUT5/eMIOS_1_CH[6]_H/HSE_TAMPER_LOOP_OUT0 /CAN0_RX/LPUART0_RX/EIRQ[8]/ADC1_S14/ADC0_S14/WKPU[7]</t>
  </si>
  <si>
    <t>P17</t>
  </si>
  <si>
    <t>PTC28</t>
  </si>
  <si>
    <t>GPIO[92]</t>
  </si>
  <si>
    <t>FXIO_D21</t>
  </si>
  <si>
    <t>GPIO[92]/CAN3_TX/eMIOS_1_CH[7]_H/FXIO_D21/FXIO_D2/LPI2C1_SCL/LCU1_OUT8</t>
  </si>
  <si>
    <t>N14</t>
  </si>
  <si>
    <t>PTC9</t>
  </si>
  <si>
    <t>GPIO[73]</t>
  </si>
  <si>
    <t>LPUART0_RTS</t>
  </si>
  <si>
    <t>ADC0_S13/WKPU[10]</t>
  </si>
  <si>
    <t>GPIO[73]/LPI2C0_SDA/LPUART1_TX/LPUART0_RTS/eMIOS_1_CH[8]_X/LCU1_OUT6/LPSPI0_SIN/FXIO_D13/CAN1_RX/EIRQ[17]/ADC0_S13/WKPU[10]</t>
  </si>
  <si>
    <t>N15</t>
  </si>
  <si>
    <t>PTC8</t>
  </si>
  <si>
    <t>GPIO[72]</t>
  </si>
  <si>
    <t>ADC0_S12</t>
  </si>
  <si>
    <t>LPUART0_CTS</t>
  </si>
  <si>
    <t>GPIO[72]/LPI2C0_SCL/CAN1_TX/eMIOS_1_CH[9]_H/LCU1_OUT7/LPSPI0_SCK/FXIO_D12/LPUART0_CTS/LPUART1_RX/EIRQ[16]/ADC0_S12</t>
  </si>
  <si>
    <t>N16</t>
  </si>
  <si>
    <t>PTC29</t>
  </si>
  <si>
    <t>GPIO[93]</t>
  </si>
  <si>
    <t>FXIO_D22</t>
  </si>
  <si>
    <t>eMIOS_2_CH[4]_H</t>
  </si>
  <si>
    <t>WKPU[47]</t>
  </si>
  <si>
    <t>GPIO[93]/eMIOS_1_CH[10]_H/FXIO_D22/eMIOS_2_CH[4]_H/LPI2C1_SDA/FXIO_D3/CAN3_RX/EIRQ[23]/WKPU[47]</t>
  </si>
  <si>
    <t>M16</t>
  </si>
  <si>
    <t>PTA7</t>
  </si>
  <si>
    <t>GPIO[7]</t>
  </si>
  <si>
    <t>ADC0_S11</t>
  </si>
  <si>
    <t>GPIO[7]/LPUART3_TX/LPSPI0_PCS1/eMIOS_1_CH[11]_H/CAN0_TX/LPUART1_RTS/FXIO_D9/EIRQ[7]/ADC0_S11</t>
  </si>
  <si>
    <t>N17</t>
  </si>
  <si>
    <t>PTC30</t>
  </si>
  <si>
    <t>GPIO[94]</t>
  </si>
  <si>
    <t>eMIOS_2_CH[5]_H</t>
  </si>
  <si>
    <t>FXIO_D23</t>
  </si>
  <si>
    <t>GPIO[94]/CAN4_TX/eMIOS_1_CH[12]_H/FXIO_D0/eMIOS_2_CH[5]_H/FXIO_D23</t>
  </si>
  <si>
    <t>M15</t>
  </si>
  <si>
    <t>PTA6</t>
  </si>
  <si>
    <t>GPIO[6]</t>
  </si>
  <si>
    <t>WKPU[15]/ADC0_S18</t>
  </si>
  <si>
    <t>GPIO[6]/LPSPI1_PCS1/eMIOS_1_CH[13]_H/FXIO_D19/LPSPI3_PCS1/CAN0_RX/LPUART1_CTS/LPUART3_RX/EIRQ[6]/WKPU[15]/ADC0_S18</t>
  </si>
  <si>
    <t>L14</t>
  </si>
  <si>
    <t>PTC31</t>
  </si>
  <si>
    <t>GPIO[95]</t>
  </si>
  <si>
    <t>eMIOS_2_CH[6]_H</t>
  </si>
  <si>
    <t>FXIO_D24</t>
  </si>
  <si>
    <t>ADC2_S21/WKPU[49]</t>
  </si>
  <si>
    <t>GPIO[95]/eMIOS_1_CH[14]_H/FXIO_D1/eMIOS_2_CH[6]_H/FXIO_D24/CAN4_RX/ADC2_S21/WKPU[49]</t>
  </si>
  <si>
    <t>M17</t>
  </si>
  <si>
    <t>PTE7</t>
  </si>
  <si>
    <t>GPIO[135]</t>
  </si>
  <si>
    <t>ADC2_S20</t>
  </si>
  <si>
    <t>GPIO[135]/eMIOS_0_CH[7]_G/LPSPI3_SCK/FXIO_D11/LPUART4_RX/ADC2_S20</t>
  </si>
  <si>
    <t>K8</t>
  </si>
  <si>
    <t>J10</t>
  </si>
  <si>
    <t>B16</t>
  </si>
  <si>
    <t>L17</t>
  </si>
  <si>
    <t>PTA17</t>
  </si>
  <si>
    <t>GPIO[17]</t>
  </si>
  <si>
    <t>ADC2_S19</t>
  </si>
  <si>
    <t>GPIO[17]/eMIOS_0_CH[6]_G/LPUART4_TX/LPSPI3_SOUT/FXIO_D19/ADC2_S19</t>
  </si>
  <si>
    <t>K16</t>
  </si>
  <si>
    <t>PTB17</t>
  </si>
  <si>
    <t>GPIO[49]</t>
  </si>
  <si>
    <t>LPSPI1_PCS3</t>
  </si>
  <si>
    <t>ADC1_X[2]/WKPU[14]</t>
  </si>
  <si>
    <t>GPIO[49]/eMIOS_0_CH[5]_G/LPSPI1_PCS3/eMIOS_1_CH[7]_H/LPSPI3_PCS0/FXIO_D20/LPUART4_RX/EIRQ[31]/ADC1_X[2]/WKPU[14]</t>
  </si>
  <si>
    <t>K15</t>
  </si>
  <si>
    <t>PTD20</t>
  </si>
  <si>
    <t>GPIO[116]</t>
  </si>
  <si>
    <t>FXIO_D25</t>
  </si>
  <si>
    <t>LPSPI1_PCS2</t>
  </si>
  <si>
    <t>ADC0_S22/WKPU[54]</t>
  </si>
  <si>
    <t>GPIO[116]/eMIOS_1_CH[17]_Y/FXIO_D25/eMIOS_2_CH[0]_X/LPSPI1_PCS2/LPSPI3_SIN/EIRQ[25]/ADC0_S22/WKPU[54]</t>
  </si>
  <si>
    <t>K17</t>
  </si>
  <si>
    <t>PTB16</t>
  </si>
  <si>
    <t>GPIO[48]</t>
  </si>
  <si>
    <t>WKPU[13]/ADC1_S12</t>
  </si>
  <si>
    <t>GPIO[48]/eMIOS_0_CH[4]_G/LPSPI1_SOUT/LPUART4_TX/FXIO_D21/EIRQ[30]/WKPU[13]/ADC1_S12</t>
  </si>
  <si>
    <t>J16</t>
  </si>
  <si>
    <t>PTB15</t>
  </si>
  <si>
    <t>GPIO[47]</t>
  </si>
  <si>
    <t>ADC1_S11/WKPU[33]</t>
  </si>
  <si>
    <t>GPIO[47]/eMIOS_0_CH[3]_G/LPSPI1_SIN/LPUART7_TX/FXIO_D22/EIRQ[29]/ADC1_S11/WKPU[33]</t>
  </si>
  <si>
    <t>J17</t>
  </si>
  <si>
    <t>PTB14</t>
  </si>
  <si>
    <t>GPIO[46]</t>
  </si>
  <si>
    <t>LCU0_OUT7</t>
  </si>
  <si>
    <t>ADC0_S9/ADC1_S9/ADC2_S9</t>
  </si>
  <si>
    <t>GPIO[46]/eMIOS_0_CH[2]_G/LPSPI1_SCK/LCU0_OUT7/FXIO_D23/LPUART7_RX/EIRQ[28]/ADC0_S9/ADC1_S9/ADC2_S9</t>
  </si>
  <si>
    <t>H15</t>
  </si>
  <si>
    <t>PTD21</t>
  </si>
  <si>
    <t>GPIO[117]</t>
  </si>
  <si>
    <t>FXIO_D26</t>
  </si>
  <si>
    <t>LCU0_OUT4</t>
  </si>
  <si>
    <t>ADC0_S23</t>
  </si>
  <si>
    <t>GPIO[117]/eMIOS_1_CH[18]_Y/FXIO_D26/eMIOS_2_CH[8]_X/LCU0_OUT4/EIRQ[26]/ADC0_S23</t>
  </si>
  <si>
    <t>H16</t>
  </si>
  <si>
    <t>PTB13</t>
  </si>
  <si>
    <t>GPIO[45]</t>
  </si>
  <si>
    <t>LCU0_OUT3</t>
  </si>
  <si>
    <t>ADC0_S8/ADC1_S8/ADC2_S8/WKPU[11]</t>
  </si>
  <si>
    <t>GPIO[45]/LPSPI3_PCS2/eMIOS_0_CH[1]_G/FXIO_D8/LCU0_OUT3/LPUART8_TX/FXIO_D24/EIRQ[27]/ADC0_S8/ADC1_S8/ADC2_S8/WKPU[11]</t>
  </si>
  <si>
    <t>H17</t>
  </si>
  <si>
    <t>PTB12</t>
  </si>
  <si>
    <t>GPIO[44]</t>
  </si>
  <si>
    <t>LCU0_OUT2</t>
  </si>
  <si>
    <t>ADC1_X[1]/WKPU[12]</t>
  </si>
  <si>
    <t>GPIO[44]/LPSPI3_PCS3/eMIOS_0_CH[0]_X/LCU0_OUT2/FXIO_D25/LPUART8_RX/EIRQ[26]/ADC1_X[1]/WKPU[12]</t>
  </si>
  <si>
    <t>G17</t>
  </si>
  <si>
    <t>PTD22</t>
  </si>
  <si>
    <t>GPIO[118]</t>
  </si>
  <si>
    <t>FXIO_D27</t>
  </si>
  <si>
    <t>LCU0_OUT5</t>
  </si>
  <si>
    <t>ADC2_S18</t>
  </si>
  <si>
    <t>GPIO[118]/eMIOS_1_CH[19]_Y/FXIO_D27/eMIOS_2_CH[22]_X/LCU0_OUT5/EIRQ[27]/ADC2_S18</t>
  </si>
  <si>
    <t>G16</t>
  </si>
  <si>
    <t>PTD4</t>
  </si>
  <si>
    <t>GPIO[100]</t>
  </si>
  <si>
    <t>LCU0_OUT6</t>
  </si>
  <si>
    <t>ADC0_S19/WKPU[22]</t>
  </si>
  <si>
    <t>GPIO[100]/eMIOS_1_CH[23]_X/LPSPI1_PCS1/LCU0_OUT6/LPSPI5_PCS0/EIRQ[12]/ADC0_S19/WKPU[22]</t>
  </si>
  <si>
    <t>F17</t>
  </si>
  <si>
    <t>PTD3</t>
  </si>
  <si>
    <t>GPIO[99]</t>
  </si>
  <si>
    <t>LCU0_OUT0</t>
  </si>
  <si>
    <t>NMI_b/WKPU[1]/ADC0_S10</t>
  </si>
  <si>
    <t>TRGMUX_IN4</t>
  </si>
  <si>
    <t>GPIO[99]/eMIOS_1_CH[22]_X/LPSPI1_PCS0/FXIO_D5/FXIO_D7/LCU0_OUT0/LPUART3_RX/EIRQ[11]/TRGMUX_IN4/NMI_b/WKPU[1]/ADC0_S10</t>
  </si>
  <si>
    <t>F16</t>
  </si>
  <si>
    <t>PTD2</t>
  </si>
  <si>
    <t>GPIO[98]</t>
  </si>
  <si>
    <t>LCU0_OUT1</t>
  </si>
  <si>
    <t>WKPU[9]/ADC0_S16</t>
  </si>
  <si>
    <t>TRGMUX_IN5</t>
  </si>
  <si>
    <t>GPIO[98]/LCU0_OUT1/eMIOS_1_CH[21]_Y/LPSPI1_SOUT/FXIO_D4/FXIO_D6/LPUART3_TX/LPSPI5_SOUT/EIRQ[10]/TRGMUX_IN5/WKPU[9]/ADC0_S16</t>
  </si>
  <si>
    <t>E17</t>
  </si>
  <si>
    <t>PTD23</t>
  </si>
  <si>
    <t>GPIO[119]</t>
  </si>
  <si>
    <t>FXIO_D28</t>
  </si>
  <si>
    <t>LCU0_OUT10</t>
  </si>
  <si>
    <t>WKPU[50]/ADC2_S17</t>
  </si>
  <si>
    <t>GPIO[119]/eMIOS_1_CH[20]_Y/FXIO_D28/eMIOS_2_CH[23]_X/HSE_TAMPER_LOOP_OUT0 /LCU0_OUT10/EIRQ[28]/WKPU[50]/ADC2_S17</t>
  </si>
  <si>
    <t>TSPC_GPIO1</t>
  </si>
  <si>
    <t>E16</t>
  </si>
  <si>
    <t>PTA3</t>
  </si>
  <si>
    <t>GPIO[3]</t>
  </si>
  <si>
    <t>ADC1_S17</t>
  </si>
  <si>
    <t>GPIO[3]/FCCU_ERR1/eMIOS_1_CH[20]_Y/LPSPI1_SCK/LCU0_OUT2/FXIO_D5/LPUART0_TX/LPSPI5_SCK/FCCU_ERR_IN1/EIRQ[3]/ADC1_S17</t>
  </si>
  <si>
    <t>TSPC_ADC1</t>
  </si>
  <si>
    <t>D17</t>
  </si>
  <si>
    <t>PTA2</t>
  </si>
  <si>
    <t>GPIO[2]</t>
  </si>
  <si>
    <t>ADC1_X[0]/WKPU[0]/CMP1_IN2</t>
  </si>
  <si>
    <t>GPIO[2]/FCCU_ERR0/eMIOS_1_CH[19]_Y/FXIO_D4/LCU0_OUT3/LPSPI5_SIN/FCCU_ERR_IN0/LPSPI1_SIN/LPUART0_RX/EIRQ[2]/ADC1_X[0]/WKPU[0]/CMP1_IN2</t>
  </si>
  <si>
    <t>D16</t>
  </si>
  <si>
    <t>PTD24</t>
  </si>
  <si>
    <t>GPIO[120]</t>
  </si>
  <si>
    <t>FXIO_D29</t>
  </si>
  <si>
    <t>LCU0_OUT11</t>
  </si>
  <si>
    <t>ADC1_S20</t>
  </si>
  <si>
    <t>GPIO[120]/eMIOS_1_CH[21]_Y/FXIO_D29/LCU0_OUT11/HSE_TAMPER_EXTIN0/EIRQ[29]/ADC1_S20</t>
  </si>
  <si>
    <t>C17</t>
  </si>
  <si>
    <t>PTB11</t>
  </si>
  <si>
    <t>GPIO[43]</t>
  </si>
  <si>
    <t>LCU0_OUT8</t>
  </si>
  <si>
    <t>CMP2_IN0/ADC0_X[3]/WKPU[16]</t>
  </si>
  <si>
    <t>LPI2C0_HREQ</t>
  </si>
  <si>
    <t>GPIO[43]/LPSPI4_SIN/eMIOS_1_CH[18]_Y/LCU0_OUT8/FXIO_D26/LPI2C0_HREQ/EIRQ[25]/CMP2_IN0/ADC0_X[3]/WKPU[16]</t>
  </si>
  <si>
    <t>J9</t>
  </si>
  <si>
    <t>K11</t>
  </si>
  <si>
    <t>D15</t>
  </si>
  <si>
    <t>PTB10</t>
  </si>
  <si>
    <t>GPIO[42]</t>
  </si>
  <si>
    <t>LCU0_OUT9</t>
  </si>
  <si>
    <t>CMP2_IN1/ADC0_X[2]</t>
  </si>
  <si>
    <t>GPIO[42]/LPSPI4_SCK/eMIOS_1_CH[17]_Y/LPUART9_TX/LCU0_OUT9/FXIO_D27/EIRQ[24]/CMP2_IN1/ADC0_X[2]</t>
  </si>
  <si>
    <t>C15</t>
  </si>
  <si>
    <t>PTB9</t>
  </si>
  <si>
    <t>GPIO[41]</t>
  </si>
  <si>
    <t>CMP2_IN2/ADC0_X[1]/WKPU[17]</t>
  </si>
  <si>
    <t>GPIO[41]/LPSPI4_SOUT/eMIOS_1_CH[16]_X/LCU0_OUT10/FXIO_D28/LPUART9_RX/EIRQ[15]/CMP2_IN2/ADC0_X[1]/WKPU[17]</t>
  </si>
  <si>
    <t>A16</t>
  </si>
  <si>
    <t>PTD26</t>
  </si>
  <si>
    <t>GPIO[122]</t>
  </si>
  <si>
    <t>eMIOS_2_CH[7]_H</t>
  </si>
  <si>
    <t>FXIO_D30</t>
  </si>
  <si>
    <t>ADC2_S16</t>
  </si>
  <si>
    <t>GPIO[122]/LPUART14_TX/eMIOS_1_CH[23]_X/FXIO_D7/eMIOS_2_CH[7]_H/FXIO_D30/LPSPI5_SCK/LCU0_OUT0/ADC2_S16</t>
  </si>
  <si>
    <t>A15</t>
  </si>
  <si>
    <t>PTD27</t>
  </si>
  <si>
    <t>GPIO[123]</t>
  </si>
  <si>
    <t>FXIO_D31</t>
  </si>
  <si>
    <t>ADC1_S21/WKPU[51]</t>
  </si>
  <si>
    <t>GPIO[123]/eMIOS_2_CH[9]_H/FXIO_D31/LPSPI5_SOUT/LCU0_OUT1/LPUART14_RX/EIRQ[30]/ADC1_S21/WKPU[51]</t>
  </si>
  <si>
    <t>A14</t>
  </si>
  <si>
    <t>PTB8</t>
  </si>
  <si>
    <t>GPIO[40]</t>
  </si>
  <si>
    <t>LPSPI0_PCS5</t>
  </si>
  <si>
    <t>CMP2_IN3/ADC0_X[0]/WKPU[25]</t>
  </si>
  <si>
    <t>GPIO[40]/LPSPI4_PCS0/eMIOS_1_CH[15]_H/LCU0_OUT11/LPSPI0_PCS5/FXIO_D29/EIRQ[14]/CMP2_IN3/ADC0_X[0]/WKPU[25]</t>
  </si>
  <si>
    <t>B13</t>
  </si>
  <si>
    <t>PTD28</t>
  </si>
  <si>
    <t>GPIO[124]</t>
  </si>
  <si>
    <t>ADC1_S22</t>
  </si>
  <si>
    <t>GPIO[124]/LPUART15_TX/eMIOS_2_CH[0]_X/LCU0_OUT2/LPSPI5_SIN/EIRQ[31]/ADC1_S22</t>
  </si>
  <si>
    <t>B14</t>
  </si>
  <si>
    <t>PTA1</t>
  </si>
  <si>
    <t>GPIO[1]</t>
  </si>
  <si>
    <t>LPSPI0_PCS6</t>
  </si>
  <si>
    <t>TRGMUX_OUT0</t>
  </si>
  <si>
    <t>ADC0_S9/CMP1_IN1/WKPU[5]</t>
  </si>
  <si>
    <t>GPIO[1]/LPSPI4_PCS1/eMIOS_0_CH[9]_H/LPUART0_RTS/FXIO_D3/LCU0_OUT5/LPSPI0_PCS6/TRGMUX_OUT0/EIRQ[1]/ADC0_S9/CMP1_IN1/WKPU[5]</t>
  </si>
  <si>
    <t>C14</t>
  </si>
  <si>
    <t>PTD29</t>
  </si>
  <si>
    <t>GPIO[125]</t>
  </si>
  <si>
    <t>LPSPI5_PCS2</t>
  </si>
  <si>
    <t>ADC1_S23/WKPU[52]</t>
  </si>
  <si>
    <t>GPIO[125]/eMIOS_2_CH[8]_X/LCU0_OUT3/LPSPI5_PCS2/LPUART15_RX/ADC1_S23/WKPU[52]</t>
  </si>
  <si>
    <t>A13</t>
  </si>
  <si>
    <t>PTA0</t>
  </si>
  <si>
    <t>GPIO[0]</t>
  </si>
  <si>
    <t>LPSPI4_PCS2</t>
  </si>
  <si>
    <t>LPSPI0_PCS7</t>
  </si>
  <si>
    <t>TRGMUX_OUT3</t>
  </si>
  <si>
    <t>ADC0_S8/CMP1_IN0</t>
  </si>
  <si>
    <t>GPIO[0]/LPSPI4_PCS2/eMIOS_0_CH[17]_Y/LCU0_OUT4/FXIO_D2/eMIOS_1_CH[0]_X/LPSPI0_PCS7/TRGMUX_OUT3/LPUART0_CTS/EIRQ[0]/ADC0_S8/CMP1_IN0</t>
  </si>
  <si>
    <t>D13</t>
  </si>
  <si>
    <t>PTD30</t>
  </si>
  <si>
    <t>GPIO[126]</t>
  </si>
  <si>
    <t>LPSPI5_PCS3</t>
  </si>
  <si>
    <t>ADC2_S15</t>
  </si>
  <si>
    <t>GPIO[126]/eMIOS_2_CH[16]_X/LCU0_OUT8/LPSPI5_PCS3/ADC2_S15</t>
  </si>
  <si>
    <t>C13</t>
  </si>
  <si>
    <t>PTD31</t>
  </si>
  <si>
    <t>GPIO[127]</t>
  </si>
  <si>
    <t>WKPU[53]/ADC2_S14</t>
  </si>
  <si>
    <t>GPIO[127]/FXIO_D6/eMIOS_2_CH[22]_X/LCU0_OUT9/WKPU[53]/ADC2_S14</t>
  </si>
  <si>
    <t>B12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</si>
  <si>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</si>
  <si>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</si>
  <si>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</si>
  <si>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</si>
  <si>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</si>
  <si>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C12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</si>
  <si>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</si>
  <si>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</si>
  <si>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</si>
  <si>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</si>
  <si>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D12</t>
  </si>
  <si>
    <t>PTE17</t>
  </si>
  <si>
    <t>GPIO[145]</t>
  </si>
  <si>
    <t>ADC2_S10/ADC1_S22</t>
  </si>
  <si>
    <t>GPIO[145]/FXIO_D5/eMIOS_2_CH[23]_X/ADC2_S10/ADC1_S22</t>
  </si>
  <si>
    <t>A12</t>
  </si>
  <si>
    <t>PTA16</t>
  </si>
  <si>
    <t>GPIO[16]</t>
  </si>
  <si>
    <t>LPSPI4_PCS3</t>
  </si>
  <si>
    <t>LPSPI0_PCS4</t>
  </si>
  <si>
    <t>ADC1_S13/WKPU[31]</t>
  </si>
  <si>
    <t>GPIO[16]/LPSPI4_PCS3/eMIOS_0_CH[11]_H/LPSPI1_PCS2/LPSPI0_PCS4/LPUART6_TX/FXIO_D30/EIRQ[4]/ADC1_S13/WKPU[31]</t>
  </si>
  <si>
    <t>D11</t>
  </si>
  <si>
    <t>PTE18</t>
  </si>
  <si>
    <t>GPIO[146]</t>
  </si>
  <si>
    <t>ADC2_S11/WKPU[55]/ADC1_S23</t>
  </si>
  <si>
    <t>GPIO[146]/FXIO_D4/eMIOS_2_CH[17]_Y/ADC2_S11/WKPU[55]/ADC1_S23</t>
  </si>
  <si>
    <t>A11</t>
  </si>
  <si>
    <t>PTA15</t>
  </si>
  <si>
    <t>GPIO[15]</t>
  </si>
  <si>
    <t>LPSPI2_PCS3</t>
  </si>
  <si>
    <t>ADC1_P7/WKPU[20]</t>
  </si>
  <si>
    <t>GPIO[15]/eMIOS_0_CH[10]_H/LPSPI0_PCS3/LPSPI2_PCS3/LPSPI5_PCS0/FXIO_D31/LPUART6_RX/EIRQ[23]/ADC1_P7/WKPU[20]</t>
  </si>
  <si>
    <t>B11</t>
  </si>
  <si>
    <t>PTE6</t>
  </si>
  <si>
    <t>GPIO[134]</t>
  </si>
  <si>
    <t>ADC1_P6/WKPU[29]</t>
  </si>
  <si>
    <t>GPIO[134]/LPSPI0_PCS2/LPUART1_RTS/eMIOS_1_CH[14]_H/LPUART10_TX/FXIO_D12/ADC0_MA[1]/EIRQ[6]/ADC1_P6/WKPU[29]</t>
  </si>
  <si>
    <t>B10</t>
  </si>
  <si>
    <t>PTE2</t>
  </si>
  <si>
    <t>GPIO[130]</t>
  </si>
  <si>
    <t>WKPU[27]/ADC1_P5</t>
  </si>
  <si>
    <t>GPIO[130]/LPSPI0_SOUT/eMIOS_0_CH[3]_G/eMIOS_1_CH[8]_X/FXIO_D13/ADC0_MA[0]/LPUART1_CTS/LPUART10_RX/EIRQ[2]/WKPU[27]/ADC1_P5</t>
  </si>
  <si>
    <t>H10</t>
  </si>
  <si>
    <t>H9</t>
  </si>
  <si>
    <t>G7</t>
  </si>
  <si>
    <t>H7</t>
  </si>
  <si>
    <t>A10</t>
  </si>
  <si>
    <t>PTA14</t>
  </si>
  <si>
    <t>GPIO[14]</t>
  </si>
  <si>
    <t>ADC1_P4</t>
  </si>
  <si>
    <t>GPIO[14]/eMIOS_1_CH[4]_H/LPSPI1_PCS3/eMIOS_2_CH[18]_Y/FXIO_D14/LPSPI5_PCS1/EIRQ[22]/ADC1_P4</t>
  </si>
  <si>
    <t>F9</t>
  </si>
  <si>
    <t>PTE21</t>
  </si>
  <si>
    <t>GPIO[149]</t>
  </si>
  <si>
    <t>WKPU[56]/ADC2_P3</t>
  </si>
  <si>
    <t>GPIO[149]/eMIOS_1_CH[1]_H/eMIOS_2_CH[19]_Y/LPSPI4_SIN/WKPU[56]/ADC2_P3</t>
  </si>
  <si>
    <t>B9</t>
  </si>
  <si>
    <t>PTE22</t>
  </si>
  <si>
    <t>GPIO[150]</t>
  </si>
  <si>
    <t>ADC2_P4</t>
  </si>
  <si>
    <t>GPIO[150]/eMIOS_1_CH[2]_H/eMIOS_2_CH[20]_Y/LPSPI4_SCK/ADC2_P4</t>
  </si>
  <si>
    <t>A9</t>
  </si>
  <si>
    <t>PTA13</t>
  </si>
  <si>
    <t>GPIO[13]</t>
  </si>
  <si>
    <t>LPSPI1_PCS4</t>
  </si>
  <si>
    <t>WKPU[4]/ADC1_P1</t>
  </si>
  <si>
    <t>GPIO[13]/LPSPI1_PCS4/eMIOS_0_CH[15]_H/FXIO_D8/eMIOS_1_CH[3]_H/LPUART11_TX/EIRQ[21]/WKPU[4]/ADC1_P1</t>
  </si>
  <si>
    <t>D8</t>
  </si>
  <si>
    <t>PTE23</t>
  </si>
  <si>
    <t>GPIO[151]</t>
  </si>
  <si>
    <t>WKPU[57]/ADC2_P5</t>
  </si>
  <si>
    <t>GPIO[151]/eMIOS_1_CH[3]_H/eMIOS_2_CH[21]_Y/LPSPI4_PCS0/WKPU[57]/ADC2_P5</t>
  </si>
  <si>
    <t>A8</t>
  </si>
  <si>
    <t>PTE24</t>
  </si>
  <si>
    <t>GPIO[152]</t>
  </si>
  <si>
    <t>ADC2_S13</t>
  </si>
  <si>
    <t>GPIO[152]/eMIOS_1_CH[4]_H/CAN2_TX/eMIOS_2_CH[4]_H/FXIO_D5/LPSPI4_PCS1/FXIO_D11/ADC2_S13</t>
  </si>
  <si>
    <t>B8</t>
  </si>
  <si>
    <t>PTE25</t>
  </si>
  <si>
    <t>GPIO[153]</t>
  </si>
  <si>
    <t>WKPU[58]/ADC2_P7</t>
  </si>
  <si>
    <t>GPIO[153]/eMIOS_1_CH[5]_H/eMIOS_2_CH[5]_H/LPSPI4_SOUT/CAN2_RX/WKPU[58]/ADC2_P7</t>
  </si>
  <si>
    <t>A7</t>
  </si>
  <si>
    <t>PTA12</t>
  </si>
  <si>
    <t>GPIO[12]</t>
  </si>
  <si>
    <t>LPSPI1_PCS5</t>
  </si>
  <si>
    <t>CMP1_OUT</t>
  </si>
  <si>
    <t>ADC1_P0</t>
  </si>
  <si>
    <t>GPIO[12]/LPSPI1_PCS5/eMIOS_0_CH[14]_H/CLKOUT_STANDBY/FXIO_D9/eMIOS_1_CH[2]_H/CMP1_OUT/CAN1_RX/LPUART11_RX/EIRQ[20]/ADC1_P0</t>
  </si>
  <si>
    <t>B7</t>
  </si>
  <si>
    <t>PTA11</t>
  </si>
  <si>
    <t>GPIO[11]</t>
  </si>
  <si>
    <t>ADC1_S10</t>
  </si>
  <si>
    <t>GPIO[11]/CAN1_TX/eMIOS_0_CH[13]_H/eMIOS_1_CH[1]_H/FXIO_D1/CMP0_RRT/LPSPI1_PCS0/EIRQ[19]/ADC1_S10</t>
  </si>
  <si>
    <t>G8</t>
  </si>
  <si>
    <t>PTA10</t>
  </si>
  <si>
    <t>JTAG_TDO/TRACEnoETM_SWO</t>
  </si>
  <si>
    <t>GPIO[10]</t>
  </si>
  <si>
    <t>GPIO[10]/eMIOS_0_CH[12]_H/FXIO_D0/JTAG_TDO/TRACEnoETM_SWO/EIRQ[18]</t>
  </si>
  <si>
    <t>A5</t>
  </si>
  <si>
    <t>PTE1</t>
  </si>
  <si>
    <t>GPIO[129]</t>
  </si>
  <si>
    <t>ADC1_P3</t>
  </si>
  <si>
    <t>GPIO[129]/LPSPI0_SCK/FXIO_D2/LPUART7_TX/EIRQ[1]/ADC1_P3</t>
  </si>
  <si>
    <t>B5</t>
  </si>
  <si>
    <t>PTE0</t>
  </si>
  <si>
    <t>GPIO[128]</t>
  </si>
  <si>
    <t>WKPU[26]/ADC1_P2</t>
  </si>
  <si>
    <t>GPIO[128]/LPSPI0_SIN/FXIO_D3/LPUART7_RX/EIRQ[0]/WKPU[26]/ADC1_P2</t>
  </si>
  <si>
    <t>D5</t>
  </si>
  <si>
    <t>PTE26</t>
  </si>
  <si>
    <t>GPIO[154]</t>
  </si>
  <si>
    <t>ADC2_P6</t>
  </si>
  <si>
    <t>GPIO[154]/eMIOS_1_CH[6]_H/eMIOS_2_CH[6]_H/ADC2_P6</t>
  </si>
  <si>
    <t>F8</t>
  </si>
  <si>
    <t>PTC5</t>
  </si>
  <si>
    <t>JTAG_TDI</t>
  </si>
  <si>
    <t>GPIO[69]</t>
  </si>
  <si>
    <t>CMP2_RRT</t>
  </si>
  <si>
    <t>ADC1_S14</t>
  </si>
  <si>
    <t>GPIO[69]/eMIOS_0_CH[16]_X/FXIO_D4/CMP2_RRT/JTAG_TDI/LPI2C1_HREQ/EIRQ[5]/ADC1_S14</t>
  </si>
  <si>
    <t>F7</t>
  </si>
  <si>
    <t>PTC4</t>
  </si>
  <si>
    <t>JTAG_TCK/SWD_CLK</t>
  </si>
  <si>
    <t>GPIO[68]</t>
  </si>
  <si>
    <t>CMP1_IN3</t>
  </si>
  <si>
    <t>GPIO[68]/eMIOS_0_CH[8]_X/FXIO_D5/JTAG_TCK/SWD_CLK/EIRQ[4]/CMP1_IN3</t>
  </si>
  <si>
    <t>A3</t>
  </si>
  <si>
    <t>PTA5</t>
  </si>
  <si>
    <t>RESET_b</t>
  </si>
  <si>
    <t>GPIO[5]</t>
  </si>
  <si>
    <t>GPIO[5]/RESET_b/EIRQ[5]</t>
  </si>
  <si>
    <t>c40esf3_p_io_rst_mv</t>
  </si>
  <si>
    <t>B2</t>
  </si>
  <si>
    <t>F6</t>
  </si>
  <si>
    <t>PTA4</t>
  </si>
  <si>
    <t>JTAG_TMS/SWD_DIO</t>
  </si>
  <si>
    <t>GPIO[4]</t>
  </si>
  <si>
    <t>ADC1_S15</t>
  </si>
  <si>
    <t>GPIO[4]/FXIO_D6/CMP0_OUT/JTAG_TMS/SWD_DIO/EIRQ[4]/ADC1_S15</t>
  </si>
  <si>
    <t>B3</t>
  </si>
  <si>
    <t>PTA9</t>
  </si>
  <si>
    <t>GPIO[9]</t>
  </si>
  <si>
    <t>CMP2_OUT</t>
  </si>
  <si>
    <t>WKPU[21]/ADC0_P7</t>
  </si>
  <si>
    <t>GPIO[9]/LPUART2_TX/LPSPI2_PCS0/FXIO_D7/LPSPI3_PCS0/CMP2_OUT/EIRQ[17]/WKPU[21]/ADC0_P7</t>
  </si>
  <si>
    <t>A2</t>
  </si>
  <si>
    <t>PTA8</t>
  </si>
  <si>
    <t>GPIO[8]</t>
  </si>
  <si>
    <t>WKPU[23]/ADC0_P2</t>
  </si>
  <si>
    <t>GPIO[8]/eMIOS_1_CH[12]_H/LPSPI2_SOUT/FXIO_D6/eMIOS_2_CH[7]_H/LPUART2_RX/EIRQ[16]/WKPU[23]/ADC0_P2</t>
  </si>
  <si>
    <t>L16</t>
  </si>
  <si>
    <t>PTD18</t>
  </si>
  <si>
    <t>GPIO[114]</t>
  </si>
  <si>
    <t>GPIO[114]/CAN2_TX/eMIOS_1_CH[15]_H/FXIO_D2</t>
  </si>
  <si>
    <t>L15</t>
  </si>
  <si>
    <t>PTD19</t>
  </si>
  <si>
    <t>GPIO[115]</t>
  </si>
  <si>
    <t>GPIO[115]/eMIOS_1_CH[16]_X/FXIO_D3/CAN2_RX</t>
  </si>
  <si>
    <t>C16</t>
  </si>
  <si>
    <t>PTD25</t>
  </si>
  <si>
    <t>GPIO[121]</t>
  </si>
  <si>
    <t>GPIO[121]/eMIOS_1_CH[22]_X</t>
  </si>
  <si>
    <t>C11</t>
  </si>
  <si>
    <t>PTE19</t>
  </si>
  <si>
    <t>GPIO[147]</t>
  </si>
  <si>
    <t>GPIO[147]/eMIOS_0_CH[22]_X</t>
  </si>
  <si>
    <t>C10</t>
  </si>
  <si>
    <t>PTE20</t>
  </si>
  <si>
    <t>GPIO[148]</t>
  </si>
  <si>
    <t>GPIO[148]/eMIOS_1_CH[0]_X</t>
  </si>
  <si>
    <t>G9</t>
  </si>
  <si>
    <t>PTE27</t>
  </si>
  <si>
    <t>GPIO[155]</t>
  </si>
  <si>
    <t>GPIO[155]/eMIOS_1_CH[7]_H</t>
  </si>
  <si>
    <t>C4</t>
  </si>
  <si>
    <t>PTE28</t>
  </si>
  <si>
    <t>GPIO[156]</t>
  </si>
  <si>
    <t>GPIO[156]/CAN3_TX</t>
  </si>
  <si>
    <t>C5</t>
  </si>
  <si>
    <t>PTE29</t>
  </si>
  <si>
    <t>GPIO[157]</t>
  </si>
  <si>
    <t>GPIO[157]/CAN3_RX</t>
  </si>
  <si>
    <t>A4</t>
  </si>
  <si>
    <t>PTE30</t>
  </si>
  <si>
    <t>GPIO[158]</t>
  </si>
  <si>
    <t>GPIO[158]/CAN4_TX/CMP1_OUT</t>
  </si>
  <si>
    <t>B4</t>
  </si>
  <si>
    <t>PTE31</t>
  </si>
  <si>
    <t>GPIO[159]</t>
  </si>
  <si>
    <t>GPIO[159]/CMP1_RRT/CAN4_RX</t>
  </si>
  <si>
    <t>A6</t>
  </si>
  <si>
    <t>PTF0</t>
  </si>
  <si>
    <t>GPIO[160]</t>
  </si>
  <si>
    <t>GPIO[160]/LPUART5_TX/eMIOS_2_CH[0]_X/LPSPI2_SCK/EIRQ[0]</t>
  </si>
  <si>
    <t>B6</t>
  </si>
  <si>
    <t>PTF1</t>
  </si>
  <si>
    <t>GPIO[161]</t>
  </si>
  <si>
    <t>GPIO[161]/eMIOS_2_CH[1]_H/LPSPI2_SIN/LPUART5_RX/EIRQ[1]</t>
  </si>
  <si>
    <t>C6</t>
  </si>
  <si>
    <t>PTF2</t>
  </si>
  <si>
    <t>GPIO[162]</t>
  </si>
  <si>
    <t>GPIO[162]/LPUART6_TX/eMIOS_2_CH[2]_H/LPSPI2_SOUT/EIRQ[2]</t>
  </si>
  <si>
    <t>D6</t>
  </si>
  <si>
    <t>PTF3</t>
  </si>
  <si>
    <t>GPIO[163]</t>
  </si>
  <si>
    <t>GPIO[163]/eMIOS_2_CH[3]_H/LPSPI2_PCS0/LPUART6_RX/EIRQ[3]</t>
  </si>
  <si>
    <t>C7</t>
  </si>
  <si>
    <t>PTF4</t>
  </si>
  <si>
    <t>GPIO[164]</t>
  </si>
  <si>
    <t>GPIO[164]/CAN5_TX/eMIOS_2_CH[4]_H/FXIO_D0/EIRQ[4]</t>
  </si>
  <si>
    <t>C8</t>
  </si>
  <si>
    <t>PTF5</t>
  </si>
  <si>
    <t>GPIO[165]</t>
  </si>
  <si>
    <t>GPIO[165]/eMIOS_2_CH[5]_H/CAN5_RX/EIRQ[5]</t>
  </si>
  <si>
    <t>D7</t>
  </si>
  <si>
    <t>PTF6</t>
  </si>
  <si>
    <t>GPIO[166]</t>
  </si>
  <si>
    <t>GPIO[166]/eMIOS_2_CH[6]_H/EIRQ[6]</t>
  </si>
  <si>
    <t>C9</t>
  </si>
  <si>
    <t>PTF7</t>
  </si>
  <si>
    <t>GPIO[167]</t>
  </si>
  <si>
    <t>GPIO[167]/eMIOS_2_CH[7]_H/LPI2C1_SCL/FXIO_D1/EIRQ[7]</t>
  </si>
  <si>
    <t>D10</t>
  </si>
  <si>
    <t>PTF8</t>
  </si>
  <si>
    <t>GPIO[168]</t>
  </si>
  <si>
    <t>GPIO[168]/eMIOS_2_CH[8]_X/LPI2C1_SDA/FXIO_D2/EIRQ[16]</t>
  </si>
  <si>
    <t>B15</t>
  </si>
  <si>
    <t>PTF9</t>
  </si>
  <si>
    <t>GPIO[169]</t>
  </si>
  <si>
    <t>GPIO[169]/eMIOS_2_CH[9]_H/ADC0_MA[0]/EIRQ[17]</t>
  </si>
  <si>
    <t>B17</t>
  </si>
  <si>
    <t>PTF10</t>
  </si>
  <si>
    <t>GPIO[170]</t>
  </si>
  <si>
    <t>GPIO[170]/eMIOS_2_CH[10]_H/ADC0_MA[1]/EIRQ[18]</t>
  </si>
  <si>
    <t>H11</t>
  </si>
  <si>
    <t>PTF11</t>
  </si>
  <si>
    <t>GPIO[171]</t>
  </si>
  <si>
    <t>GPIO[171]/eMIOS_2_CH[11]_H/ADC0_MA[2]/HSE_TAMPER_EXTIN0/EIRQ[19]</t>
  </si>
  <si>
    <t>E15</t>
  </si>
  <si>
    <t>PTF12</t>
  </si>
  <si>
    <t>GPIO[172]</t>
  </si>
  <si>
    <t>GPIO[172]/LPUART10_TX/eMIOS_2_CH[12]_H/ADC0_MA[0]/LPSPI3_SIN/EIRQ[20]</t>
  </si>
  <si>
    <t>E14</t>
  </si>
  <si>
    <t>PTF13</t>
  </si>
  <si>
    <t>GPIO[173]</t>
  </si>
  <si>
    <t>GPIO[173]/eMIOS_2_CH[13]_H/ADC0_MA[1]/LPSPI3_SCK/LPUART10_RX/EIRQ[21]</t>
  </si>
  <si>
    <t>F15</t>
  </si>
  <si>
    <t>PTF14</t>
  </si>
  <si>
    <t>GPIO[174]</t>
  </si>
  <si>
    <t>GPIO[174]/CAN1_TX/eMIOS_2_CH[14]_H/CMP0_OUT/FCCU_ERR0/FXIO_D3/FCCU_ERR_IN0/EIRQ[22]</t>
  </si>
  <si>
    <t>F14</t>
  </si>
  <si>
    <t>PTF15</t>
  </si>
  <si>
    <t>GPIO[175]</t>
  </si>
  <si>
    <t>GPIO[175]/eMIOS_2_CH[15]_H/CMP0_RRT/LPSPI3_SOUT/FCCU_ERR1/CAN1_RX/FCCU_ERR_IN1/EIRQ[23]</t>
  </si>
  <si>
    <t>G15</t>
  </si>
  <si>
    <t>PTF16</t>
  </si>
  <si>
    <t>GPIO[176]</t>
  </si>
  <si>
    <t>GPIO[176]/LPUART12_TX/eMIOS_2_CH[16]_X/eMIOS_1_CH[0]_X/ADC1_MA[0]/LPSPI3_PCS0</t>
  </si>
  <si>
    <t>G14</t>
  </si>
  <si>
    <t>PTF17</t>
  </si>
  <si>
    <t>GPIO[177]</t>
  </si>
  <si>
    <t>GPIO[177]/eMIOS_2_CH[17]_Y/eMIOS_1_CH[1]_H/ADC1_MA[1]/LPUART12_RX</t>
  </si>
  <si>
    <t>H14</t>
  </si>
  <si>
    <t>PTF18</t>
  </si>
  <si>
    <t>GPIO[178]</t>
  </si>
  <si>
    <t>GPIO[178]/LPUART7_TX/eMIOS_2_CH[18]_Y/eMIOS_1_CH[2]_H/ADC1_MA[2]/LPSPI3_PCS1</t>
  </si>
  <si>
    <t>J11</t>
  </si>
  <si>
    <t>PTF19</t>
  </si>
  <si>
    <t>GPIO[179]</t>
  </si>
  <si>
    <t>GPIO[179]/eMIOS_2_CH[19]_Y/eMIOS_1_CH[3]_H/ADC0_MA[2]/LPSPI3_PCS2/HSE_TAMPER_LOOP_OUT0 /LPUART7_RX</t>
  </si>
  <si>
    <t>J15</t>
  </si>
  <si>
    <t>PTF20</t>
  </si>
  <si>
    <t>GPIO[180]</t>
  </si>
  <si>
    <t>GPIO[180]/LPUART8_TX/eMIOS_2_CH[20]_Y/eMIOS_1_CH[4]_H/LPI2C0_SCL/LPSPI3_PCS3/CAN0_TX/FXIO_D4</t>
  </si>
  <si>
    <t>K14</t>
  </si>
  <si>
    <t>PTF21</t>
  </si>
  <si>
    <t>GPIO[181]</t>
  </si>
  <si>
    <t>GPIO[181]/eMIOS_2_CH[21]_Y/eMIOS_1_CH[5]_H/LPI2C0_SDA/LPSPI1_PCS0/FXIO_D5/CAN0_RX/LPUART8_RX</t>
  </si>
  <si>
    <t>U16</t>
  </si>
  <si>
    <t>PTF22</t>
  </si>
  <si>
    <t>GPIO[182]</t>
  </si>
  <si>
    <t>GPIO[182]/eMIOS_2_CH[22]_X/eMIOS_1_CH[6]_H/LPSPI4_PCS2</t>
  </si>
  <si>
    <t>M14</t>
  </si>
  <si>
    <t>PTF23</t>
  </si>
  <si>
    <t>GPIO[183]</t>
  </si>
  <si>
    <t>GPIO[183]/LPUART9_TX/eMIOS_2_CH[23]_X/eMIOS_1_CH[7]_H/LPSPI3_PCS3</t>
  </si>
  <si>
    <t>M12</t>
  </si>
  <si>
    <t>PTF24</t>
  </si>
  <si>
    <t>GPIO[184]</t>
  </si>
  <si>
    <t>GPIO[184]/eMIOS_1_CH[8]_X/LPUART9_RX</t>
  </si>
  <si>
    <t>P12</t>
  </si>
  <si>
    <t>PTF25</t>
  </si>
  <si>
    <t>GPIO[185]</t>
  </si>
  <si>
    <t>GPIO[185]/CAN2_TX/eMIOS_1_CH[9]_H/LPSPI2_PCS2/LPSPI4_PCS0/FXIO_D6</t>
  </si>
  <si>
    <t>R12</t>
  </si>
  <si>
    <t>PTF26</t>
  </si>
  <si>
    <t>GPIO[186]</t>
  </si>
  <si>
    <t>GPIO[186]/eMIOS_1_CH[10]_H/LPSPI2_PCS3/LPSPI4_PCS1/CAN2_RX</t>
  </si>
  <si>
    <t>P13</t>
  </si>
  <si>
    <t>PTF27</t>
  </si>
  <si>
    <t>GPIO[187]</t>
  </si>
  <si>
    <t>GPIO[187]/LPUART11_TX/eMIOS_1_CH[11]_H/LPSPI4_PCS2</t>
  </si>
  <si>
    <t>L10</t>
  </si>
  <si>
    <t>PTF28</t>
  </si>
  <si>
    <t>GPIO[188]</t>
  </si>
  <si>
    <t>TRACE_ETM_D5</t>
  </si>
  <si>
    <t>GPIO[188]/eMIOS_1_CH[12]_H/FXIO_D7/LPSPI0_PCS0/LPSPI4_PCS3/TRACE_ETM_D5/LPUART11_RX</t>
  </si>
  <si>
    <t>K4</t>
  </si>
  <si>
    <t>PTF29</t>
  </si>
  <si>
    <t>GPIO[189]</t>
  </si>
  <si>
    <t>GPIO[189]/CAN3_TX/eMIOS_1_CH[13]_H/ADC1_MA[0]/LPSPI3_PCS1/FXIO_D8</t>
  </si>
  <si>
    <t>K3</t>
  </si>
  <si>
    <t>PTF30</t>
  </si>
  <si>
    <t>GPIO[190]</t>
  </si>
  <si>
    <t>GPIO[190]/eMIOS_1_CH[14]_H/ADC1_MA[1]/CAN3_RX</t>
  </si>
  <si>
    <t>L9</t>
  </si>
  <si>
    <t>PTF31</t>
  </si>
  <si>
    <t>GPIO[191]</t>
  </si>
  <si>
    <t>GPIO[191]/ADC1_MA[2]/eMIOS_1_CH[15]_H/FXIO_D9/TRACE_ETM_D3</t>
  </si>
  <si>
    <t>J2</t>
  </si>
  <si>
    <t>PTG0</t>
  </si>
  <si>
    <t>GPIO[192]</t>
  </si>
  <si>
    <t>GPIO[192]/LPUART13_TX/eMIOS_1_CH[16]_X/EIRQ[8]</t>
  </si>
  <si>
    <t>H2</t>
  </si>
  <si>
    <t>PTG1</t>
  </si>
  <si>
    <t>GPIO[193]</t>
  </si>
  <si>
    <t>GPIO[193]/eMIOS_1_CH[17]_Y/LPUART13_RX/EIRQ[9]</t>
  </si>
  <si>
    <t>J3</t>
  </si>
  <si>
    <t>PTG2</t>
  </si>
  <si>
    <t>GPIO[194]</t>
  </si>
  <si>
    <t>GPIO[194]/LPUART14_TX/eMIOS_1_CH[18]_Y/EIRQ[10]</t>
  </si>
  <si>
    <t>K2</t>
  </si>
  <si>
    <t>PTG3</t>
  </si>
  <si>
    <t>GPIO[195]</t>
  </si>
  <si>
    <t>GPIO[195]/eMIOS_1_CH[19]_Y/LPUART14_RX/EIRQ[11]</t>
  </si>
  <si>
    <t>G4</t>
  </si>
  <si>
    <t>PTG4</t>
  </si>
  <si>
    <t>GPIO[196]</t>
  </si>
  <si>
    <t>GPIO[196]/LPUART15_TX/eMIOS_1_CH[20]_Y/CMP2_OUT/EIRQ[12]</t>
  </si>
  <si>
    <t>H4</t>
  </si>
  <si>
    <t>PTG5</t>
  </si>
  <si>
    <t>GPIO[197]</t>
  </si>
  <si>
    <t>GPIO[197]/eMIOS_1_CH[21]_Y/CMP2_RRT/LPUART15_RX/EIRQ[13]</t>
  </si>
  <si>
    <t>K7</t>
  </si>
  <si>
    <t>PTG6</t>
  </si>
  <si>
    <t>GPIO[198]</t>
  </si>
  <si>
    <t>GPIO[198]/FXIO_D10/eMIOS_1_CH[22]_X/TRACE_ETM_CLKOUT/EIRQ[14]</t>
  </si>
  <si>
    <t>K6</t>
  </si>
  <si>
    <t>PTG7</t>
  </si>
  <si>
    <t>GPIO[199]</t>
  </si>
  <si>
    <t>GPIO[199]/FXIO_D11/eMIOS_1_CH[23]_X/TRACE_ETM_D0/EIRQ[15]</t>
  </si>
  <si>
    <t>F4</t>
  </si>
  <si>
    <t>PTG8</t>
  </si>
  <si>
    <t>GPIO[200]</t>
  </si>
  <si>
    <t>GPIO[200]/CAN4_TX/FXIO_D12/EIRQ[24]</t>
  </si>
  <si>
    <t>G2</t>
  </si>
  <si>
    <t>PTG9</t>
  </si>
  <si>
    <t>GPIO[201]</t>
  </si>
  <si>
    <t>GPIO[201]/CAN4_RX/EIRQ[25]</t>
  </si>
  <si>
    <t>A1</t>
  </si>
  <si>
    <t>PTG10</t>
  </si>
  <si>
    <t>GPIO[202]</t>
  </si>
  <si>
    <t>GPIO[202]/EIRQ[26]</t>
  </si>
  <si>
    <t>A17</t>
  </si>
  <si>
    <t>PTG11</t>
  </si>
  <si>
    <t>GPIO[203]</t>
  </si>
  <si>
    <t>GPIO[203]/EIRQ[27]</t>
  </si>
  <si>
    <t>U17</t>
  </si>
  <si>
    <t>PTG12</t>
  </si>
  <si>
    <t>GPIO[204]</t>
  </si>
  <si>
    <t>GPIO[204]/LPSPI4_PCS3/EIRQ[28]</t>
  </si>
  <si>
    <t>G3</t>
  </si>
  <si>
    <t>PTG13</t>
  </si>
  <si>
    <t>GPIO[205]</t>
  </si>
  <si>
    <t>GPIO[205]/CAN5_TX/FXIO_D13/EIRQ[29]</t>
  </si>
  <si>
    <t>H3</t>
  </si>
  <si>
    <t>PTG14</t>
  </si>
  <si>
    <t>GPIO[206]</t>
  </si>
  <si>
    <t>GPIO[206]/CAN5_RX/EIRQ[30]</t>
  </si>
  <si>
    <t>L6</t>
  </si>
  <si>
    <t>PTG15</t>
  </si>
  <si>
    <t>GPIO[207]</t>
  </si>
  <si>
    <t>GPIO[207]/FXIO_D14/eMIOS_2_CH[15]_H/TRACE_ETM_D1/EIRQ[31]</t>
  </si>
  <si>
    <t>M8</t>
  </si>
  <si>
    <t>PTG16</t>
  </si>
  <si>
    <t>GPIO[208]</t>
  </si>
  <si>
    <t>GPIO[208]/eMIOS_2_CH[16]_X/FXIO_D15/TRACE_ETM_D2</t>
  </si>
  <si>
    <t>M9</t>
  </si>
  <si>
    <t>PTG17</t>
  </si>
  <si>
    <t>GPIO[209]</t>
  </si>
  <si>
    <t>TRACE_ETM_D4</t>
  </si>
  <si>
    <t>GPIO[209]/eMIOS_2_CH[17]_Y/FXIO_D16/TRACE_ETM_D4</t>
  </si>
  <si>
    <t>M10</t>
  </si>
  <si>
    <t>PTG18</t>
  </si>
  <si>
    <t>GPIO[210]</t>
  </si>
  <si>
    <t>TRACE_ETM_D6</t>
  </si>
  <si>
    <t>GPIO[210]/eMIOS_2_CH[18]_Y/FXIO_D17/TRACE_ETM_D6</t>
  </si>
  <si>
    <t>M11</t>
  </si>
  <si>
    <t>PTG19</t>
  </si>
  <si>
    <t>GPIO[211]</t>
  </si>
  <si>
    <t>TRACE_ETM_D7</t>
  </si>
  <si>
    <t>GPIO[211]/eMIOS_2_CH[19]_Y/FXIO_D18/TRACE_ETM_D7</t>
  </si>
  <si>
    <t>L12</t>
  </si>
  <si>
    <t>PTG20</t>
  </si>
  <si>
    <t>GPIO[212]</t>
  </si>
  <si>
    <t>TRACE_ETM_D8</t>
  </si>
  <si>
    <t>GPIO[212]/eMIOS_2_CH[20]_Y/FXIO_D19/TRACE_ETM_D8</t>
  </si>
  <si>
    <t>K12</t>
  </si>
  <si>
    <t>PTG21</t>
  </si>
  <si>
    <t>GPIO[213]</t>
  </si>
  <si>
    <t>TRACE_ETM_D9</t>
  </si>
  <si>
    <t>GPIO[213]/eMIOS_2_CH[21]_Y/FXIO_D20/TRACE_ETM_D9</t>
  </si>
  <si>
    <t>J12</t>
  </si>
  <si>
    <t>PTG22</t>
  </si>
  <si>
    <t>GPIO[214]</t>
  </si>
  <si>
    <t>TRACE_ETM_D10</t>
  </si>
  <si>
    <t>GPIO[214]/eMIOS_2_CH[22]_X/FXIO_D21/TRACE_ETM_D10</t>
  </si>
  <si>
    <t>H12</t>
  </si>
  <si>
    <t>PTG23</t>
  </si>
  <si>
    <t>GPIO[215]</t>
  </si>
  <si>
    <t>TRACE_ETM_D11</t>
  </si>
  <si>
    <t>GPIO[215]/eMIOS_2_CH[23]_X/FXIO_D22/TRACE_ETM_D11</t>
  </si>
  <si>
    <t>G12</t>
  </si>
  <si>
    <t>PTG24</t>
  </si>
  <si>
    <t>GPIO[216]</t>
  </si>
  <si>
    <t>TRACE_ETM_D12</t>
  </si>
  <si>
    <t>GPIO[216]/FXIO_D23/TRACE_ETM_D12</t>
  </si>
  <si>
    <t>F12</t>
  </si>
  <si>
    <t>PTG25</t>
  </si>
  <si>
    <t>GPIO[217]</t>
  </si>
  <si>
    <t>TRACE_ETM_D13</t>
  </si>
  <si>
    <t>GPIO[217]/FXIO_D24/TRACE_ETM_D13</t>
  </si>
  <si>
    <t>F11</t>
  </si>
  <si>
    <t>PTG26</t>
  </si>
  <si>
    <t>GPIO[218]</t>
  </si>
  <si>
    <t>TRACE_ETM_D14</t>
  </si>
  <si>
    <t>GPIO[218]/FXIO_D25/TRACE_ETM_D14</t>
  </si>
  <si>
    <t>F10</t>
  </si>
  <si>
    <t>PTG27</t>
  </si>
  <si>
    <t>GPIO[219]</t>
  </si>
  <si>
    <t>TRACE_ETM_D15</t>
  </si>
  <si>
    <t>GPIO[219]/FXIO_D26/TRACE_ETM_D15</t>
  </si>
  <si>
    <t>C3</t>
  </si>
  <si>
    <t>PTA22</t>
  </si>
  <si>
    <t>GPIO[22]</t>
  </si>
  <si>
    <t>GPIO[22]/eMIOS_1_CH[4]_H/FXIO_D1/LPSPI1_PCS1/CAN1_RX</t>
  </si>
  <si>
    <t>D3</t>
  </si>
  <si>
    <t>PTA23</t>
  </si>
  <si>
    <t>GPIO[23]</t>
  </si>
  <si>
    <t>GPIO[23]/CAN1_TX/eMIOS_1_CH[6]_H/FXIO_D2</t>
  </si>
  <si>
    <t>L2</t>
  </si>
  <si>
    <t>PTA26</t>
  </si>
  <si>
    <t>GPIO[26]</t>
  </si>
  <si>
    <t>WKPU[35]</t>
  </si>
  <si>
    <t>GPIO[26]/eMIOS_1_CH[9]_H/LPSPI1_PCS0/LPSPI0_PCS0/FXIO_D1/eMIOS_2_CH[9]_H/EMAC_PPS0/WKPU[35]</t>
  </si>
  <si>
    <t>U13</t>
  </si>
  <si>
    <t>PTB30</t>
  </si>
  <si>
    <t>GPIO[62]</t>
  </si>
  <si>
    <t xml:space="preserve">GPIO[62]/FXIO_D11/HSE_TAMPER_LOOP_OUT0 </t>
  </si>
  <si>
    <t>T14</t>
  </si>
  <si>
    <t>PTB31</t>
  </si>
  <si>
    <t>GPIO[63]</t>
  </si>
  <si>
    <t>GPIO[63]/HSE_TAMPER_EXTIN0/EIRQ[15]</t>
  </si>
  <si>
    <t>U15</t>
  </si>
  <si>
    <t>PTC22</t>
  </si>
  <si>
    <t>GPIO[86]</t>
  </si>
  <si>
    <t>GPIO[86]/eMIOS_0_CH[8]_X</t>
  </si>
  <si>
    <t>L8</t>
  </si>
  <si>
    <t>D14</t>
  </si>
  <si>
    <t>D9</t>
  </si>
  <si>
    <t>T16</t>
  </si>
  <si>
    <t>T7</t>
  </si>
  <si>
    <t>T10</t>
  </si>
  <si>
    <t>J4</t>
  </si>
  <si>
    <t>J14</t>
  </si>
  <si>
    <t>J1</t>
  </si>
  <si>
    <t>P4</t>
  </si>
  <si>
    <t>P14</t>
  </si>
  <si>
    <t>TEST</t>
  </si>
  <si>
    <t>POR_FROM_PAD</t>
  </si>
  <si>
    <t>VPP0</t>
  </si>
  <si>
    <t>VPP1</t>
  </si>
  <si>
    <t>SEAL</t>
  </si>
  <si>
    <t>Port</t>
  </si>
  <si>
    <t>CR</t>
  </si>
  <si>
    <t>SSS</t>
  </si>
  <si>
    <t>Function</t>
  </si>
  <si>
    <t>Module</t>
  </si>
  <si>
    <t>Description</t>
  </si>
  <si>
    <t>Direction</t>
  </si>
  <si>
    <t>Pad Type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</si>
  <si>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</si>
  <si>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</si>
  <si>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</si>
  <si>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</si>
  <si>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</si>
  <si>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</si>
  <si>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</si>
  <si>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</si>
  <si>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</si>
  <si>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</si>
  <si>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</si>
  <si>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</si>
  <si>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</si>
  <si>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</si>
  <si>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</si>
  <si>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</si>
  <si>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</si>
  <si>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SSS[2:0]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</si>
  <si>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</si>
  <si>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</si>
  <si>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</si>
  <si>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</si>
  <si>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</si>
  <si>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</si>
  <si>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</si>
  <si>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</si>
  <si>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</si>
  <si>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</si>
  <si>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</t>
  </si>
  <si>
    <t>'00000000000000000000000000000000'</t>
  </si>
  <si>
    <t>'00000000001010110010100000100111'</t>
  </si>
  <si>
    <t>0000_0001</t>
  </si>
  <si>
    <t>LPSPI4</t>
  </si>
  <si>
    <t>Peripheral Chip Select 2</t>
  </si>
  <si>
    <t>O</t>
  </si>
  <si>
    <t>0000_0010</t>
  </si>
  <si>
    <t>eMIOS_0</t>
  </si>
  <si>
    <t>eMIOS Channel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</si>
  <si>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</si>
  <si>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</si>
  <si>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</si>
  <si>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</si>
  <si>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</si>
  <si>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</si>
  <si>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</si>
  <si>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</si>
  <si>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</si>
  <si>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</si>
  <si>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</si>
  <si>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</si>
  <si>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</si>
  <si>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</si>
  <si>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ADC0_S8</t>
  </si>
  <si>
    <t>ADC0</t>
  </si>
  <si>
    <t>ADC Standard Input</t>
  </si>
  <si>
    <t>I</t>
  </si>
  <si>
    <t>CMP1_IN0</t>
  </si>
  <si>
    <t>CMP1</t>
  </si>
  <si>
    <t>Comparator Input Signal</t>
  </si>
  <si>
    <t>SIUL_IMCR528</t>
  </si>
  <si>
    <t>External Interrupt</t>
  </si>
  <si>
    <t>SIUL_IMCR577</t>
  </si>
  <si>
    <t>SIUL_IMCR592</t>
  </si>
  <si>
    <t>SIUL_IMCR666</t>
  </si>
  <si>
    <t>SIUL_IMCR740</t>
  </si>
  <si>
    <t>SIUL_IMCR769</t>
  </si>
  <si>
    <t>SIUL_IMCR872</t>
  </si>
  <si>
    <t>LPUART0</t>
  </si>
  <si>
    <t>Clear To Send (bar)</t>
  </si>
  <si>
    <t>SIUL_MSCR1</t>
  </si>
  <si>
    <t>Peripheral Chip Select 1</t>
  </si>
  <si>
    <t>Request To Send</t>
  </si>
  <si>
    <t>Peripheral Chip Select 6</t>
  </si>
  <si>
    <t>ADC0_S9</t>
  </si>
  <si>
    <t>CMP1_IN1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</si>
  <si>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</si>
  <si>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</si>
  <si>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</si>
  <si>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</si>
  <si>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</si>
  <si>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</si>
  <si>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</si>
  <si>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SIUL_IMCR768</t>
  </si>
  <si>
    <t>SIUL_MSCR2</t>
  </si>
  <si>
    <t>DCF</t>
  </si>
  <si>
    <t>FCCU</t>
  </si>
  <si>
    <t>FCCU Error 0 Output</t>
  </si>
  <si>
    <t>LPSPI5</t>
  </si>
  <si>
    <t>LPSPI Serial Data Input</t>
  </si>
  <si>
    <t>ADC1_X[0]</t>
  </si>
  <si>
    <t>ADC1</t>
  </si>
  <si>
    <t>ADC External Input</t>
  </si>
  <si>
    <t>WKPU[0]</t>
  </si>
  <si>
    <t>CMP1_IN2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</si>
  <si>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</si>
  <si>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</si>
  <si>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</si>
  <si>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</si>
  <si>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</si>
  <si>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</si>
  <si>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</si>
  <si>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</si>
  <si>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</si>
  <si>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SIUL_IMCR779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</si>
  <si>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</si>
  <si>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</si>
  <si>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</si>
  <si>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</si>
  <si>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</si>
  <si>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</si>
  <si>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</si>
  <si>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</si>
  <si>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</si>
  <si>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</si>
  <si>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SIUL_IMCR778</t>
  </si>
  <si>
    <t>SIUL_IMCR875</t>
  </si>
  <si>
    <t>SIUL_MSCR4</t>
  </si>
  <si>
    <t>GPIO-STANDARD-PLUS</t>
  </si>
  <si>
    <t>1</t>
  </si>
  <si>
    <t>111</t>
  </si>
  <si>
    <t>'00000000000010000010100000100111'</t>
  </si>
  <si>
    <t>'00000000001010110010100100100111'</t>
  </si>
  <si>
    <t>CMP0</t>
  </si>
  <si>
    <t>Comparator Output trigger</t>
  </si>
  <si>
    <t>JTAG</t>
  </si>
  <si>
    <t>JTAG Test Mode Select</t>
  </si>
  <si>
    <t>SIUL_IMCR532</t>
  </si>
  <si>
    <t>SIUL_IMCR670</t>
  </si>
  <si>
    <t>0000_1000</t>
  </si>
  <si>
    <t>SIUL_IMCR698</t>
  </si>
  <si>
    <t>SIUL_MSCR5</t>
  </si>
  <si>
    <t>LOW</t>
  </si>
  <si>
    <t>'00000000001010110010100101100111'</t>
  </si>
  <si>
    <t>SYSTEM</t>
  </si>
  <si>
    <t>Reset I/O</t>
  </si>
  <si>
    <t>SIUL_IMCR533</t>
  </si>
  <si>
    <t>SIUL_MSCR6</t>
  </si>
  <si>
    <t>LPSPI3</t>
  </si>
  <si>
    <t>WKPU[15]</t>
  </si>
  <si>
    <t>ADC0_S18</t>
  </si>
  <si>
    <t>SIUL_IMCR512</t>
  </si>
  <si>
    <t>CAN0</t>
  </si>
  <si>
    <t>CAN Rx channel</t>
  </si>
  <si>
    <t>SIUL_IMCR534</t>
  </si>
  <si>
    <t>SIUL_IMCR605</t>
  </si>
  <si>
    <t>SIUL_IMCR683</t>
  </si>
  <si>
    <t>SIUL_IMCR702</t>
  </si>
  <si>
    <t>LPUART3</t>
  </si>
  <si>
    <t>SIUL_IMCR745</t>
  </si>
  <si>
    <t>SIUL_IMCR761</t>
  </si>
  <si>
    <t>SIUL_IMCR873</t>
  </si>
  <si>
    <t>LPUART1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</si>
  <si>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</si>
  <si>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</si>
  <si>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</si>
  <si>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</si>
  <si>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</si>
  <si>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</si>
  <si>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</si>
  <si>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SIUL_MSCR8</t>
  </si>
  <si>
    <t>LPSPI2</t>
  </si>
  <si>
    <t>LPSPI Serial Data Output</t>
  </si>
  <si>
    <t>eMIOS_2</t>
  </si>
  <si>
    <t>WKPU[23]</t>
  </si>
  <si>
    <t>ADC0_P2</t>
  </si>
  <si>
    <t>ADC Precise Input</t>
  </si>
  <si>
    <t>SIUL_IMCR544</t>
  </si>
  <si>
    <t>SIUL_IMCR604</t>
  </si>
  <si>
    <t>SIUL_IMCR631</t>
  </si>
  <si>
    <t>SIUL_IMCR701</t>
  </si>
  <si>
    <t>LPUART2</t>
  </si>
  <si>
    <t>SIUL_IMCR759</t>
  </si>
  <si>
    <t>SIUL_MSCR9</t>
  </si>
  <si>
    <t>Peripheral Chip Select 0</t>
  </si>
  <si>
    <t>CMP2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</si>
  <si>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</si>
  <si>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</si>
  <si>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</si>
  <si>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</si>
  <si>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</si>
  <si>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</si>
  <si>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</si>
  <si>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SIUL_MSCR10</t>
  </si>
  <si>
    <t>GPIO-MEDIUM</t>
  </si>
  <si>
    <t>JTAG_TDO</t>
  </si>
  <si>
    <t>'00000000000000000000000100100111'</t>
  </si>
  <si>
    <t>'00000000001010110110100100100111'</t>
  </si>
  <si>
    <t>JTAG/TRACEnoETM</t>
  </si>
  <si>
    <t>JTAG Test Data Output/Trace Output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</si>
  <si>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</si>
  <si>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</si>
  <si>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</si>
  <si>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</si>
  <si>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</si>
  <si>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</si>
  <si>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</si>
  <si>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</si>
  <si>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</si>
  <si>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</si>
  <si>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</si>
  <si>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</si>
  <si>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</si>
  <si>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</si>
  <si>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</si>
  <si>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</si>
  <si>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</si>
  <si>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</si>
  <si>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</si>
  <si>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SIUL_IMCR710</t>
  </si>
  <si>
    <t>LPUART11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</si>
  <si>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</si>
  <si>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</si>
  <si>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</si>
  <si>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</si>
  <si>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</si>
  <si>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</si>
  <si>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</si>
  <si>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</si>
  <si>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</si>
  <si>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</si>
  <si>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SIUL_IMCR886</t>
  </si>
  <si>
    <t>SIUL_MSCR14</t>
  </si>
  <si>
    <t>Peripheral Chip Select 3</t>
  </si>
  <si>
    <t>SIUL_IMCR550</t>
  </si>
  <si>
    <t>SIUL_IMCR596</t>
  </si>
  <si>
    <t>SIUL_IMCR642</t>
  </si>
  <si>
    <t>SIUL_IMCR678</t>
  </si>
  <si>
    <t>SIUL_IMCR747</t>
  </si>
  <si>
    <t>SIUL_IMCR775</t>
  </si>
  <si>
    <t>SIUL_MSCR15</t>
  </si>
  <si>
    <t>ADC1_P7</t>
  </si>
  <si>
    <t>WKPU[20]</t>
  </si>
  <si>
    <t>SIUL_IMCR551</t>
  </si>
  <si>
    <t>SIUL_IMCR570</t>
  </si>
  <si>
    <t>SIUL_IMCR695</t>
  </si>
  <si>
    <t>SIUL_IMCR705</t>
  </si>
  <si>
    <t>LPUART6</t>
  </si>
  <si>
    <t>SIUL_IMCR736</t>
  </si>
  <si>
    <t>SIUL_IMCR756</t>
  </si>
  <si>
    <t>SIUL_IMCR774</t>
  </si>
  <si>
    <t>SIUL_MSCR16</t>
  </si>
  <si>
    <t>ADC1_S13</t>
  </si>
  <si>
    <t>WKPU[31]</t>
  </si>
  <si>
    <t>SIUL_IMCR571</t>
  </si>
  <si>
    <t>SIUL_IMCR694</t>
  </si>
  <si>
    <t>SIUL_IMCR737</t>
  </si>
  <si>
    <t>SIUL_IMCR746</t>
  </si>
  <si>
    <t>SIUL_IMCR770</t>
  </si>
  <si>
    <t>SIUL_IMCR881</t>
  </si>
  <si>
    <t>SIUL_MSCR17</t>
  </si>
  <si>
    <t>LPUART4</t>
  </si>
  <si>
    <t>ADC2</t>
  </si>
  <si>
    <t>SIUL_IMCR566</t>
  </si>
  <si>
    <t>SIUL_IMCR766</t>
  </si>
  <si>
    <t>SIUL_IMCR879</t>
  </si>
  <si>
    <t>SIUL_MSCR18</t>
  </si>
  <si>
    <t>SIUL_IMCR608</t>
  </si>
  <si>
    <t>SIUL_IMCR624</t>
  </si>
  <si>
    <t>SIUL_IMCR752</t>
  </si>
  <si>
    <t>SIUL_IMCR868</t>
  </si>
  <si>
    <t>Trigger Mux Input</t>
  </si>
  <si>
    <t>SIUL_IMCR876</t>
  </si>
  <si>
    <t>SIUL_MSCR19</t>
  </si>
  <si>
    <t>SIUL_IMCR625</t>
  </si>
  <si>
    <t>SIUL_IMCR700</t>
  </si>
  <si>
    <t>SIUL_IMCR869</t>
  </si>
  <si>
    <t>SIUL_MSCR20</t>
  </si>
  <si>
    <t>ADC2_P2</t>
  </si>
  <si>
    <t>WKPU[59]</t>
  </si>
  <si>
    <t>SIUL_IMCR626</t>
  </si>
  <si>
    <t>SIUL_IMCR870</t>
  </si>
  <si>
    <t>SIUL_MSCR21</t>
  </si>
  <si>
    <t>SIUL_IMCR627</t>
  </si>
  <si>
    <t>SIUL_IMCR755</t>
  </si>
  <si>
    <t>SIUL_IMCR871</t>
  </si>
  <si>
    <t>SIUL_MSCR22</t>
  </si>
  <si>
    <t>SIUL_MSCR23</t>
  </si>
  <si>
    <t>SIUL_IMCR598</t>
  </si>
  <si>
    <t>SIUL_MSCR24</t>
  </si>
  <si>
    <t>GPI</t>
  </si>
  <si>
    <t>'00000000000010110010100100100111'</t>
  </si>
  <si>
    <t>OSC32K</t>
  </si>
  <si>
    <t>External Oscillator Output</t>
  </si>
  <si>
    <t>SIUL_IMCR599</t>
  </si>
  <si>
    <t>SIUL_MSCR25</t>
  </si>
  <si>
    <t>OSC32K_EXTAL</t>
  </si>
  <si>
    <t>External Oscillator Input</t>
  </si>
  <si>
    <t>WKPU[34]</t>
  </si>
  <si>
    <t>SIUL_IMCR600</t>
  </si>
  <si>
    <t>SIUL_IMCR632</t>
  </si>
  <si>
    <t>SIUL_MSCR26</t>
  </si>
  <si>
    <t>EMAC</t>
  </si>
  <si>
    <t>ENET 1588 Timer Channel</t>
  </si>
  <si>
    <t>SIUL_IMCR601</t>
  </si>
  <si>
    <t>SIUL_IMCR633</t>
  </si>
  <si>
    <t>SIUL_IMCR656</t>
  </si>
  <si>
    <t>SIUL_IMCR733</t>
  </si>
  <si>
    <t>SIUL_MSCR27</t>
  </si>
  <si>
    <t>SIUL_IMCR602</t>
  </si>
  <si>
    <t>SIUL_IMCR634</t>
  </si>
  <si>
    <t>SIUL_IMCR657</t>
  </si>
  <si>
    <t>0000_1001</t>
  </si>
  <si>
    <t>SIUL_MSCR28</t>
  </si>
  <si>
    <t>SIUL_IMCR635</t>
  </si>
  <si>
    <t>SIUL_MSCR29</t>
  </si>
  <si>
    <t>SIUL_IMCR636</t>
  </si>
  <si>
    <t>SIUL_IMCR658</t>
  </si>
  <si>
    <t>SIUL_MSCR30</t>
  </si>
  <si>
    <t>SIUL_IMCR637</t>
  </si>
  <si>
    <t>SIUL_IMCR743</t>
  </si>
  <si>
    <t>SIUL_MSCR31</t>
  </si>
  <si>
    <t>SIUL_IMCR606</t>
  </si>
  <si>
    <t>SIUL_MSCR32</t>
  </si>
  <si>
    <t>LPI2C0</t>
  </si>
  <si>
    <t>LPI2C Secondary Data I/O</t>
  </si>
  <si>
    <t>LCU1</t>
  </si>
  <si>
    <t>HSE</t>
  </si>
  <si>
    <t>HSE External Tamper Output</t>
  </si>
  <si>
    <t>ADC0_S14</t>
  </si>
  <si>
    <t>WKPU[7]</t>
  </si>
  <si>
    <t>SIUL_IMCR536</t>
  </si>
  <si>
    <t>SIUL_IMCR563</t>
  </si>
  <si>
    <t>SIUL_IMCR727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</si>
  <si>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</si>
  <si>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</si>
  <si>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</si>
  <si>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</si>
  <si>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</si>
  <si>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</si>
  <si>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</si>
  <si>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SIUL_IMCR855</t>
  </si>
  <si>
    <t>HSE Tamper External Input</t>
  </si>
  <si>
    <t>SIUL_MSCR34</t>
  </si>
  <si>
    <t>ADC Mux Output</t>
  </si>
  <si>
    <t>SAI0</t>
  </si>
  <si>
    <t>Synchronous Audio Interface Tx/Rx Data</t>
  </si>
  <si>
    <t>SIUL_IMCR516</t>
  </si>
  <si>
    <t>CAN4</t>
  </si>
  <si>
    <t>SIUL_IMCR538</t>
  </si>
  <si>
    <t>SIUL_IMCR568</t>
  </si>
  <si>
    <t>SIUL_IMCR682</t>
  </si>
  <si>
    <t>SIUL_IMCR708</t>
  </si>
  <si>
    <t>LPUART9</t>
  </si>
  <si>
    <t>SIUL_IMCR758</t>
  </si>
  <si>
    <t>SIUL_IMCR828</t>
  </si>
  <si>
    <t>SIUL_IMCR859</t>
  </si>
  <si>
    <t>SIUL_MSCR35</t>
  </si>
  <si>
    <t>SIUL_IMCR539</t>
  </si>
  <si>
    <t>SIUL_IMCR681</t>
  </si>
  <si>
    <t>SIUL_IMCR832</t>
  </si>
  <si>
    <t>Synchronous Audio Interface</t>
  </si>
  <si>
    <t>SIUL_IMCR858</t>
  </si>
  <si>
    <t>SIUL_IMCR884</t>
  </si>
  <si>
    <t>SIUL_MSCR36</t>
  </si>
  <si>
    <t>ENET Transmit Data</t>
  </si>
  <si>
    <t>ENET Control data to/from PHY</t>
  </si>
  <si>
    <t>SIUL_IMCR540</t>
  </si>
  <si>
    <t>SIUL_IMCR564</t>
  </si>
  <si>
    <t>SIUL_IMCR803</t>
  </si>
  <si>
    <t>SIUL_IMCR857</t>
  </si>
  <si>
    <t>SIUL_MSCR37</t>
  </si>
  <si>
    <t>External Clock Output</t>
  </si>
  <si>
    <t>ENET clock for control data transfer to PHY</t>
  </si>
  <si>
    <t>SIUL_IMCR541</t>
  </si>
  <si>
    <t>SIUL_IMCR565</t>
  </si>
  <si>
    <t>SIUL_IMCR856</t>
  </si>
  <si>
    <t>SIUL_MSCR40</t>
  </si>
  <si>
    <t>CMP2_IN3</t>
  </si>
  <si>
    <t>ADC0_X[0]</t>
  </si>
  <si>
    <t>WKPU[25]</t>
  </si>
  <si>
    <t>SIUL_IMCR542</t>
  </si>
  <si>
    <t>SIUL_IMCR607</t>
  </si>
  <si>
    <t>SIUL_IMCR693</t>
  </si>
  <si>
    <t>SIUL_IMCR738</t>
  </si>
  <si>
    <t>SIUL_IMCR767</t>
  </si>
  <si>
    <t>SIUL_MSCR41</t>
  </si>
  <si>
    <t>CMP2_IN2</t>
  </si>
  <si>
    <t>ADC0_X[1]</t>
  </si>
  <si>
    <t>WKPU[17]</t>
  </si>
  <si>
    <t>SIUL_IMCR543</t>
  </si>
  <si>
    <t>SIUL_IMCR692</t>
  </si>
  <si>
    <t>SIUL_IMCR773</t>
  </si>
  <si>
    <t>SIUL_MSCR42</t>
  </si>
  <si>
    <t>CMP2_IN1</t>
  </si>
  <si>
    <t>ADC0_X[2]</t>
  </si>
  <si>
    <t>SIUL_IMCR552</t>
  </si>
  <si>
    <t>SIUL_IMCR609</t>
  </si>
  <si>
    <t>SIUL_IMCR691</t>
  </si>
  <si>
    <t>SIUL_IMCR771</t>
  </si>
  <si>
    <t>SIUL_MSCR43</t>
  </si>
  <si>
    <t>CMP2_IN0</t>
  </si>
  <si>
    <t>ADC0_X[3]</t>
  </si>
  <si>
    <t>WKPU[16]</t>
  </si>
  <si>
    <t>SIUL_IMCR553</t>
  </si>
  <si>
    <t>SIUL_IMCR610</t>
  </si>
  <si>
    <t>SIUL_IMCR690</t>
  </si>
  <si>
    <t>SIUL_IMCR723</t>
  </si>
  <si>
    <t>LPI2C Host Request Input</t>
  </si>
  <si>
    <t>SIUL_IMCR772</t>
  </si>
  <si>
    <t>SIUL_MSCR44</t>
  </si>
  <si>
    <t>ADC1_X[1]</t>
  </si>
  <si>
    <t>WKPU[12]</t>
  </si>
  <si>
    <t>SIUL_IMCR554</t>
  </si>
  <si>
    <t>SIUL_IMCR560</t>
  </si>
  <si>
    <t>SIUL_IMCR689</t>
  </si>
  <si>
    <t>SIUL_IMCR707</t>
  </si>
  <si>
    <t>LPUART8</t>
  </si>
  <si>
    <t>SIUL_IMCR763</t>
  </si>
  <si>
    <t>SIUL_MSCR45</t>
  </si>
  <si>
    <t>ADC1_S8</t>
  </si>
  <si>
    <t>ADC2_S8</t>
  </si>
  <si>
    <t>WKPU[11]</t>
  </si>
  <si>
    <t>SIUL_IMCR555</t>
  </si>
  <si>
    <t>SIUL_IMCR561</t>
  </si>
  <si>
    <t>SIUL_IMCR688</t>
  </si>
  <si>
    <t>SIUL_IMCR762</t>
  </si>
  <si>
    <t>SIUL_IMCR883</t>
  </si>
  <si>
    <t>SIUL_MSCR46</t>
  </si>
  <si>
    <t>ADC1_S9</t>
  </si>
  <si>
    <t>SIUL_IMCR556</t>
  </si>
  <si>
    <t>SIUL_IMCR562</t>
  </si>
  <si>
    <t>SIUL_IMCR687</t>
  </si>
  <si>
    <t>SIUL_IMCR706</t>
  </si>
  <si>
    <t>LPUART7</t>
  </si>
  <si>
    <t>SIUL_MSCR47</t>
  </si>
  <si>
    <t>ADC1_S11</t>
  </si>
  <si>
    <t>WKPU[33]</t>
  </si>
  <si>
    <t>SIUL_IMCR557</t>
  </si>
  <si>
    <t>SIUL_IMCR686</t>
  </si>
  <si>
    <t>SIUL_IMCR882</t>
  </si>
  <si>
    <t>SIUL_MSCR48</t>
  </si>
  <si>
    <t>WKPU[13]</t>
  </si>
  <si>
    <t>ADC1_S12</t>
  </si>
  <si>
    <t>SIUL_IMCR558</t>
  </si>
  <si>
    <t>SIUL_IMCR685</t>
  </si>
  <si>
    <t>SIUL_MSCR49</t>
  </si>
  <si>
    <t>ADC1_X[2]</t>
  </si>
  <si>
    <t>WKPU[14]</t>
  </si>
  <si>
    <t>SIUL_IMCR559</t>
  </si>
  <si>
    <t>SIUL_IMCR684</t>
  </si>
  <si>
    <t>SIUL_IMCR703</t>
  </si>
  <si>
    <t>SIUL_MSCR50</t>
  </si>
  <si>
    <t>LPUART13</t>
  </si>
  <si>
    <t>SIUL_IMCR638</t>
  </si>
  <si>
    <t>SIUL_IMCR888</t>
  </si>
  <si>
    <t>SIUL_MSCR51</t>
  </si>
  <si>
    <t>SIUL_IMCR639</t>
  </si>
  <si>
    <t>SIUL_IMCR712</t>
  </si>
  <si>
    <t>SIUL_MSCR52</t>
  </si>
  <si>
    <t>LPUART14</t>
  </si>
  <si>
    <t>SIUL_IMCR640</t>
  </si>
  <si>
    <t>SIUL_IMCR889</t>
  </si>
  <si>
    <t>SIUL_MSCR53</t>
  </si>
  <si>
    <t>SIUL_IMCR641</t>
  </si>
  <si>
    <t>SIUL_IMCR713</t>
  </si>
  <si>
    <t>SIUL_MSCR54</t>
  </si>
  <si>
    <t>SIUL_IMCR679</t>
  </si>
  <si>
    <t>SIUL_IMCR802</t>
  </si>
  <si>
    <t>ENET MII Carrier Sense</t>
  </si>
  <si>
    <t>SIUL_MSCR55</t>
  </si>
  <si>
    <t>SIUL_IMCR643</t>
  </si>
  <si>
    <t>SIUL_IMCR801</t>
  </si>
  <si>
    <t>ENET MII Collision detected</t>
  </si>
  <si>
    <t>SIUL_MSCR56</t>
  </si>
  <si>
    <t>SIUL_IMCR644</t>
  </si>
  <si>
    <t>SIUL_MSCR57</t>
  </si>
  <si>
    <t>LPUART15</t>
  </si>
  <si>
    <t>SIUL_IMCR613</t>
  </si>
  <si>
    <t>SIUL_IMCR645</t>
  </si>
  <si>
    <t>SIUL_IMCR890</t>
  </si>
  <si>
    <t>SIUL_MSCR58</t>
  </si>
  <si>
    <t>SIUL_IMCR614</t>
  </si>
  <si>
    <t>SIUL_IMCR646</t>
  </si>
  <si>
    <t>SIUL_IMCR714</t>
  </si>
  <si>
    <t>SIUL_MSCR59</t>
  </si>
  <si>
    <t>LPUART5</t>
  </si>
  <si>
    <t>SIUL_IMCR615</t>
  </si>
  <si>
    <t>SIUL_IMCR647</t>
  </si>
  <si>
    <t>SIUL_IMCR880</t>
  </si>
  <si>
    <t>SIUL_MSCR60</t>
  </si>
  <si>
    <t>SIUL_IMCR659</t>
  </si>
  <si>
    <t>SIUL_IMCR704</t>
  </si>
  <si>
    <t>SIUL_MSCR61</t>
  </si>
  <si>
    <t>SIUL_IMCR674</t>
  </si>
  <si>
    <t>SIUL_IMCR757</t>
  </si>
  <si>
    <t>SIUL_IMCR829</t>
  </si>
  <si>
    <t>SIUL_MSCR62</t>
  </si>
  <si>
    <t>SIUL_IMCR675</t>
  </si>
  <si>
    <t>SIUL_MSCR63</t>
  </si>
  <si>
    <t>SIUL_MSCR64</t>
  </si>
  <si>
    <t>CAN3</t>
  </si>
  <si>
    <t>SIUL_IMCR806</t>
  </si>
  <si>
    <t>ENET Receive Data</t>
  </si>
  <si>
    <t>SIUL_IMCR807</t>
  </si>
  <si>
    <t>SIUL_IMCR808</t>
  </si>
  <si>
    <t>ENET Transmit Clock</t>
  </si>
  <si>
    <t>SIUL_MSCR65</t>
  </si>
  <si>
    <t>SIUL_IMCR515</t>
  </si>
  <si>
    <t>SIUL_IMCR812</t>
  </si>
  <si>
    <t>ENET MII Receive Clock</t>
  </si>
  <si>
    <t>SIUL_MSCR66</t>
  </si>
  <si>
    <t>GPIO-FAST</t>
  </si>
  <si>
    <t>'00000000000000000100000000000000'</t>
  </si>
  <si>
    <t>TRACE</t>
  </si>
  <si>
    <t>ETM Trace Clock</t>
  </si>
  <si>
    <t>QuadSPI</t>
  </si>
  <si>
    <t>QuadSPI Serial data for serial flash device A (fast)</t>
  </si>
  <si>
    <t>SIUL_IMCR735</t>
  </si>
  <si>
    <t>SIUL_IMCR820</t>
  </si>
  <si>
    <t>SIUL_MSCR67</t>
  </si>
  <si>
    <t>QuadSPI Chip select for serial flash device A</t>
  </si>
  <si>
    <t>SIUL_MSCR68</t>
  </si>
  <si>
    <t>JTAG_TCLK/SWD_CLK</t>
  </si>
  <si>
    <t>'00000000000010000010000000000000'</t>
  </si>
  <si>
    <t>SIUL_IMCR696</t>
  </si>
  <si>
    <t>JTAG Test Clock Input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</si>
  <si>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</si>
  <si>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</si>
  <si>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</si>
  <si>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</si>
  <si>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</si>
  <si>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</si>
  <si>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LPI2C1</t>
  </si>
  <si>
    <t>SIUL_MSCR70</t>
  </si>
  <si>
    <t>LPI2C Data I/O</t>
  </si>
  <si>
    <t>WKPU[3]</t>
  </si>
  <si>
    <t>ADC1_S18</t>
  </si>
  <si>
    <t>SIUL_IMCR514</t>
  </si>
  <si>
    <t>CAN2</t>
  </si>
  <si>
    <t>SIUL_IMCR731</t>
  </si>
  <si>
    <t>SIUL_MSCR71</t>
  </si>
  <si>
    <t>LPI2C Clock I/O</t>
  </si>
  <si>
    <t>WKPU[2]</t>
  </si>
  <si>
    <t>ADC1_S16</t>
  </si>
  <si>
    <t>SIUL_IMCR729</t>
  </si>
  <si>
    <t>SIUL_MSCR72</t>
  </si>
  <si>
    <t>SIUL_IMCR676</t>
  </si>
  <si>
    <t>SIUL_IMCR724</t>
  </si>
  <si>
    <t>SIUL_IMCR741</t>
  </si>
  <si>
    <t>SIUL_MSCR73</t>
  </si>
  <si>
    <t>ADC0_S13</t>
  </si>
  <si>
    <t>WKPU[10]</t>
  </si>
  <si>
    <t>SIUL_IMCR677</t>
  </si>
  <si>
    <t>SIUL_IMCR726</t>
  </si>
  <si>
    <t>SIUL_IMCR742</t>
  </si>
  <si>
    <t>SIUL_MSCR74</t>
  </si>
  <si>
    <t>CAN5</t>
  </si>
  <si>
    <t>SIUL_IMCR754</t>
  </si>
  <si>
    <t>SIUL_IMCR867</t>
  </si>
  <si>
    <t>SIUL_MSCR75</t>
  </si>
  <si>
    <t>WKPU[18]</t>
  </si>
  <si>
    <t>ADC0_S17</t>
  </si>
  <si>
    <t>SIUL_IMCR517</t>
  </si>
  <si>
    <t>SIUL_IMCR866</t>
  </si>
  <si>
    <t>SIUL_MSCR76</t>
  </si>
  <si>
    <t>Synchronous Audio Interface Bit Clock</t>
  </si>
  <si>
    <t>SIUL_IMCR582</t>
  </si>
  <si>
    <t>SIUL_IMCR709</t>
  </si>
  <si>
    <t>LPUART10</t>
  </si>
  <si>
    <t>SIUL_IMCR827</t>
  </si>
  <si>
    <t>SIUL_MSCR77</t>
  </si>
  <si>
    <t>Synchronous Audio Interface Frame Sync</t>
  </si>
  <si>
    <t>SIUL_IMCR583</t>
  </si>
  <si>
    <t>SIUL_IMCR680</t>
  </si>
  <si>
    <t>SIUL_IMCR833</t>
  </si>
  <si>
    <t>SIUL_IMCR885</t>
  </si>
  <si>
    <t>SIUL_MSCR78</t>
  </si>
  <si>
    <t>SIUL_IMCR805</t>
  </si>
  <si>
    <t>ENET Receive Error</t>
  </si>
  <si>
    <t>SIUL_IMCR814</t>
  </si>
  <si>
    <t>ENET Receive Data (MII mode only)</t>
  </si>
  <si>
    <t>SIUL_IMCR865</t>
  </si>
  <si>
    <t>SIUL_MSCR79</t>
  </si>
  <si>
    <t>SIUL_IMCR804</t>
  </si>
  <si>
    <t>ENET Receive Data Valid</t>
  </si>
  <si>
    <t>SIUL_IMCR813</t>
  </si>
  <si>
    <t>SIUL_IMCR864</t>
  </si>
  <si>
    <t>SIUL_MSCR80</t>
  </si>
  <si>
    <t>SIUL_IMCR732</t>
  </si>
  <si>
    <t>SIUL_IMCR765</t>
  </si>
  <si>
    <t>SIUL_MSCR81</t>
  </si>
  <si>
    <t>SIUL_IMCR730</t>
  </si>
  <si>
    <t>SIUL_IMCR764</t>
  </si>
  <si>
    <t>SIUL_MSCR82</t>
  </si>
  <si>
    <t>SIUL_IMCR830</t>
  </si>
  <si>
    <t>SIUL_MSCR83</t>
  </si>
  <si>
    <t>SIUL_IMCR831</t>
  </si>
  <si>
    <t>SIUL_MSCR84</t>
  </si>
  <si>
    <t>SIUL_MSCR85</t>
  </si>
  <si>
    <t>SIUL_MSCR86</t>
  </si>
  <si>
    <t>SIUL_MSCR87</t>
  </si>
  <si>
    <t>WKPU[44]</t>
  </si>
  <si>
    <t>ADC2_S23</t>
  </si>
  <si>
    <t>SIUL_MSCR88</t>
  </si>
  <si>
    <t>LPUART12</t>
  </si>
  <si>
    <t>ADC2_S22</t>
  </si>
  <si>
    <t>WKPU[46]</t>
  </si>
  <si>
    <t>SIUL_IMCR887</t>
  </si>
  <si>
    <t>SIUL_MSCR89</t>
  </si>
  <si>
    <t>ADC0_S20</t>
  </si>
  <si>
    <t>WKPU[45]</t>
  </si>
  <si>
    <t>SIUL_IMCR711</t>
  </si>
  <si>
    <t>SIUL_MSCR90</t>
  </si>
  <si>
    <t>ADC0_S21</t>
  </si>
  <si>
    <t>WKPU[48]</t>
  </si>
  <si>
    <t>SIUL_MSCR91</t>
  </si>
  <si>
    <t>SIUL_MSCR92</t>
  </si>
  <si>
    <t>SIUL_MSCR93</t>
  </si>
  <si>
    <t>SIUL_IMCR628</t>
  </si>
  <si>
    <t>SIUL_MSCR94</t>
  </si>
  <si>
    <t>SIUL_IMCR629</t>
  </si>
  <si>
    <t>SIUL_MSCR95</t>
  </si>
  <si>
    <t>ADC2_S21</t>
  </si>
  <si>
    <t>WKPU[49]</t>
  </si>
  <si>
    <t>SIUL_IMCR630</t>
  </si>
  <si>
    <t>SIUL_MSCR96</t>
  </si>
  <si>
    <t>WKPU[6]</t>
  </si>
  <si>
    <t>ADC0_P1</t>
  </si>
  <si>
    <t>SIUL_MSCR97</t>
  </si>
  <si>
    <t>SIUL_MSCR98</t>
  </si>
  <si>
    <t>WKPU[9]</t>
  </si>
  <si>
    <t>ADC0_S16</t>
  </si>
  <si>
    <t>SIUL_IMCR780</t>
  </si>
  <si>
    <t>SIUL_IMCR861</t>
  </si>
  <si>
    <t>SIUL_MSCR99</t>
  </si>
  <si>
    <t>NMI_b</t>
  </si>
  <si>
    <t>Non Maskable Interrupt</t>
  </si>
  <si>
    <t>WKPU[1]</t>
  </si>
  <si>
    <t>ADC0_S10</t>
  </si>
  <si>
    <t>SIUL_IMCR860</t>
  </si>
  <si>
    <t>SIUL_MSCR100</t>
  </si>
  <si>
    <t>ADC0_S19</t>
  </si>
  <si>
    <t>WKPU[22]</t>
  </si>
  <si>
    <t>SIUL_MSCR101</t>
  </si>
  <si>
    <t>ENET Transmit data (MII mode only)</t>
  </si>
  <si>
    <t>SIUL_IMCR579</t>
  </si>
  <si>
    <t>SIUL_IMCR863</t>
  </si>
  <si>
    <t>SIUL_MSCR102</t>
  </si>
  <si>
    <t>SIUL_MSCR103</t>
  </si>
  <si>
    <t>ETM Trace Data</t>
  </si>
  <si>
    <t>SIUL_IMCR818</t>
  </si>
  <si>
    <t>SIUL_MSCR104</t>
  </si>
  <si>
    <t>SIUL_MSCR105</t>
  </si>
  <si>
    <t>SIUL_MSCR106</t>
  </si>
  <si>
    <t>QuadSPI Serial Clock for serial flash device A (fast)</t>
  </si>
  <si>
    <t>SIUL_IMCR821</t>
  </si>
  <si>
    <t>SIUL_MSCR107</t>
  </si>
  <si>
    <t>ENET Transmit Enable</t>
  </si>
  <si>
    <t>SIUL_IMCR817</t>
  </si>
  <si>
    <t>SIUL_IMCR874</t>
  </si>
  <si>
    <t>SIUL_MSCR108</t>
  </si>
  <si>
    <t>SIUL_IMCR578</t>
  </si>
  <si>
    <t>SIUL_IMCR819</t>
  </si>
  <si>
    <t>SIUL_MSCR109</t>
  </si>
  <si>
    <t>SAI1</t>
  </si>
  <si>
    <t>SIUL_IMCR580</t>
  </si>
  <si>
    <t>SIUL_IMCR835</t>
  </si>
  <si>
    <t>SIUL_MSCR110</t>
  </si>
  <si>
    <t>SIUL_IMCR581</t>
  </si>
  <si>
    <t>SIUL_IMCR836</t>
  </si>
  <si>
    <t>SIUL_MSCR111</t>
  </si>
  <si>
    <t>SIUL_IMCR837</t>
  </si>
  <si>
    <t>SIUL_MSCR112</t>
  </si>
  <si>
    <t>SIUL_MSCR113</t>
  </si>
  <si>
    <t>SIUL_MSCR114</t>
  </si>
  <si>
    <t>SIUL_MSCR115</t>
  </si>
  <si>
    <t>SIUL_MSCR116</t>
  </si>
  <si>
    <t>ADC0_S22</t>
  </si>
  <si>
    <t>WKPU[54]</t>
  </si>
  <si>
    <t>SIUL_MSCR117</t>
  </si>
  <si>
    <t>SIUL_MSCR118</t>
  </si>
  <si>
    <t>SIUL_MSCR119</t>
  </si>
  <si>
    <t>WKPU[50]</t>
  </si>
  <si>
    <t>ADC2_S17</t>
  </si>
  <si>
    <t>SIUL_MSCR120</t>
  </si>
  <si>
    <t>SIUL_MSCR121</t>
  </si>
  <si>
    <t>SIUL_MSCR122</t>
  </si>
  <si>
    <t>SIUL_MSCR123</t>
  </si>
  <si>
    <t>ADC1_S21</t>
  </si>
  <si>
    <t>WKPU[51]</t>
  </si>
  <si>
    <t>SIUL_MSCR124</t>
  </si>
  <si>
    <t>SIUL_MSCR125</t>
  </si>
  <si>
    <t>ADC1_S23</t>
  </si>
  <si>
    <t>WKPU[52]</t>
  </si>
  <si>
    <t>SIUL_IMCR776</t>
  </si>
  <si>
    <t>SIUL_MSCR126</t>
  </si>
  <si>
    <t>SIUL_IMCR777</t>
  </si>
  <si>
    <t>SIUL_MSCR127</t>
  </si>
  <si>
    <t>WKPU[53]</t>
  </si>
  <si>
    <t>ADC2_S14</t>
  </si>
  <si>
    <t>SIUL_MSCR128</t>
  </si>
  <si>
    <t>WKPU[26]</t>
  </si>
  <si>
    <t>ADC1_P2</t>
  </si>
  <si>
    <t>SIUL_MSCR129</t>
  </si>
  <si>
    <t>SIUL_MSCR130</t>
  </si>
  <si>
    <t>WKPU[27]</t>
  </si>
  <si>
    <t>ADC1_P5</t>
  </si>
  <si>
    <t>SIUL_MSCR131</t>
  </si>
  <si>
    <t>SIUL_IMCR862</t>
  </si>
  <si>
    <t>SIUL_MSCR132</t>
  </si>
  <si>
    <t>SIUL_MSCR133</t>
  </si>
  <si>
    <t>WKPU[32]</t>
  </si>
  <si>
    <t>SIUL_MSCR134</t>
  </si>
  <si>
    <t>ADC1_P6</t>
  </si>
  <si>
    <t>WKPU[29]</t>
  </si>
  <si>
    <t>SIUL_MSCR135</t>
  </si>
  <si>
    <t>SIUL_MSCR136</t>
  </si>
  <si>
    <t>SIUL_IMCR834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</si>
  <si>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</si>
  <si>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</si>
  <si>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</si>
  <si>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</si>
  <si>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</si>
  <si>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</si>
  <si>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</si>
  <si>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VRC_CTRL</t>
  </si>
  <si>
    <t>PG</t>
  </si>
  <si>
    <t>PMC Voltage Regulator Control Output</t>
  </si>
  <si>
    <t>ADC1_S19</t>
  </si>
  <si>
    <t>SIUL_MSCR142</t>
  </si>
  <si>
    <t>SIUL_MSCR143</t>
  </si>
  <si>
    <t>SIUL_MSCR144</t>
  </si>
  <si>
    <t>ADC0_P4</t>
  </si>
  <si>
    <t>WKPU[19]</t>
  </si>
  <si>
    <t>SIUL_MSCR145</t>
  </si>
  <si>
    <t>ADC2_S10</t>
  </si>
  <si>
    <t>SIUL_MSCR146</t>
  </si>
  <si>
    <t>ADC2_S11</t>
  </si>
  <si>
    <t>WKPU[55]</t>
  </si>
  <si>
    <t>SIUL_MSCR147</t>
  </si>
  <si>
    <t>SIUL_MSCR148</t>
  </si>
  <si>
    <t>SIUL_MSCR149</t>
  </si>
  <si>
    <t>WKPU[56]</t>
  </si>
  <si>
    <t>ADC2_P3</t>
  </si>
  <si>
    <t>SIUL_MSCR150</t>
  </si>
  <si>
    <t>SIUL_MSCR151</t>
  </si>
  <si>
    <t>WKPU[57]</t>
  </si>
  <si>
    <t>ADC2_P5</t>
  </si>
  <si>
    <t>SIUL_MSCR152</t>
  </si>
  <si>
    <t>0000_1010</t>
  </si>
  <si>
    <t>SIUL_MSCR153</t>
  </si>
  <si>
    <t>WKPU[58]</t>
  </si>
  <si>
    <t>ADC2_P7</t>
  </si>
  <si>
    <t>SIUL_MSCR154</t>
  </si>
  <si>
    <t>SIUL_MSCR155</t>
  </si>
  <si>
    <t>SIUL_MSCR156</t>
  </si>
  <si>
    <t>SIUL_MSCR157</t>
  </si>
  <si>
    <t>SIUL_MSCR158</t>
  </si>
  <si>
    <t>SIUL_MSCR159</t>
  </si>
  <si>
    <t>SIUL_MSCR160</t>
  </si>
  <si>
    <t>SIUL_MSCR161</t>
  </si>
  <si>
    <t>SIUL_MSCR162</t>
  </si>
  <si>
    <t>SIUL_MSCR163</t>
  </si>
  <si>
    <t>SIUL_MSCR164</t>
  </si>
  <si>
    <t>SIUL_MSCR165</t>
  </si>
  <si>
    <t>SIUL_MSCR166</t>
  </si>
  <si>
    <t>SIUL_MSCR167</t>
  </si>
  <si>
    <t>SIUL_MSCR168</t>
  </si>
  <si>
    <t>SIUL_MSCR169</t>
  </si>
  <si>
    <t>SIUL_MSCR170</t>
  </si>
  <si>
    <t>SIUL_MSCR171</t>
  </si>
  <si>
    <t>SIUL_MSCR172</t>
  </si>
  <si>
    <t>SIUL_MSCR173</t>
  </si>
  <si>
    <t>SIUL_MSCR174</t>
  </si>
  <si>
    <t>SIUL_MSCR175</t>
  </si>
  <si>
    <t>SIUL_MSCR176</t>
  </si>
  <si>
    <t>SIUL_MSCR177</t>
  </si>
  <si>
    <t>SIUL_MSCR178</t>
  </si>
  <si>
    <t>SIUL_MSCR179</t>
  </si>
  <si>
    <t>SIUL_MSCR180</t>
  </si>
  <si>
    <t>SIUL_MSCR181</t>
  </si>
  <si>
    <t>0000_1011</t>
  </si>
  <si>
    <t>SIUL_MSCR182</t>
  </si>
  <si>
    <t>SIUL_MSCR183</t>
  </si>
  <si>
    <t>SIUL_MSCR184</t>
  </si>
  <si>
    <t>SIUL_MSCR185</t>
  </si>
  <si>
    <t>SIUL_MSCR186</t>
  </si>
  <si>
    <t>SIUL_MSCR187</t>
  </si>
  <si>
    <t>SIUL_MSCR188</t>
  </si>
  <si>
    <t>SIUL_MSCR189</t>
  </si>
  <si>
    <t>SIUL_MSCR190</t>
  </si>
  <si>
    <t>SIUL_MSCR191</t>
  </si>
  <si>
    <t>SIUL_MSCR192</t>
  </si>
  <si>
    <t>SIUL_MSCR193</t>
  </si>
  <si>
    <t>SIUL_MSCR194</t>
  </si>
  <si>
    <t>SIUL_MSCR195</t>
  </si>
  <si>
    <t>SIUL_MSCR196</t>
  </si>
  <si>
    <t>SIUL_MSCR197</t>
  </si>
  <si>
    <t>SIUL_MSCR198</t>
  </si>
  <si>
    <t>SIUL_MSCR199</t>
  </si>
  <si>
    <t>SIUL_MSCR200</t>
  </si>
  <si>
    <t>SIUL_MSCR201</t>
  </si>
  <si>
    <t>SIUL_MSCR202</t>
  </si>
  <si>
    <t>SIUL_MSCR203</t>
  </si>
  <si>
    <t>SIUL_MSCR204</t>
  </si>
  <si>
    <t>SIUL_MSCR205</t>
  </si>
  <si>
    <t>SIUL_MSCR206</t>
  </si>
  <si>
    <t>SIUL_MSCR207</t>
  </si>
  <si>
    <t>SIUL_MSCR208</t>
  </si>
  <si>
    <t>SIUL_MSCR209</t>
  </si>
  <si>
    <t>SIUL_MSCR210</t>
  </si>
  <si>
    <t>SIUL_MSCR211</t>
  </si>
  <si>
    <t>SIUL_MSCR212</t>
  </si>
  <si>
    <t>SIUL_MSCR213</t>
  </si>
  <si>
    <t>SIUL_MSCR214</t>
  </si>
  <si>
    <t>SIUL_MSCR215</t>
  </si>
  <si>
    <t>SIUL_MSCR216</t>
  </si>
  <si>
    <t>SIUL_MSCR217</t>
  </si>
  <si>
    <t>SIUL_MSCR218</t>
  </si>
  <si>
    <t>SIUL_MSCR219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</si>
  <si>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</si>
  <si>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</si>
  <si>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</si>
  <si>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</si>
  <si>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</si>
  <si>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</si>
  <si>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</si>
  <si>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</si>
  <si>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</si>
  <si>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</si>
  <si>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</si>
  <si>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</si>
  <si>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</si>
  <si>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</si>
  <si>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</si>
  <si>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</si>
  <si>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</si>
  <si>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</si>
  <si>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</si>
  <si>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</si>
  <si>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</si>
  <si>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</si>
  <si>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</si>
  <si>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</si>
  <si>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</si>
  <si>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</si>
  <si>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</si>
  <si>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</si>
  <si>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</si>
  <si>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</si>
  <si>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</si>
  <si>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</si>
  <si>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</si>
  <si>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</si>
  <si>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</si>
  <si>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</si>
  <si>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</si>
  <si>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disable high</t>
  </si>
  <si>
    <t>Package Net</t>
  </si>
  <si>
    <t>ChipTopPort</t>
  </si>
  <si>
    <t>ADC Reference Supply high</t>
  </si>
  <si>
    <t>ADC Reference Supply low</t>
  </si>
  <si>
    <t>Supply Ground</t>
  </si>
  <si>
    <t>Misc Pins</t>
  </si>
  <si>
    <t>OSC</t>
  </si>
  <si>
    <t>External Crystal Input</t>
  </si>
  <si>
    <t>Analog</t>
  </si>
  <si>
    <t>External Crystal Output</t>
  </si>
  <si>
    <t>FXIO_D10
FXIO_D6</t>
  </si>
  <si>
    <t>FXIO_D12
FXIO_D8</t>
  </si>
  <si>
    <t>FXIO_D0
FXIO_D10</t>
  </si>
  <si>
    <t>FXIO_D1
FXIO_D11</t>
  </si>
  <si>
    <t>FXIO_D15
FXIO_D19</t>
  </si>
  <si>
    <t>FXIO_D24
FXIO_D8</t>
  </si>
  <si>
    <t>FXIO_D5
FXIO_D7</t>
  </si>
  <si>
    <t>FXIO_D4
FXIO_D6</t>
  </si>
  <si>
    <t>FXIO_D12
FXIO_D6</t>
  </si>
  <si>
    <t>FXIO_D2
FXIO_D21</t>
  </si>
  <si>
    <t>FXIO_D22
FXIO_D3</t>
  </si>
  <si>
    <t>FXIO_D0
FXIO_D23</t>
  </si>
  <si>
    <t>FXIO_D1
FXIO_D24</t>
  </si>
  <si>
    <t>FXIO_D30
FXIO_D7</t>
  </si>
  <si>
    <t>FXIO_D11
FXIO_D5</t>
  </si>
  <si>
    <t>LPI2C1_SDA
LPI2C1_SDAS</t>
  </si>
  <si>
    <t>RTC</t>
  </si>
  <si>
    <t>SWD</t>
  </si>
  <si>
    <t>LPSPI0_PCS0
LPSPI0_PCS1</t>
  </si>
  <si>
    <t>LPSPI2_PCS0
LPSPI2_PCS2</t>
  </si>
  <si>
    <t>TRACEnoETM</t>
  </si>
  <si>
    <t>TRACEnoETM_SWO</t>
  </si>
  <si>
    <t>EMAC_MII_RMII_MDC
EMAC_PPS2</t>
  </si>
  <si>
    <t>EMAC_MII_RMII_TX_EN
EMAC_PPS3</t>
  </si>
  <si>
    <t>EMAC_MII_RMII_MDC
EMAC_MII_RMII_TXD[0]</t>
  </si>
  <si>
    <t>EMAC_MII_RMII_MDIO
EMAC_MII_RMII_TXD[1]</t>
  </si>
  <si>
    <t>EMAC_MII_RMII_TXD[0]
EMAC_MII_RMII_TXD[1]</t>
  </si>
  <si>
    <t>EMAC_MII_RMII_TX_CLK
EMAC_MII_TXD2
EMAC_MII_TXD3</t>
  </si>
  <si>
    <t>EMAC_MII_RX_CLK
EMAC_MII_TXD2
EMAC_MII_TXD3</t>
  </si>
  <si>
    <t>EMAC_MII_RMII_TX_CLK
EMAC_MII_RMII_TX_EN</t>
  </si>
  <si>
    <t>EMAC_MII_RMII_TX_CLK
EMAC_MII_RMII_TX_EN
EMAC_MII_TXD2</t>
  </si>
  <si>
    <t>EMAC_MII_RX_CLK
EMAC_MII_TXD3</t>
  </si>
  <si>
    <t>EMAC_MII_RMII_RXD[0]
EMAC_MII_RMII_RXD[1]
EMAC_MII_RX_CLK</t>
  </si>
  <si>
    <t>EMAC_MII_RMII_RXD[0]
EMAC_MII_RMII_RXD[1]
EMAC_MII_RMII_TX_CLK</t>
  </si>
  <si>
    <t>EMAC_MII_RMII_RXD[0]
EMAC_MII_RXD2</t>
  </si>
  <si>
    <t>EMAC_MII_RMII_RXD[1]
EMAC_MII_RXD3</t>
  </si>
  <si>
    <t>EMAC_MII_CRS
EMAC_MII_RMII_RX_DV
EMAC_MII_RXD2</t>
  </si>
  <si>
    <t>EMAC_MII_COL
EMAC_MII_RMII_RX_ER
EMAC_MII_RXD3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</si>
  <si>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</si>
  <si>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</si>
  <si>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</si>
  <si>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</si>
  <si>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</si>
  <si>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</si>
  <si>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eMIOS_1_CH[0]_X
eMIOS_1_CH[16]_X</t>
  </si>
  <si>
    <t>FCCU_ERR1
FCCU_ERR_IN1</t>
  </si>
  <si>
    <t>FCCU_ERR0
FCCU_ERR_IN0</t>
  </si>
  <si>
    <t>CTU_0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</si>
  <si>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</si>
  <si>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</si>
  <si>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</si>
  <si>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</si>
  <si>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</si>
  <si>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</si>
  <si>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</si>
  <si>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EIRQ[5]
GPIO[133]</t>
  </si>
  <si>
    <t>EIRQ[4]
GPIO[132]</t>
  </si>
  <si>
    <t>EIRQ[13]
GPIO[142]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</si>
  <si>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</si>
  <si>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</si>
  <si>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</si>
  <si>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</si>
  <si>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</si>
  <si>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</si>
  <si>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</si>
  <si>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</si>
  <si>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</si>
  <si>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</si>
  <si>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</si>
  <si>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</si>
  <si>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</si>
  <si>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</si>
  <si>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</si>
  <si>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</si>
  <si>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</si>
  <si>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</si>
  <si>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</si>
  <si>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</si>
  <si>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</si>
  <si>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</si>
  <si>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</si>
  <si>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</si>
  <si>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</si>
  <si>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</si>
  <si>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</si>
  <si>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</si>
  <si>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</si>
  <si>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</si>
  <si>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</si>
  <si>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</si>
  <si>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</si>
  <si>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</si>
  <si>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</si>
  <si>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</si>
  <si>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</si>
  <si>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</si>
  <si>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</si>
  <si>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</si>
  <si>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</si>
  <si>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</si>
  <si>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</si>
  <si>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</si>
  <si>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</si>
  <si>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</si>
  <si>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</si>
  <si>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</si>
  <si>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</si>
  <si>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</si>
  <si>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</si>
  <si>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</si>
  <si>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</si>
  <si>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</si>
  <si>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</si>
  <si>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</si>
  <si>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</si>
  <si>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</si>
  <si>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</si>
  <si>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</si>
  <si>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</si>
  <si>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</si>
  <si>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</si>
  <si>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</si>
  <si>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</si>
  <si>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</si>
  <si>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</si>
  <si>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</si>
  <si>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</si>
  <si>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</si>
  <si>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</si>
  <si>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</si>
  <si>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EIRQ[0]
GPIO[18]</t>
  </si>
  <si>
    <t>EIRQ[1]
GPIO[19]</t>
  </si>
  <si>
    <t>EIRQ[2]
GPIO[20]</t>
  </si>
  <si>
    <t>EIRQ[3]
GPIO[21]</t>
  </si>
  <si>
    <t>EIRQ[5]
GPI[25]</t>
  </si>
  <si>
    <t>EIRQ[6]
GPIO[28]</t>
  </si>
  <si>
    <t>EIRQ[7]
GPIO[30]</t>
  </si>
  <si>
    <t>EIRQ[8]
GPIO[53]</t>
  </si>
  <si>
    <t>EIRQ[9]
GPIO[54]</t>
  </si>
  <si>
    <t>EIRQ[10]
GPIO[55]</t>
  </si>
  <si>
    <t>EIRQ[11]
GPIO[56]</t>
  </si>
  <si>
    <t>EIRQ[12]
GPIO[57]</t>
  </si>
  <si>
    <t>EIRQ[13]
GPIO[58]</t>
  </si>
  <si>
    <t>EIRQ[14]
GPIO[60]</t>
  </si>
  <si>
    <t>EIRQ[15]
GPIO[63]</t>
  </si>
  <si>
    <t>EIRQ[16]
GPIO[84]</t>
  </si>
  <si>
    <t>EIRQ[17]
GPIO[85]</t>
  </si>
  <si>
    <t>EIRQ[18]
GPIO[87]</t>
  </si>
  <si>
    <t>EIRQ[19]
GPIO[88]</t>
  </si>
  <si>
    <t>EIRQ[20]
GPIO[89]</t>
  </si>
  <si>
    <t>EIRQ[21]
GPIO[90]</t>
  </si>
  <si>
    <t>EIRQ[22]
GPIO[91]</t>
  </si>
  <si>
    <t>EIRQ[23]
GPIO[93]</t>
  </si>
  <si>
    <t>EIRQ[25]
GPIO[116]</t>
  </si>
  <si>
    <t>EIRQ[26]
GPIO[117]</t>
  </si>
  <si>
    <t>EIRQ[27]
GPIO[118]</t>
  </si>
  <si>
    <t>EIRQ[28]
GPIO[119]</t>
  </si>
  <si>
    <t>EIRQ[29]
GPIO[120]</t>
  </si>
  <si>
    <t>EIRQ[30]
GPIO[123]</t>
  </si>
  <si>
    <t>EIRQ[31]
GPIO[124]</t>
  </si>
  <si>
    <t>EIRQ[0]
GPIO[160]</t>
  </si>
  <si>
    <t>EIRQ[1]
GPIO[161]</t>
  </si>
  <si>
    <t>EIRQ[2]
GPIO[162]</t>
  </si>
  <si>
    <t>EIRQ[3]
GPIO[163]</t>
  </si>
  <si>
    <t>EIRQ[4]
GPIO[164]</t>
  </si>
  <si>
    <t>EIRQ[5]
GPIO[165]</t>
  </si>
  <si>
    <t>EIRQ[6]
GPIO[166]</t>
  </si>
  <si>
    <t>EIRQ[7]
GPIO[167]</t>
  </si>
  <si>
    <t>EIRQ[16]
GPIO[168]</t>
  </si>
  <si>
    <t>EIRQ[17]
GPIO[169]</t>
  </si>
  <si>
    <t>EIRQ[18]
GPIO[170]</t>
  </si>
  <si>
    <t>EIRQ[19]
GPIO[171]</t>
  </si>
  <si>
    <t>EIRQ[20]
GPIO[172]</t>
  </si>
  <si>
    <t>EIRQ[21]
GPIO[173]</t>
  </si>
  <si>
    <t>EIRQ[22]
GPIO[174]</t>
  </si>
  <si>
    <t>EIRQ[23]
GPIO[175]</t>
  </si>
  <si>
    <t>EIRQ[8]
GPIO[192]</t>
  </si>
  <si>
    <t>EIRQ[9]
GPIO[193]</t>
  </si>
  <si>
    <t>EIRQ[10]
GPIO[194]</t>
  </si>
  <si>
    <t>EIRQ[11]
GPIO[195]</t>
  </si>
  <si>
    <t>EIRQ[12]
GPIO[196]</t>
  </si>
  <si>
    <t>EIRQ[13]
GPIO[197]</t>
  </si>
  <si>
    <t>EIRQ[14]
GPIO[198]</t>
  </si>
  <si>
    <t>EIRQ[15]
GPIO[199]</t>
  </si>
  <si>
    <t>EIRQ[24]
GPIO[200]</t>
  </si>
  <si>
    <t>EIRQ[25]
GPIO[201]</t>
  </si>
  <si>
    <t>EIRQ[26]
GPIO[202]</t>
  </si>
  <si>
    <t>EIRQ[27]
GPIO[203]</t>
  </si>
  <si>
    <t>EIRQ[28]
GPIO[204]</t>
  </si>
  <si>
    <t>EIRQ[29]
GPIO[205]</t>
  </si>
  <si>
    <t>EIRQ[30]
GPIO[206]</t>
  </si>
  <si>
    <t>EIRQ[31]
GPIO[207]</t>
  </si>
  <si>
    <t>S32K3 pinout S32K344_172hdqfp (package 172hdqfp)</t>
  </si>
  <si>
    <t>NXP Confidential Proprietary</t>
  </si>
  <si>
    <t>S32K3 pinout S32K344_257bga (package 257bga)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</si>
  <si>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</si>
  <si>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</si>
  <si>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</si>
  <si>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</si>
  <si>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</si>
  <si>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</si>
  <si>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</si>
  <si>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</si>
  <si>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</si>
  <si>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</si>
  <si>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</si>
  <si>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</si>
  <si>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</si>
  <si>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</si>
  <si>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</si>
  <si>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T</t>
  </si>
  <si>
    <t>U</t>
  </si>
  <si>
    <t>Ethernet Use Case</t>
  </si>
  <si>
    <t>QUADSPI + ETHERNET USE CASE</t>
  </si>
  <si>
    <t>200Mbps use case</t>
  </si>
  <si>
    <t>Loopback Use case</t>
  </si>
  <si>
    <t>NXP TJA1100
RMII or MII</t>
  </si>
  <si>
    <t>Broadcoam Phy
BCM89810
RMII or MII</t>
  </si>
  <si>
    <t>QSPI +MII 
TJA1100</t>
  </si>
  <si>
    <t>Companion Die
(200 mbps).
MII onlye</t>
  </si>
  <si>
    <t>PORT</t>
  </si>
  <si>
    <t>100HDQFP</t>
  </si>
  <si>
    <t>172 HDQFP</t>
  </si>
  <si>
    <t>257 BGA</t>
  </si>
  <si>
    <t>PAD Type</t>
  </si>
  <si>
    <t>K3 ENET SIGNAL</t>
  </si>
  <si>
    <t>MII_RMII_MDC</t>
  </si>
  <si>
    <t>MII_MDC</t>
  </si>
  <si>
    <t>MII_RMII_MDIO</t>
  </si>
  <si>
    <t>MIII_MDIO</t>
  </si>
  <si>
    <t>MII_MDIO</t>
  </si>
  <si>
    <t>MII_RMII_TX_EN</t>
  </si>
  <si>
    <t>TXEN</t>
  </si>
  <si>
    <t>MII_RMII_MDC/TXD0</t>
  </si>
  <si>
    <t>MII_TXD0</t>
  </si>
  <si>
    <t>MII_RMII_MDIO/TXD1</t>
  </si>
  <si>
    <t>MII_TXD1</t>
  </si>
  <si>
    <t>QSPI_PCSFA</t>
  </si>
  <si>
    <t>MII_RMII_TXD[0]/MII_RMII_TXD[1]</t>
  </si>
  <si>
    <t>MII_RMII_TXD[0]</t>
  </si>
  <si>
    <t>MII_RMII_TXD[1]</t>
  </si>
  <si>
    <t>QSPI_IOFA3</t>
  </si>
  <si>
    <t>MII_TXD[0]</t>
  </si>
  <si>
    <t>MII_RMII_TXD[1]/MII_RMII_TXD[0]</t>
  </si>
  <si>
    <t>QSPI_IOFA1</t>
  </si>
  <si>
    <t>MII_TXD[1]</t>
  </si>
  <si>
    <t>MII_RMII_TX_CLK/MII_TXD2/MII_TXD3</t>
  </si>
  <si>
    <t>MII_TXD2</t>
  </si>
  <si>
    <t>MII_TXD3</t>
  </si>
  <si>
    <t>MII_TX_CLK</t>
  </si>
  <si>
    <t>MII_RX_CLK/ MII_TXD3/MII_TXD2</t>
  </si>
  <si>
    <t>MIII_RX_CLK</t>
  </si>
  <si>
    <t>MII_RX_CLK</t>
  </si>
  <si>
    <t>MII_RMII_TX_EN/MII_RMII_TX_CLK</t>
  </si>
  <si>
    <t>MII_RMII_TX_CLK</t>
  </si>
  <si>
    <t>QSPI_IOFA2</t>
  </si>
  <si>
    <t>MII_TX_EN</t>
  </si>
  <si>
    <t>MII_RMII_TX_CLK/ MII_TXD2/TXEN</t>
  </si>
  <si>
    <t>QSPI_IOFA0</t>
  </si>
  <si>
    <t>MIII_RX_CLK/ MII_TXD3</t>
  </si>
  <si>
    <t>QSPI_SCKFA</t>
  </si>
  <si>
    <t>MII_RMII_RXD[0]/ MII_RMII_RXD[1]/RXCLK</t>
  </si>
  <si>
    <t>MII_RMII_RXD[0]</t>
  </si>
  <si>
    <t>MII_RMII_RXD[1]</t>
  </si>
  <si>
    <t>MIII_RXD[1]</t>
  </si>
  <si>
    <t>MII_RXD[1]</t>
  </si>
  <si>
    <t>MII_RMII_RXD[1] / MII_RMII_RXD[0]/TXCLK</t>
  </si>
  <si>
    <t>MII_RXD[0]</t>
  </si>
  <si>
    <t>MII_RXD2/ MII_RMII_RXD0</t>
  </si>
  <si>
    <t>MII_RXD2</t>
  </si>
  <si>
    <t>MII_RXD0</t>
  </si>
  <si>
    <t>MII_RXD3/MII_RMII_RXD1</t>
  </si>
  <si>
    <t>MII_RXD3</t>
  </si>
  <si>
    <t>MII_RXD1</t>
  </si>
  <si>
    <t>MII_RMII_RX_DV</t>
  </si>
  <si>
    <t>MII_RX_DV</t>
  </si>
  <si>
    <t>MII_RMII_RX_ER</t>
  </si>
  <si>
    <t>MIII_RX_ER</t>
  </si>
  <si>
    <t>MII_CRS</t>
  </si>
  <si>
    <t>MII_RMII_RX_DV/TMII_RXD2/MII_CRS</t>
  </si>
  <si>
    <t>RXD2</t>
  </si>
  <si>
    <t>MII_RMII_RX_ER/MII_RXD3/MII_COL</t>
  </si>
  <si>
    <t>RXD3</t>
  </si>
  <si>
    <t>MII_RX_ER</t>
  </si>
  <si>
    <t>MII_COL</t>
  </si>
  <si>
    <t>GPIO Number</t>
  </si>
  <si>
    <t>K3 TSPC</t>
  </si>
  <si>
    <t>S32K311_48lqfp</t>
  </si>
  <si>
    <t>S32K311_100hdqfp</t>
  </si>
  <si>
    <t>S32K312_100hdqfp</t>
  </si>
  <si>
    <t>S32K312_172hdqfp</t>
  </si>
  <si>
    <t>S32K342_100hdqfp</t>
  </si>
  <si>
    <t>S32K342_172hdqfp</t>
  </si>
  <si>
    <t>S32K358_172hdqfp</t>
  </si>
  <si>
    <t>S32K358_289BGA</t>
  </si>
  <si>
    <t>GRP1_OBE1</t>
  </si>
  <si>
    <t>GRP1_OBE2</t>
  </si>
  <si>
    <t xml:space="preserve">GRP2_OBE1 </t>
  </si>
  <si>
    <t>GRP2_OBE2</t>
  </si>
  <si>
    <t>PTG28</t>
  </si>
  <si>
    <t>H5</t>
  </si>
  <si>
    <t>PTG29</t>
  </si>
  <si>
    <t>G5</t>
  </si>
  <si>
    <t>PTG30</t>
  </si>
  <si>
    <t>F5</t>
  </si>
  <si>
    <t>PTG31</t>
  </si>
  <si>
    <t>E6</t>
  </si>
  <si>
    <t>PTH0</t>
  </si>
  <si>
    <t>E7</t>
  </si>
  <si>
    <t>PTH1</t>
  </si>
  <si>
    <t>E8</t>
  </si>
  <si>
    <t>PTH2</t>
  </si>
  <si>
    <t>E10</t>
  </si>
  <si>
    <t>PTH3</t>
  </si>
  <si>
    <t>E11</t>
  </si>
  <si>
    <t>PTH4</t>
  </si>
  <si>
    <t>E12</t>
  </si>
  <si>
    <t>PTH5</t>
  </si>
  <si>
    <t>F13</t>
  </si>
  <si>
    <t>PTH6</t>
  </si>
  <si>
    <t>G13</t>
  </si>
  <si>
    <t>PTH7</t>
  </si>
  <si>
    <t>K13</t>
  </si>
  <si>
    <t>PTH8</t>
  </si>
  <si>
    <t>L13</t>
  </si>
  <si>
    <t>PTH9</t>
  </si>
  <si>
    <t>M13</t>
  </si>
  <si>
    <t>PTH10</t>
  </si>
  <si>
    <t>N13</t>
  </si>
  <si>
    <t>PTH11</t>
  </si>
  <si>
    <t>N12</t>
  </si>
  <si>
    <t>PTH12</t>
  </si>
  <si>
    <t>N8</t>
  </si>
  <si>
    <t>HIGH</t>
  </si>
  <si>
    <t xml:space="preserve">eMIOS Channel </t>
  </si>
  <si>
    <t>CMP0_RR_ACTIVE</t>
  </si>
  <si>
    <t>CMP2_RR_ACTIVE</t>
  </si>
  <si>
    <t>CMP1_RR_ACTIVE</t>
  </si>
  <si>
    <t>CMP1_RR_ACTIVES</t>
  </si>
  <si>
    <t>MDM*</t>
  </si>
  <si>
    <t>*Please refer to RM Section 4.5 Pin States for more information on MDM</t>
  </si>
  <si>
    <t>S32K344_100lqfp</t>
  </si>
  <si>
    <t>1MB/2MB Single Core</t>
  </si>
  <si>
    <t>2MB Dual Core</t>
  </si>
  <si>
    <t>4MB Single and Dual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</si>
  <si>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</si>
  <si>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</si>
  <si>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</si>
  <si>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</si>
  <si>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</si>
  <si>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</si>
  <si>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</si>
  <si>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</si>
  <si>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48LQFP</t>
  </si>
  <si>
    <t>S32K311_48LQFP</t>
  </si>
  <si>
    <t>100LQFP</t>
  </si>
  <si>
    <t>S32K312_100lqfp</t>
  </si>
  <si>
    <t>S32K314_100hdqfp</t>
  </si>
  <si>
    <t>172HDQFP</t>
  </si>
  <si>
    <t>257BGA</t>
  </si>
  <si>
    <t>S32K344_257BGA</t>
  </si>
  <si>
    <t>289BGA</t>
  </si>
  <si>
    <t>S32K314_100lqfp</t>
  </si>
  <si>
    <t>S32K324_100lqfp</t>
  </si>
  <si>
    <t>S32K3 pinout S32K314_S32K324_S32K344_100 LQFP (package 100LQFP)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</si>
</sst>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theme="1"/>
      <name val="Lucida Console"/>
      <family val="3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28"/>
      <color rgb="FF000000"/>
      <name val="Helvetica"/>
    </font>
    <font>
      <sz val="12"/>
      <color rgb="FF1E1E1E"/>
      <name val="Segoe U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B319"/>
        <bgColor rgb="FF000000"/>
      </patternFill>
    </fill>
    <fill>
      <patternFill patternType="solid">
        <fgColor rgb="FFD8D8D8"/>
        <bgColor rgb="FFBFBFBF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5">
    <xf numFmtId="0" fontId="0" fillId="0" borderId="0"/>
    <xf numFmtId="0" fontId="11" fillId="2" borderId="0"/>
    <xf numFmtId="0" fontId="8" fillId="2" borderId="0"/>
    <xf numFmtId="0" fontId="6" fillId="2" borderId="0"/>
    <xf numFmtId="0" fontId="11" fillId="2" borderId="0"/>
    <xf numFmtId="0" fontId="6" fillId="2" borderId="0"/>
    <xf numFmtId="0" fontId="21" fillId="2" borderId="0"/>
    <xf numFmtId="0" fontId="11" fillId="2" borderId="0"/>
    <xf numFmtId="0" fontId="22" fillId="2" borderId="0" applyProtection="0"/>
    <xf numFmtId="0" fontId="24" fillId="2" borderId="0" applyNumberFormat="0" applyFill="0" applyBorder="0" applyAlignment="0" applyProtection="0"/>
    <xf numFmtId="0" fontId="23" fillId="2" borderId="0" applyNumberFormat="0" applyFill="0" applyBorder="0" applyAlignment="0" applyProtection="0"/>
    <xf numFmtId="0" fontId="5" fillId="2" borderId="0"/>
    <xf numFmtId="0" fontId="26" fillId="2" borderId="0"/>
    <xf numFmtId="0" fontId="8" fillId="2" borderId="0"/>
    <xf numFmtId="0" fontId="27" fillId="2" borderId="0"/>
    <xf numFmtId="0" fontId="8" fillId="2" borderId="0"/>
    <xf numFmtId="0" fontId="8" fillId="2" borderId="0"/>
    <xf numFmtId="0" fontId="27" fillId="2" borderId="0"/>
    <xf numFmtId="0" fontId="4" fillId="2" borderId="0"/>
    <xf numFmtId="0" fontId="8" fillId="2" borderId="0"/>
    <xf numFmtId="0" fontId="3" fillId="2" borderId="0"/>
    <xf numFmtId="0" fontId="2" fillId="2" borderId="0"/>
    <xf numFmtId="0" fontId="27" fillId="2" borderId="0"/>
    <xf numFmtId="0" fontId="8" fillId="2" borderId="0"/>
    <xf numFmtId="0" fontId="1" fillId="2" borderId="0"/>
  </cellStyleXfs>
  <cellXfs count="310">
    <xf numFmtId="0" fontId="0" fillId="0" borderId="0" xfId="0"/>
    <xf numFmtId="0" fontId="9" fillId="2" borderId="44" xfId="3" applyFont="1" applyBorder="1" applyAlignment="1">
      <alignment vertical="center"/>
    </xf>
    <xf numFmtId="0" fontId="6" fillId="2" borderId="0" xfId="3"/>
    <xf numFmtId="0" fontId="6" fillId="2" borderId="50" xfId="3" applyBorder="1"/>
    <xf numFmtId="0" fontId="14" fillId="2" borderId="54" xfId="3" applyFont="1" applyBorder="1" applyAlignment="1">
      <alignment horizontal="left" vertical="center" wrapText="1" readingOrder="1"/>
    </xf>
    <xf numFmtId="0" fontId="14" fillId="2" borderId="43" xfId="3" applyFont="1" applyBorder="1" applyAlignment="1">
      <alignment horizontal="center" vertical="center" wrapText="1" readingOrder="1"/>
    </xf>
    <xf numFmtId="0" fontId="11" fillId="2" borderId="56" xfId="1" applyBorder="1"/>
    <xf numFmtId="0" fontId="19" fillId="2" borderId="57" xfId="3" applyFont="1" applyBorder="1" applyAlignment="1">
      <alignment horizontal="left" vertical="center" wrapText="1" readingOrder="1"/>
    </xf>
    <xf numFmtId="0" fontId="19" fillId="2" borderId="54" xfId="3" applyFont="1" applyBorder="1" applyAlignment="1">
      <alignment horizontal="left" vertical="center" wrapText="1" readingOrder="1"/>
    </xf>
    <xf numFmtId="0" fontId="19" fillId="2" borderId="43" xfId="3" applyFont="1" applyBorder="1" applyAlignment="1">
      <alignment horizontal="left" vertical="center" wrapText="1" readingOrder="1"/>
    </xf>
    <xf numFmtId="0" fontId="19" fillId="2" borderId="55" xfId="3" applyFont="1" applyBorder="1" applyAlignment="1">
      <alignment horizontal="left" wrapText="1" readingOrder="1"/>
    </xf>
    <xf numFmtId="0" fontId="19" fillId="2" borderId="54" xfId="3" applyFont="1" applyBorder="1" applyAlignment="1">
      <alignment horizontal="left" wrapText="1" readingOrder="1"/>
    </xf>
    <xf numFmtId="0" fontId="6" fillId="9" borderId="54" xfId="3" applyFill="1" applyBorder="1"/>
    <xf numFmtId="0" fontId="6" fillId="9" borderId="55" xfId="3" applyFill="1" applyBorder="1"/>
    <xf numFmtId="0" fontId="19" fillId="2" borderId="55" xfId="3" applyFont="1" applyBorder="1" applyAlignment="1">
      <alignment horizontal="left" vertical="center" wrapText="1" readingOrder="1"/>
    </xf>
    <xf numFmtId="0" fontId="19" fillId="2" borderId="56" xfId="3" applyFont="1" applyBorder="1" applyAlignment="1">
      <alignment horizontal="left" vertical="center" wrapText="1" readingOrder="1"/>
    </xf>
    <xf numFmtId="0" fontId="19" fillId="2" borderId="56" xfId="3" applyFont="1" applyBorder="1" applyAlignment="1">
      <alignment horizontal="left" wrapText="1" readingOrder="1"/>
    </xf>
    <xf numFmtId="0" fontId="15" fillId="2" borderId="43" xfId="3" applyFont="1" applyBorder="1" applyAlignment="1">
      <alignment horizontal="center" vertical="center"/>
    </xf>
    <xf numFmtId="0" fontId="9" fillId="2" borderId="0" xfId="3" applyFont="1"/>
    <xf numFmtId="0" fontId="11" fillId="2" borderId="0" xfId="4"/>
    <xf numFmtId="0" fontId="11" fillId="2" borderId="43" xfId="4" applyBorder="1"/>
    <xf numFmtId="0" fontId="20" fillId="2" borderId="43" xfId="5" applyFont="1" applyBorder="1" applyAlignment="1">
      <alignment horizontal="center"/>
    </xf>
    <xf numFmtId="0" fontId="11" fillId="2" borderId="43" xfId="4" applyBorder="1" applyAlignment="1">
      <alignment horizontal="center"/>
    </xf>
    <xf numFmtId="0" fontId="20" fillId="3" borderId="43" xfId="5" applyFont="1" applyFill="1" applyBorder="1" applyAlignment="1">
      <alignment horizontal="center"/>
    </xf>
    <xf numFmtId="0" fontId="20" fillId="3" borderId="8" xfId="5" applyFont="1" applyFill="1" applyBorder="1" applyAlignment="1">
      <alignment horizontal="center"/>
    </xf>
    <xf numFmtId="0" fontId="20" fillId="3" borderId="1" xfId="5" applyFont="1" applyFill="1" applyBorder="1" applyAlignment="1">
      <alignment horizontal="center"/>
    </xf>
    <xf numFmtId="0" fontId="11" fillId="2" borderId="59" xfId="4" applyBorder="1" applyAlignment="1">
      <alignment horizontal="center"/>
    </xf>
    <xf numFmtId="0" fontId="11" fillId="2" borderId="52" xfId="4" applyBorder="1" applyAlignment="1">
      <alignment horizontal="center"/>
    </xf>
    <xf numFmtId="0" fontId="11" fillId="2" borderId="43" xfId="4" applyBorder="1" applyAlignment="1">
      <alignment horizontal="center" vertical="center"/>
    </xf>
    <xf numFmtId="0" fontId="11" fillId="2" borderId="59" xfId="4" applyBorder="1"/>
    <xf numFmtId="0" fontId="11" fillId="2" borderId="52" xfId="4" applyBorder="1"/>
    <xf numFmtId="0" fontId="14" fillId="2" borderId="64" xfId="3" applyFont="1" applyBorder="1" applyAlignment="1">
      <alignment horizontal="center" vertical="center" wrapText="1" readingOrder="1"/>
    </xf>
    <xf numFmtId="0" fontId="14" fillId="2" borderId="77" xfId="3" applyFont="1" applyBorder="1" applyAlignment="1">
      <alignment horizontal="center" vertical="center" wrapText="1" readingOrder="1"/>
    </xf>
    <xf numFmtId="0" fontId="14" fillId="2" borderId="78" xfId="3" applyFont="1" applyBorder="1" applyAlignment="1">
      <alignment horizontal="center" vertical="center" wrapText="1" readingOrder="1"/>
    </xf>
    <xf numFmtId="0" fontId="14" fillId="2" borderId="79" xfId="3" applyFont="1" applyBorder="1" applyAlignment="1">
      <alignment horizontal="center" vertical="center" wrapText="1" readingOrder="1"/>
    </xf>
    <xf numFmtId="0" fontId="10" fillId="2" borderId="80" xfId="1" applyFont="1" applyBorder="1"/>
    <xf numFmtId="0" fontId="17" fillId="2" borderId="81" xfId="3" applyFont="1" applyBorder="1" applyAlignment="1">
      <alignment horizontal="left" vertical="center" wrapText="1" readingOrder="1"/>
    </xf>
    <xf numFmtId="0" fontId="18" fillId="2" borderId="82" xfId="3" applyFont="1" applyBorder="1" applyAlignment="1">
      <alignment horizontal="left" vertical="center" wrapText="1" readingOrder="1"/>
    </xf>
    <xf numFmtId="0" fontId="18" fillId="2" borderId="83" xfId="3" applyFont="1" applyBorder="1" applyAlignment="1">
      <alignment horizontal="left" vertical="center" wrapText="1" readingOrder="1"/>
    </xf>
    <xf numFmtId="0" fontId="6" fillId="2" borderId="84" xfId="3" applyBorder="1"/>
    <xf numFmtId="0" fontId="15" fillId="2" borderId="65" xfId="3" applyFont="1" applyBorder="1" applyAlignment="1">
      <alignment horizontal="center" vertical="center"/>
    </xf>
    <xf numFmtId="0" fontId="14" fillId="2" borderId="65" xfId="3" applyFont="1" applyBorder="1" applyAlignment="1">
      <alignment horizontal="center" vertical="center" wrapText="1" readingOrder="1"/>
    </xf>
    <xf numFmtId="0" fontId="11" fillId="2" borderId="61" xfId="1" applyBorder="1"/>
    <xf numFmtId="0" fontId="19" fillId="2" borderId="62" xfId="3" applyFont="1" applyBorder="1" applyAlignment="1">
      <alignment horizontal="left" vertical="center" wrapText="1" readingOrder="1"/>
    </xf>
    <xf numFmtId="0" fontId="19" fillId="2" borderId="60" xfId="3" applyFont="1" applyBorder="1" applyAlignment="1">
      <alignment horizontal="left" wrapText="1" readingOrder="1"/>
    </xf>
    <xf numFmtId="0" fontId="19" fillId="2" borderId="58" xfId="3" applyFont="1" applyBorder="1" applyAlignment="1">
      <alignment horizontal="left" wrapText="1" readingOrder="1"/>
    </xf>
    <xf numFmtId="0" fontId="19" fillId="2" borderId="86" xfId="3" applyFont="1" applyBorder="1" applyAlignment="1">
      <alignment horizontal="left" wrapText="1" readingOrder="1"/>
    </xf>
    <xf numFmtId="0" fontId="6" fillId="9" borderId="58" xfId="3" applyFill="1" applyBorder="1"/>
    <xf numFmtId="0" fontId="6" fillId="9" borderId="60" xfId="3" applyFill="1" applyBorder="1"/>
    <xf numFmtId="0" fontId="11" fillId="2" borderId="85" xfId="1" applyBorder="1"/>
    <xf numFmtId="0" fontId="16" fillId="2" borderId="82" xfId="3" applyFont="1" applyBorder="1" applyAlignment="1">
      <alignment horizontal="left" vertical="center" wrapText="1" readingOrder="1"/>
    </xf>
    <xf numFmtId="0" fontId="16" fillId="2" borderId="66" xfId="3" applyFont="1" applyBorder="1" applyAlignment="1">
      <alignment horizontal="center" vertical="center" wrapText="1" readingOrder="1"/>
    </xf>
    <xf numFmtId="0" fontId="16" fillId="2" borderId="67" xfId="3" applyFont="1" applyBorder="1" applyAlignment="1">
      <alignment horizontal="center" vertical="center" wrapText="1" readingOrder="1"/>
    </xf>
    <xf numFmtId="0" fontId="16" fillId="2" borderId="68" xfId="3" applyFont="1" applyBorder="1" applyAlignment="1">
      <alignment horizontal="center" vertical="center" wrapText="1" readingOrder="1"/>
    </xf>
    <xf numFmtId="0" fontId="15" fillId="2" borderId="43" xfId="3" applyFont="1" applyBorder="1"/>
    <xf numFmtId="0" fontId="14" fillId="2" borderId="58" xfId="3" applyFont="1" applyBorder="1" applyAlignment="1">
      <alignment horizontal="left" vertical="center" wrapText="1" readingOrder="1"/>
    </xf>
    <xf numFmtId="0" fontId="14" fillId="2" borderId="69" xfId="3" applyFont="1" applyBorder="1" applyAlignment="1">
      <alignment horizontal="center" vertical="center" wrapText="1" readingOrder="1"/>
    </xf>
    <xf numFmtId="0" fontId="14" fillId="2" borderId="59" xfId="3" applyFont="1" applyBorder="1" applyAlignment="1">
      <alignment horizontal="center" vertical="center" wrapText="1" readingOrder="1"/>
    </xf>
    <xf numFmtId="0" fontId="14" fillId="2" borderId="70" xfId="3" applyFont="1" applyBorder="1" applyAlignment="1">
      <alignment horizontal="center" vertical="center" wrapText="1" readingOrder="1"/>
    </xf>
    <xf numFmtId="0" fontId="6" fillId="2" borderId="87" xfId="3" applyBorder="1"/>
    <xf numFmtId="0" fontId="15" fillId="2" borderId="82" xfId="3" applyFont="1" applyBorder="1"/>
    <xf numFmtId="0" fontId="15" fillId="2" borderId="66" xfId="3" applyFont="1" applyBorder="1" applyAlignment="1">
      <alignment horizontal="center" vertical="center"/>
    </xf>
    <xf numFmtId="0" fontId="15" fillId="2" borderId="67" xfId="3" applyFont="1" applyBorder="1" applyAlignment="1">
      <alignment horizontal="center" vertical="center"/>
    </xf>
    <xf numFmtId="0" fontId="15" fillId="2" borderId="68" xfId="3" applyFont="1" applyBorder="1" applyAlignment="1">
      <alignment horizontal="center" vertical="center"/>
    </xf>
    <xf numFmtId="0" fontId="11" fillId="2" borderId="80" xfId="1" applyBorder="1"/>
    <xf numFmtId="0" fontId="19" fillId="2" borderId="63" xfId="3" applyFont="1" applyBorder="1" applyAlignment="1">
      <alignment horizontal="left" vertical="center" wrapText="1" readingOrder="1"/>
    </xf>
    <xf numFmtId="0" fontId="19" fillId="2" borderId="82" xfId="3" applyFont="1" applyBorder="1" applyAlignment="1">
      <alignment horizontal="left" vertical="center" wrapText="1" readingOrder="1"/>
    </xf>
    <xf numFmtId="0" fontId="19" fillId="2" borderId="85" xfId="3" applyFont="1" applyBorder="1" applyAlignment="1">
      <alignment horizontal="left" vertical="center" wrapText="1" readingOrder="1"/>
    </xf>
    <xf numFmtId="0" fontId="8" fillId="2" borderId="43" xfId="13" applyBorder="1"/>
    <xf numFmtId="0" fontId="25" fillId="2" borderId="0" xfId="13" applyFont="1" applyAlignment="1">
      <alignment horizontal="center" vertical="center"/>
    </xf>
    <xf numFmtId="0" fontId="7" fillId="2" borderId="1" xfId="13" applyFont="1" applyBorder="1" applyAlignment="1">
      <alignment horizontal="center"/>
    </xf>
    <xf numFmtId="0" fontId="27" fillId="2" borderId="0" xfId="17"/>
    <xf numFmtId="0" fontId="27" fillId="2" borderId="16" xfId="17" applyBorder="1" applyAlignment="1">
      <alignment horizontal="center"/>
    </xf>
    <xf numFmtId="0" fontId="27" fillId="2" borderId="6" xfId="17" applyBorder="1" applyAlignment="1">
      <alignment horizontal="center"/>
    </xf>
    <xf numFmtId="0" fontId="27" fillId="2" borderId="10" xfId="17" applyBorder="1" applyAlignment="1">
      <alignment horizontal="center"/>
    </xf>
    <xf numFmtId="0" fontId="27" fillId="2" borderId="22" xfId="17" applyBorder="1" applyAlignment="1">
      <alignment horizontal="center"/>
    </xf>
    <xf numFmtId="0" fontId="27" fillId="2" borderId="17" xfId="17" applyBorder="1" applyAlignment="1">
      <alignment horizontal="center"/>
    </xf>
    <xf numFmtId="0" fontId="27" fillId="2" borderId="7" xfId="17" applyBorder="1" applyAlignment="1">
      <alignment horizontal="center"/>
    </xf>
    <xf numFmtId="0" fontId="27" fillId="2" borderId="1" xfId="17" applyBorder="1" applyAlignment="1">
      <alignment horizontal="center"/>
    </xf>
    <xf numFmtId="0" fontId="27" fillId="2" borderId="23" xfId="17" applyBorder="1" applyAlignment="1">
      <alignment horizontal="center"/>
    </xf>
    <xf numFmtId="0" fontId="27" fillId="2" borderId="8" xfId="17" applyBorder="1" applyAlignment="1">
      <alignment horizontal="center"/>
    </xf>
    <xf numFmtId="0" fontId="27" fillId="2" borderId="18" xfId="17" applyBorder="1" applyAlignment="1">
      <alignment horizontal="center"/>
    </xf>
    <xf numFmtId="0" fontId="27" fillId="2" borderId="9" xfId="17" applyBorder="1" applyAlignment="1">
      <alignment horizontal="center"/>
    </xf>
    <xf numFmtId="0" fontId="27" fillId="2" borderId="11" xfId="17" applyBorder="1" applyAlignment="1">
      <alignment horizontal="center"/>
    </xf>
    <xf numFmtId="0" fontId="27" fillId="2" borderId="24" xfId="17" applyBorder="1" applyAlignment="1">
      <alignment horizontal="center"/>
    </xf>
    <xf numFmtId="0" fontId="27" fillId="2" borderId="12" xfId="17" applyBorder="1" applyAlignment="1">
      <alignment horizontal="center"/>
    </xf>
    <xf numFmtId="0" fontId="27" fillId="2" borderId="19" xfId="17" applyBorder="1" applyAlignment="1">
      <alignment horizontal="center"/>
    </xf>
    <xf numFmtId="0" fontId="27" fillId="2" borderId="20" xfId="17" applyBorder="1" applyAlignment="1">
      <alignment horizontal="center"/>
    </xf>
    <xf numFmtId="0" fontId="27" fillId="2" borderId="21" xfId="17" applyBorder="1" applyAlignment="1">
      <alignment horizontal="center"/>
    </xf>
    <xf numFmtId="0" fontId="27" fillId="2" borderId="25" xfId="17" applyBorder="1" applyAlignment="1">
      <alignment horizontal="center"/>
    </xf>
    <xf numFmtId="0" fontId="27" fillId="3" borderId="1" xfId="17" applyFill="1" applyBorder="1" applyAlignment="1">
      <alignment horizontal="center"/>
    </xf>
    <xf numFmtId="0" fontId="27" fillId="2" borderId="43" xfId="17" applyBorder="1"/>
    <xf numFmtId="0" fontId="8" fillId="2" borderId="73" xfId="13" applyBorder="1"/>
    <xf numFmtId="0" fontId="27" fillId="2" borderId="0" xfId="17" applyAlignment="1">
      <alignment horizontal="center"/>
    </xf>
    <xf numFmtId="0" fontId="7" fillId="3" borderId="5" xfId="17" applyFont="1" applyFill="1" applyBorder="1" applyAlignment="1">
      <alignment horizontal="center" wrapText="1"/>
    </xf>
    <xf numFmtId="0" fontId="27" fillId="2" borderId="26" xfId="17" applyBorder="1" applyAlignment="1">
      <alignment horizontal="center"/>
    </xf>
    <xf numFmtId="0" fontId="27" fillId="2" borderId="27" xfId="17" applyBorder="1" applyAlignment="1">
      <alignment horizontal="center"/>
    </xf>
    <xf numFmtId="0" fontId="27" fillId="2" borderId="29" xfId="17" applyBorder="1" applyAlignment="1">
      <alignment horizontal="center"/>
    </xf>
    <xf numFmtId="0" fontId="27" fillId="2" borderId="32" xfId="17" applyBorder="1" applyAlignment="1">
      <alignment horizontal="center"/>
    </xf>
    <xf numFmtId="0" fontId="27" fillId="2" borderId="31" xfId="17" applyBorder="1" applyAlignment="1">
      <alignment horizontal="center"/>
    </xf>
    <xf numFmtId="0" fontId="27" fillId="2" borderId="33" xfId="17" applyBorder="1" applyAlignment="1">
      <alignment horizontal="center"/>
    </xf>
    <xf numFmtId="0" fontId="28" fillId="2" borderId="17" xfId="17" applyFont="1" applyBorder="1" applyAlignment="1">
      <alignment horizontal="center"/>
    </xf>
    <xf numFmtId="0" fontId="28" fillId="2" borderId="18" xfId="17" applyFont="1" applyBorder="1" applyAlignment="1">
      <alignment horizontal="center"/>
    </xf>
    <xf numFmtId="0" fontId="27" fillId="2" borderId="36" xfId="17" applyBorder="1" applyAlignment="1">
      <alignment horizontal="center"/>
    </xf>
    <xf numFmtId="0" fontId="27" fillId="2" borderId="37" xfId="17" applyBorder="1" applyAlignment="1">
      <alignment horizontal="center"/>
    </xf>
    <xf numFmtId="0" fontId="27" fillId="4" borderId="0" xfId="17" applyFill="1" applyAlignment="1">
      <alignment horizontal="left" vertical="center"/>
    </xf>
    <xf numFmtId="0" fontId="27" fillId="4" borderId="0" xfId="17" applyFill="1" applyAlignment="1">
      <alignment horizontal="center" vertical="center"/>
    </xf>
    <xf numFmtId="0" fontId="30" fillId="5" borderId="1" xfId="17" applyFont="1" applyFill="1" applyBorder="1" applyAlignment="1">
      <alignment horizontal="center" vertical="center" wrapText="1"/>
    </xf>
    <xf numFmtId="0" fontId="30" fillId="7" borderId="1" xfId="17" applyFont="1" applyFill="1" applyBorder="1" applyAlignment="1">
      <alignment horizontal="center" vertical="center" wrapText="1"/>
    </xf>
    <xf numFmtId="0" fontId="30" fillId="6" borderId="1" xfId="17" applyFont="1" applyFill="1" applyBorder="1" applyAlignment="1">
      <alignment horizontal="center" vertical="center" wrapText="1"/>
    </xf>
    <xf numFmtId="0" fontId="30" fillId="10" borderId="1" xfId="17" applyFont="1" applyFill="1" applyBorder="1" applyAlignment="1">
      <alignment horizontal="center" vertical="center" wrapText="1"/>
    </xf>
    <xf numFmtId="0" fontId="29" fillId="4" borderId="0" xfId="17" applyFont="1" applyFill="1" applyAlignment="1">
      <alignment horizontal="right" vertical="center"/>
    </xf>
    <xf numFmtId="0" fontId="29" fillId="5" borderId="0" xfId="17" applyFont="1" applyFill="1" applyAlignment="1">
      <alignment horizontal="center" textRotation="90"/>
    </xf>
    <xf numFmtId="0" fontId="29" fillId="6" borderId="0" xfId="17" applyFont="1" applyFill="1" applyAlignment="1">
      <alignment horizontal="center" textRotation="90"/>
    </xf>
    <xf numFmtId="0" fontId="29" fillId="7" borderId="0" xfId="17" applyFont="1" applyFill="1" applyAlignment="1">
      <alignment horizontal="center" textRotation="90"/>
    </xf>
    <xf numFmtId="0" fontId="29" fillId="4" borderId="0" xfId="17" applyFont="1" applyFill="1" applyAlignment="1">
      <alignment horizontal="left" vertical="center"/>
    </xf>
    <xf numFmtId="0" fontId="29" fillId="4" borderId="42" xfId="17" applyFont="1" applyFill="1" applyBorder="1" applyAlignment="1">
      <alignment horizontal="right" vertical="center"/>
    </xf>
    <xf numFmtId="0" fontId="29" fillId="4" borderId="40" xfId="17" applyFont="1" applyFill="1" applyBorder="1" applyAlignment="1">
      <alignment horizontal="center" textRotation="90"/>
    </xf>
    <xf numFmtId="0" fontId="29" fillId="4" borderId="41" xfId="17" applyFont="1" applyFill="1" applyBorder="1" applyAlignment="1">
      <alignment horizontal="left" vertical="center"/>
    </xf>
    <xf numFmtId="0" fontId="29" fillId="5" borderId="0" xfId="17" applyFont="1" applyFill="1" applyAlignment="1">
      <alignment horizontal="right" vertical="center"/>
    </xf>
    <xf numFmtId="0" fontId="29" fillId="4" borderId="38" xfId="17" applyFont="1" applyFill="1" applyBorder="1" applyAlignment="1">
      <alignment horizontal="right" vertical="center"/>
    </xf>
    <xf numFmtId="0" fontId="29" fillId="4" borderId="23" xfId="17" applyFont="1" applyFill="1" applyBorder="1" applyAlignment="1">
      <alignment horizontal="left" vertical="center"/>
    </xf>
    <xf numFmtId="0" fontId="29" fillId="5" borderId="0" xfId="17" applyFont="1" applyFill="1" applyAlignment="1">
      <alignment horizontal="left" vertical="center"/>
    </xf>
    <xf numFmtId="0" fontId="29" fillId="6" borderId="0" xfId="17" applyFont="1" applyFill="1" applyAlignment="1">
      <alignment horizontal="left" vertical="center"/>
    </xf>
    <xf numFmtId="0" fontId="29" fillId="7" borderId="0" xfId="17" applyFont="1" applyFill="1" applyAlignment="1">
      <alignment horizontal="left" vertical="center"/>
    </xf>
    <xf numFmtId="0" fontId="29" fillId="6" borderId="0" xfId="17" applyFont="1" applyFill="1" applyAlignment="1">
      <alignment horizontal="right" vertical="center"/>
    </xf>
    <xf numFmtId="0" fontId="29" fillId="7" borderId="0" xfId="17" applyFont="1" applyFill="1" applyAlignment="1">
      <alignment horizontal="right" vertical="center"/>
    </xf>
    <xf numFmtId="0" fontId="29" fillId="4" borderId="39" xfId="17" applyFont="1" applyFill="1" applyBorder="1" applyAlignment="1">
      <alignment horizontal="right" vertical="center"/>
    </xf>
    <xf numFmtId="0" fontId="29" fillId="4" borderId="29" xfId="17" applyFont="1" applyFill="1" applyBorder="1" applyAlignment="1">
      <alignment horizontal="center" vertical="top" textRotation="90"/>
    </xf>
    <xf numFmtId="0" fontId="29" fillId="4" borderId="25" xfId="17" applyFont="1" applyFill="1" applyBorder="1" applyAlignment="1">
      <alignment horizontal="left" vertical="center"/>
    </xf>
    <xf numFmtId="0" fontId="29" fillId="5" borderId="0" xfId="17" applyFont="1" applyFill="1" applyAlignment="1">
      <alignment horizontal="center" vertical="top" textRotation="90"/>
    </xf>
    <xf numFmtId="0" fontId="29" fillId="10" borderId="0" xfId="17" applyFont="1" applyFill="1" applyAlignment="1">
      <alignment horizontal="center" vertical="top" textRotation="90"/>
    </xf>
    <xf numFmtId="0" fontId="29" fillId="6" borderId="0" xfId="17" applyFont="1" applyFill="1" applyAlignment="1">
      <alignment horizontal="center" vertical="top" textRotation="90"/>
    </xf>
    <xf numFmtId="0" fontId="29" fillId="7" borderId="0" xfId="17" applyFont="1" applyFill="1" applyAlignment="1">
      <alignment horizontal="center" vertical="top" textRotation="90"/>
    </xf>
    <xf numFmtId="0" fontId="27" fillId="8" borderId="1" xfId="17" applyFill="1" applyBorder="1" applyAlignment="1">
      <alignment horizontal="center"/>
    </xf>
    <xf numFmtId="0" fontId="27" fillId="2" borderId="43" xfId="17" applyBorder="1" applyAlignment="1">
      <alignment horizontal="center"/>
    </xf>
    <xf numFmtId="0" fontId="11" fillId="2" borderId="43" xfId="1" applyBorder="1" applyAlignment="1">
      <alignment horizontal="center"/>
    </xf>
    <xf numFmtId="0" fontId="11" fillId="2" borderId="1" xfId="4" applyBorder="1"/>
    <xf numFmtId="0" fontId="11" fillId="2" borderId="8" xfId="4" applyBorder="1"/>
    <xf numFmtId="0" fontId="11" fillId="2" borderId="67" xfId="4" applyBorder="1"/>
    <xf numFmtId="0" fontId="20" fillId="3" borderId="59" xfId="5" applyFont="1" applyFill="1" applyBorder="1" applyAlignment="1">
      <alignment horizontal="center"/>
    </xf>
    <xf numFmtId="0" fontId="7" fillId="3" borderId="73" xfId="4" applyFont="1" applyFill="1" applyBorder="1" applyAlignment="1">
      <alignment horizontal="center" vertical="center" textRotation="90"/>
    </xf>
    <xf numFmtId="0" fontId="0" fillId="2" borderId="4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0" fillId="3" borderId="12" xfId="5" applyFont="1" applyFill="1" applyBorder="1" applyAlignment="1">
      <alignment horizontal="center"/>
    </xf>
    <xf numFmtId="0" fontId="11" fillId="2" borderId="51" xfId="4" applyBorder="1"/>
    <xf numFmtId="0" fontId="20" fillId="2" borderId="52" xfId="5" applyFont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20" fillId="3" borderId="52" xfId="5" applyFont="1" applyFill="1" applyBorder="1" applyAlignment="1">
      <alignment horizontal="center"/>
    </xf>
    <xf numFmtId="0" fontId="20" fillId="3" borderId="53" xfId="5" applyFont="1" applyFill="1" applyBorder="1" applyAlignment="1">
      <alignment horizontal="center"/>
    </xf>
    <xf numFmtId="0" fontId="11" fillId="2" borderId="54" xfId="4" applyBorder="1"/>
    <xf numFmtId="0" fontId="20" fillId="3" borderId="55" xfId="5" applyFont="1" applyFill="1" applyBorder="1" applyAlignment="1">
      <alignment horizontal="center"/>
    </xf>
    <xf numFmtId="0" fontId="20" fillId="3" borderId="90" xfId="5" applyFont="1" applyFill="1" applyBorder="1" applyAlignment="1">
      <alignment horizontal="center"/>
    </xf>
    <xf numFmtId="0" fontId="20" fillId="3" borderId="89" xfId="5" applyFont="1" applyFill="1" applyBorder="1" applyAlignment="1">
      <alignment horizontal="center"/>
    </xf>
    <xf numFmtId="0" fontId="11" fillId="2" borderId="89" xfId="4" applyBorder="1"/>
    <xf numFmtId="0" fontId="20" fillId="3" borderId="88" xfId="5" applyFont="1" applyFill="1" applyBorder="1" applyAlignment="1">
      <alignment horizontal="center"/>
    </xf>
    <xf numFmtId="0" fontId="11" fillId="2" borderId="58" xfId="4" applyBorder="1"/>
    <xf numFmtId="0" fontId="0" fillId="2" borderId="59" xfId="0" applyFill="1" applyBorder="1" applyAlignment="1">
      <alignment horizontal="center"/>
    </xf>
    <xf numFmtId="0" fontId="20" fillId="3" borderId="60" xfId="5" applyFont="1" applyFill="1" applyBorder="1" applyAlignment="1">
      <alignment horizontal="center"/>
    </xf>
    <xf numFmtId="0" fontId="27" fillId="3" borderId="43" xfId="17" applyFill="1" applyBorder="1" applyAlignment="1">
      <alignment horizontal="center"/>
    </xf>
    <xf numFmtId="0" fontId="28" fillId="2" borderId="19" xfId="17" applyFont="1" applyBorder="1" applyAlignment="1">
      <alignment horizontal="center"/>
    </xf>
    <xf numFmtId="0" fontId="7" fillId="2" borderId="43" xfId="13" applyFont="1" applyBorder="1" applyAlignment="1">
      <alignment horizontal="center"/>
    </xf>
    <xf numFmtId="0" fontId="7" fillId="3" borderId="4" xfId="17" applyFont="1" applyFill="1" applyBorder="1" applyAlignment="1">
      <alignment horizontal="center"/>
    </xf>
    <xf numFmtId="0" fontId="7" fillId="3" borderId="13" xfId="17" applyFont="1" applyFill="1" applyBorder="1" applyAlignment="1">
      <alignment horizontal="center"/>
    </xf>
    <xf numFmtId="0" fontId="7" fillId="3" borderId="13" xfId="17" applyFont="1" applyFill="1" applyBorder="1" applyAlignment="1">
      <alignment horizontal="center" textRotation="90"/>
    </xf>
    <xf numFmtId="0" fontId="31" fillId="4" borderId="1" xfId="17" applyFont="1" applyFill="1" applyBorder="1" applyAlignment="1">
      <alignment horizontal="center" vertical="center" wrapText="1"/>
    </xf>
    <xf numFmtId="0" fontId="12" fillId="2" borderId="71" xfId="13" applyFont="1" applyBorder="1" applyAlignment="1">
      <alignment horizontal="center"/>
    </xf>
    <xf numFmtId="0" fontId="8" fillId="2" borderId="31" xfId="17" applyFont="1" applyBorder="1" applyAlignment="1">
      <alignment horizontal="center"/>
    </xf>
    <xf numFmtId="0" fontId="8" fillId="4" borderId="0" xfId="17" applyFont="1" applyFill="1" applyAlignment="1">
      <alignment horizontal="left" vertical="center"/>
    </xf>
    <xf numFmtId="0" fontId="12" fillId="4" borderId="0" xfId="17" applyFont="1" applyFill="1" applyAlignment="1">
      <alignment horizontal="left" vertical="center"/>
    </xf>
    <xf numFmtId="0" fontId="32" fillId="2" borderId="0" xfId="13" applyFont="1"/>
    <xf numFmtId="0" fontId="8" fillId="2" borderId="0" xfId="13"/>
    <xf numFmtId="0" fontId="7" fillId="2" borderId="43" xfId="22" applyFont="1" applyBorder="1" applyAlignment="1">
      <alignment horizontal="center" wrapText="1"/>
    </xf>
    <xf numFmtId="0" fontId="33" fillId="0" borderId="0" xfId="0" applyFont="1"/>
    <xf numFmtId="0" fontId="8" fillId="2" borderId="0" xfId="17" applyFont="1"/>
    <xf numFmtId="0" fontId="8" fillId="2" borderId="75" xfId="13" applyBorder="1" applyAlignment="1">
      <alignment horizontal="center"/>
    </xf>
    <xf numFmtId="0" fontId="8" fillId="3" borderId="75" xfId="13" applyFill="1" applyBorder="1" applyAlignment="1">
      <alignment horizontal="center"/>
    </xf>
    <xf numFmtId="0" fontId="8" fillId="3" borderId="91" xfId="13" applyFill="1" applyBorder="1" applyAlignment="1">
      <alignment horizontal="center"/>
    </xf>
    <xf numFmtId="0" fontId="8" fillId="3" borderId="92" xfId="13" applyFill="1" applyBorder="1" applyAlignment="1">
      <alignment horizontal="center"/>
    </xf>
    <xf numFmtId="0" fontId="8" fillId="3" borderId="65" xfId="13" applyFill="1" applyBorder="1" applyAlignment="1">
      <alignment horizontal="center"/>
    </xf>
    <xf numFmtId="0" fontId="8" fillId="2" borderId="43" xfId="17" applyFont="1" applyBorder="1"/>
    <xf numFmtId="0" fontId="8" fillId="2" borderId="36" xfId="19" applyBorder="1" applyAlignment="1">
      <alignment horizontal="center"/>
    </xf>
    <xf numFmtId="0" fontId="8" fillId="2" borderId="12" xfId="19" applyBorder="1" applyAlignment="1">
      <alignment horizontal="center"/>
    </xf>
    <xf numFmtId="0" fontId="8" fillId="2" borderId="31" xfId="19" applyBorder="1" applyAlignment="1">
      <alignment horizontal="center"/>
    </xf>
    <xf numFmtId="0" fontId="8" fillId="2" borderId="1" xfId="19" applyBorder="1" applyAlignment="1">
      <alignment horizontal="center"/>
    </xf>
    <xf numFmtId="0" fontId="8" fillId="2" borderId="12" xfId="17" applyFont="1" applyBorder="1" applyAlignment="1">
      <alignment horizontal="center"/>
    </xf>
    <xf numFmtId="0" fontId="7" fillId="2" borderId="12" xfId="17" applyFont="1" applyBorder="1" applyAlignment="1">
      <alignment horizontal="center"/>
    </xf>
    <xf numFmtId="0" fontId="7" fillId="3" borderId="2" xfId="17" applyFont="1" applyFill="1" applyBorder="1" applyAlignment="1">
      <alignment horizontal="center"/>
    </xf>
    <xf numFmtId="0" fontId="7" fillId="3" borderId="14" xfId="17" applyFont="1" applyFill="1" applyBorder="1" applyAlignment="1">
      <alignment horizontal="center"/>
    </xf>
    <xf numFmtId="0" fontId="7" fillId="3" borderId="3" xfId="17" applyFont="1" applyFill="1" applyBorder="1" applyAlignment="1">
      <alignment horizontal="center"/>
    </xf>
    <xf numFmtId="0" fontId="7" fillId="3" borderId="5" xfId="17" applyFont="1" applyFill="1" applyBorder="1" applyAlignment="1">
      <alignment horizontal="center"/>
    </xf>
    <xf numFmtId="0" fontId="7" fillId="3" borderId="5" xfId="17" applyFont="1" applyFill="1" applyBorder="1" applyAlignment="1">
      <alignment horizontal="center" textRotation="90"/>
    </xf>
    <xf numFmtId="0" fontId="7" fillId="3" borderId="15" xfId="17" applyFont="1" applyFill="1" applyBorder="1" applyAlignment="1">
      <alignment horizontal="center"/>
    </xf>
    <xf numFmtId="0" fontId="7" fillId="3" borderId="28" xfId="17" applyFont="1" applyFill="1" applyBorder="1" applyAlignment="1">
      <alignment horizontal="center"/>
    </xf>
    <xf numFmtId="0" fontId="7" fillId="3" borderId="30" xfId="17" applyFont="1" applyFill="1" applyBorder="1" applyAlignment="1">
      <alignment horizontal="center"/>
    </xf>
    <xf numFmtId="0" fontId="7" fillId="3" borderId="35" xfId="17" applyFont="1" applyFill="1" applyBorder="1" applyAlignment="1">
      <alignment horizontal="center"/>
    </xf>
    <xf numFmtId="0" fontId="7" fillId="3" borderId="34" xfId="17" applyFont="1" applyFill="1" applyBorder="1" applyAlignment="1">
      <alignment horizontal="center"/>
    </xf>
    <xf numFmtId="0" fontId="7" fillId="2" borderId="73" xfId="4" applyFont="1" applyBorder="1" applyAlignment="1">
      <alignment horizontal="center" vertical="center" wrapText="1"/>
    </xf>
    <xf numFmtId="0" fontId="7" fillId="2" borderId="73" xfId="4" applyFont="1" applyBorder="1" applyAlignment="1">
      <alignment horizontal="center" vertical="center"/>
    </xf>
    <xf numFmtId="0" fontId="8" fillId="2" borderId="6" xfId="17" applyFont="1" applyBorder="1" applyAlignment="1">
      <alignment horizontal="center"/>
    </xf>
    <xf numFmtId="0" fontId="8" fillId="2" borderId="1" xfId="17" applyFont="1" applyBorder="1" applyAlignment="1">
      <alignment horizontal="center"/>
    </xf>
    <xf numFmtId="0" fontId="27" fillId="0" borderId="18" xfId="17" applyFill="1" applyBorder="1" applyAlignment="1">
      <alignment horizontal="center"/>
    </xf>
    <xf numFmtId="0" fontId="27" fillId="0" borderId="9" xfId="17" applyFill="1" applyBorder="1" applyAlignment="1">
      <alignment horizontal="center"/>
    </xf>
    <xf numFmtId="0" fontId="27" fillId="0" borderId="11" xfId="17" applyFill="1" applyBorder="1" applyAlignment="1">
      <alignment horizontal="center"/>
    </xf>
    <xf numFmtId="0" fontId="27" fillId="0" borderId="24" xfId="17" applyFill="1" applyBorder="1" applyAlignment="1">
      <alignment horizontal="center"/>
    </xf>
    <xf numFmtId="0" fontId="27" fillId="0" borderId="0" xfId="17" applyFill="1"/>
    <xf numFmtId="0" fontId="27" fillId="0" borderId="43" xfId="17" applyFill="1" applyBorder="1" applyAlignment="1">
      <alignment horizontal="center"/>
    </xf>
    <xf numFmtId="0" fontId="8" fillId="0" borderId="43" xfId="13" applyFill="1" applyBorder="1"/>
    <xf numFmtId="0" fontId="8" fillId="0" borderId="75" xfId="13" applyFill="1" applyBorder="1" applyAlignment="1">
      <alignment horizontal="center"/>
    </xf>
    <xf numFmtId="0" fontId="27" fillId="0" borderId="43" xfId="17" applyFill="1" applyBorder="1"/>
    <xf numFmtId="0" fontId="8" fillId="0" borderId="43" xfId="17" applyFont="1" applyFill="1" applyBorder="1"/>
    <xf numFmtId="0" fontId="7" fillId="3" borderId="43" xfId="17" applyFont="1" applyFill="1" applyBorder="1" applyAlignment="1">
      <alignment horizontal="center"/>
    </xf>
    <xf numFmtId="0" fontId="10" fillId="2" borderId="0" xfId="13" applyFont="1"/>
    <xf numFmtId="0" fontId="8" fillId="2" borderId="0" xfId="13" applyBorder="1"/>
    <xf numFmtId="0" fontId="27" fillId="2" borderId="75" xfId="17" applyBorder="1"/>
    <xf numFmtId="0" fontId="8" fillId="3" borderId="0" xfId="13" applyFill="1" applyBorder="1" applyAlignment="1">
      <alignment horizontal="center"/>
    </xf>
    <xf numFmtId="0" fontId="27" fillId="2" borderId="0" xfId="17" applyBorder="1"/>
    <xf numFmtId="0" fontId="8" fillId="2" borderId="0" xfId="17" applyFon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7" fillId="11" borderId="64" xfId="17" applyFill="1" applyBorder="1" applyAlignment="1">
      <alignment horizontal="center"/>
    </xf>
    <xf numFmtId="0" fontId="27" fillId="11" borderId="43" xfId="17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textRotation="90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7" fillId="3" borderId="13" xfId="0" applyFont="1" applyFill="1" applyBorder="1" applyAlignment="1">
      <alignment horizontal="center" textRotation="90"/>
    </xf>
    <xf numFmtId="0" fontId="0" fillId="0" borderId="3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27" fillId="2" borderId="97" xfId="17" applyBorder="1" applyAlignment="1">
      <alignment horizontal="center"/>
    </xf>
    <xf numFmtId="0" fontId="27" fillId="2" borderId="72" xfId="17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8" fillId="2" borderId="0" xfId="23"/>
    <xf numFmtId="0" fontId="12" fillId="4" borderId="0" xfId="23" applyFont="1" applyFill="1" applyAlignment="1">
      <alignment horizontal="left" vertical="center"/>
    </xf>
    <xf numFmtId="0" fontId="8" fillId="4" borderId="0" xfId="23" applyFill="1" applyAlignment="1">
      <alignment horizontal="left" vertical="center"/>
    </xf>
    <xf numFmtId="0" fontId="29" fillId="4" borderId="0" xfId="23" applyFont="1" applyFill="1" applyAlignment="1">
      <alignment horizontal="right" vertical="center"/>
    </xf>
    <xf numFmtId="0" fontId="29" fillId="5" borderId="0" xfId="23" applyFont="1" applyFill="1" applyAlignment="1">
      <alignment horizontal="center" textRotation="90"/>
    </xf>
    <xf numFmtId="0" fontId="29" fillId="6" borderId="0" xfId="23" applyFont="1" applyFill="1" applyAlignment="1">
      <alignment horizontal="center" textRotation="90"/>
    </xf>
    <xf numFmtId="0" fontId="29" fillId="7" borderId="0" xfId="23" applyFont="1" applyFill="1" applyAlignment="1">
      <alignment horizontal="center" textRotation="90"/>
    </xf>
    <xf numFmtId="0" fontId="29" fillId="4" borderId="0" xfId="23" applyFont="1" applyFill="1" applyAlignment="1">
      <alignment horizontal="left" vertical="center"/>
    </xf>
    <xf numFmtId="0" fontId="29" fillId="4" borderId="42" xfId="23" applyFont="1" applyFill="1" applyBorder="1" applyAlignment="1">
      <alignment horizontal="right" vertical="center"/>
    </xf>
    <xf numFmtId="0" fontId="29" fillId="4" borderId="40" xfId="23" applyFont="1" applyFill="1" applyBorder="1" applyAlignment="1">
      <alignment horizontal="center" textRotation="90"/>
    </xf>
    <xf numFmtId="0" fontId="29" fillId="4" borderId="41" xfId="23" applyFont="1" applyFill="1" applyBorder="1" applyAlignment="1">
      <alignment horizontal="left" vertical="center"/>
    </xf>
    <xf numFmtId="0" fontId="29" fillId="5" borderId="0" xfId="23" applyFont="1" applyFill="1" applyAlignment="1">
      <alignment horizontal="right" vertical="center"/>
    </xf>
    <xf numFmtId="0" fontId="29" fillId="4" borderId="38" xfId="23" applyFont="1" applyFill="1" applyBorder="1" applyAlignment="1">
      <alignment horizontal="right" vertical="center"/>
    </xf>
    <xf numFmtId="0" fontId="29" fillId="4" borderId="23" xfId="23" applyFont="1" applyFill="1" applyBorder="1" applyAlignment="1">
      <alignment horizontal="left" vertical="center"/>
    </xf>
    <xf numFmtId="0" fontId="29" fillId="5" borderId="0" xfId="23" applyFont="1" applyFill="1" applyAlignment="1">
      <alignment horizontal="left" vertical="center"/>
    </xf>
    <xf numFmtId="0" fontId="29" fillId="6" borderId="0" xfId="23" applyFont="1" applyFill="1" applyAlignment="1">
      <alignment horizontal="right" vertical="center"/>
    </xf>
    <xf numFmtId="0" fontId="29" fillId="7" borderId="0" xfId="23" applyFont="1" applyFill="1" applyAlignment="1">
      <alignment horizontal="right" vertical="center"/>
    </xf>
    <xf numFmtId="0" fontId="29" fillId="6" borderId="0" xfId="23" applyFont="1" applyFill="1" applyAlignment="1">
      <alignment horizontal="left" vertical="center"/>
    </xf>
    <xf numFmtId="0" fontId="29" fillId="7" borderId="0" xfId="23" applyFont="1" applyFill="1" applyAlignment="1">
      <alignment horizontal="left" vertical="center"/>
    </xf>
    <xf numFmtId="0" fontId="29" fillId="4" borderId="39" xfId="23" applyFont="1" applyFill="1" applyBorder="1" applyAlignment="1">
      <alignment horizontal="right" vertical="center"/>
    </xf>
    <xf numFmtId="0" fontId="29" fillId="4" borderId="29" xfId="23" applyFont="1" applyFill="1" applyBorder="1" applyAlignment="1">
      <alignment horizontal="center" vertical="top" textRotation="90"/>
    </xf>
    <xf numFmtId="0" fontId="29" fillId="4" borderId="25" xfId="23" applyFont="1" applyFill="1" applyBorder="1" applyAlignment="1">
      <alignment horizontal="left" vertical="center"/>
    </xf>
    <xf numFmtId="0" fontId="29" fillId="5" borderId="0" xfId="23" applyFont="1" applyFill="1" applyAlignment="1">
      <alignment horizontal="center" vertical="top" textRotation="90"/>
    </xf>
    <xf numFmtId="0" fontId="29" fillId="10" borderId="0" xfId="23" applyFont="1" applyFill="1" applyAlignment="1">
      <alignment horizontal="center" vertical="top" textRotation="90"/>
    </xf>
    <xf numFmtId="0" fontId="29" fillId="6" borderId="0" xfId="23" applyFont="1" applyFill="1" applyAlignment="1">
      <alignment horizontal="center" vertical="top" textRotation="90"/>
    </xf>
    <xf numFmtId="0" fontId="29" fillId="7" borderId="0" xfId="23" applyFont="1" applyFill="1" applyAlignment="1">
      <alignment horizontal="center" vertical="top" textRotation="90"/>
    </xf>
    <xf numFmtId="0" fontId="0" fillId="8" borderId="1" xfId="0" applyFill="1" applyBorder="1" applyAlignment="1">
      <alignment horizontal="center"/>
    </xf>
    <xf numFmtId="0" fontId="25" fillId="2" borderId="74" xfId="17" applyFont="1" applyBorder="1" applyAlignment="1">
      <alignment horizontal="center"/>
    </xf>
    <xf numFmtId="0" fontId="25" fillId="2" borderId="75" xfId="17" applyFont="1" applyBorder="1" applyAlignment="1">
      <alignment horizontal="center"/>
    </xf>
    <xf numFmtId="0" fontId="25" fillId="2" borderId="72" xfId="17" applyFont="1" applyBorder="1" applyAlignment="1">
      <alignment horizontal="center"/>
    </xf>
    <xf numFmtId="0" fontId="7" fillId="3" borderId="13" xfId="17" applyFont="1" applyFill="1" applyBorder="1" applyAlignment="1">
      <alignment horizontal="center"/>
    </xf>
    <xf numFmtId="0" fontId="13" fillId="2" borderId="44" xfId="3" applyFont="1" applyBorder="1" applyAlignment="1">
      <alignment horizontal="center" wrapText="1"/>
    </xf>
    <xf numFmtId="0" fontId="13" fillId="2" borderId="47" xfId="3" applyFont="1" applyBorder="1" applyAlignment="1">
      <alignment horizontal="center" wrapText="1"/>
    </xf>
    <xf numFmtId="0" fontId="13" fillId="2" borderId="48" xfId="3" applyFont="1" applyBorder="1" applyAlignment="1">
      <alignment horizontal="center" wrapText="1"/>
    </xf>
    <xf numFmtId="0" fontId="14" fillId="2" borderId="45" xfId="3" applyFont="1" applyBorder="1" applyAlignment="1">
      <alignment horizontal="center" vertical="center" wrapText="1" readingOrder="1"/>
    </xf>
    <xf numFmtId="0" fontId="14" fillId="2" borderId="46" xfId="3" applyFont="1" applyBorder="1" applyAlignment="1">
      <alignment horizontal="center" vertical="center" wrapText="1" readingOrder="1"/>
    </xf>
    <xf numFmtId="0" fontId="14" fillId="2" borderId="48" xfId="3" applyFont="1" applyBorder="1" applyAlignment="1">
      <alignment horizontal="center" vertical="center" wrapText="1" readingOrder="1"/>
    </xf>
    <xf numFmtId="0" fontId="14" fillId="2" borderId="49" xfId="3" applyFont="1" applyBorder="1" applyAlignment="1">
      <alignment horizontal="center" vertical="center" wrapText="1" readingOrder="1"/>
    </xf>
    <xf numFmtId="0" fontId="14" fillId="2" borderId="47" xfId="3" applyFont="1" applyBorder="1" applyAlignment="1">
      <alignment horizontal="center" vertical="center" wrapText="1" readingOrder="1"/>
    </xf>
    <xf numFmtId="0" fontId="15" fillId="2" borderId="47" xfId="3" applyFont="1" applyBorder="1" applyAlignment="1">
      <alignment horizontal="center" vertical="center" wrapText="1"/>
    </xf>
    <xf numFmtId="0" fontId="14" fillId="2" borderId="76" xfId="3" applyFont="1" applyBorder="1" applyAlignment="1">
      <alignment horizontal="center" vertical="center" wrapText="1" readingOrder="1"/>
    </xf>
    <xf numFmtId="0" fontId="1" fillId="2" borderId="43" xfId="24" applyBorder="1"/>
    <xf numFmtId="0" fontId="9" fillId="2" borderId="43" xfId="24" applyFont="1" applyBorder="1" applyAlignment="1">
      <alignment horizontal="center"/>
    </xf>
    <xf numFmtId="0" fontId="9" fillId="2" borderId="65" xfId="24" applyFont="1" applyBorder="1" applyAlignment="1">
      <alignment horizontal="center"/>
    </xf>
    <xf numFmtId="0" fontId="9" fillId="2" borderId="43" xfId="24" applyFont="1" applyBorder="1"/>
    <xf numFmtId="0" fontId="1" fillId="9" borderId="43" xfId="24" applyFill="1" applyBorder="1"/>
    <xf numFmtId="0" fontId="9" fillId="9" borderId="43" xfId="24" applyFont="1" applyFill="1" applyBorder="1"/>
    <xf numFmtId="0" fontId="34" fillId="2" borderId="43" xfId="24" applyFont="1" applyBorder="1"/>
    <xf numFmtId="0" fontId="35" fillId="2" borderId="43" xfId="24" applyFont="1" applyBorder="1"/>
    <xf numFmtId="0" fontId="36" fillId="2" borderId="43" xfId="24" applyFont="1" applyBorder="1"/>
    <xf numFmtId="0" fontId="37" fillId="2" borderId="43" xfId="24" applyFont="1" applyBorder="1"/>
    <xf numFmtId="0" fontId="39" fillId="2" borderId="43" xfId="24" applyFont="1" applyBorder="1"/>
    <xf numFmtId="0" fontId="1" fillId="2" borderId="65" xfId="24" applyBorder="1"/>
    <xf numFmtId="0" fontId="1" fillId="9" borderId="65" xfId="24" applyFill="1" applyBorder="1"/>
    <xf numFmtId="0" fontId="9" fillId="9" borderId="65" xfId="24" applyFont="1" applyFill="1" applyBorder="1"/>
    <xf numFmtId="0" fontId="36" fillId="2" borderId="65" xfId="24" applyFont="1" applyBorder="1"/>
    <xf numFmtId="0" fontId="39" fillId="2" borderId="65" xfId="24" applyFont="1" applyBorder="1"/>
    <xf numFmtId="0" fontId="9" fillId="12" borderId="98" xfId="24" applyFont="1" applyFill="1" applyBorder="1" applyAlignment="1">
      <alignment horizontal="center"/>
    </xf>
    <xf numFmtId="0" fontId="9" fillId="12" borderId="99" xfId="24" applyFont="1" applyFill="1" applyBorder="1" applyAlignment="1">
      <alignment horizontal="center"/>
    </xf>
    <xf numFmtId="0" fontId="9" fillId="12" borderId="100" xfId="24" applyFont="1" applyFill="1" applyBorder="1" applyAlignment="1">
      <alignment horizontal="center"/>
    </xf>
    <xf numFmtId="0" fontId="1" fillId="12" borderId="101" xfId="24" applyFill="1" applyBorder="1"/>
    <xf numFmtId="0" fontId="1" fillId="12" borderId="102" xfId="24" applyFill="1" applyBorder="1"/>
    <xf numFmtId="0" fontId="1" fillId="12" borderId="103" xfId="24" applyFill="1" applyBorder="1"/>
    <xf numFmtId="0" fontId="9" fillId="12" borderId="101" xfId="24" applyFont="1" applyFill="1" applyBorder="1"/>
    <xf numFmtId="0" fontId="38" fillId="12" borderId="101" xfId="24" applyFont="1" applyFill="1" applyBorder="1"/>
    <xf numFmtId="0" fontId="38" fillId="12" borderId="102" xfId="24" applyFont="1" applyFill="1" applyBorder="1"/>
    <xf numFmtId="0" fontId="38" fillId="12" borderId="103" xfId="24" applyFont="1" applyFill="1" applyBorder="1"/>
    <xf numFmtId="0" fontId="40" fillId="12" borderId="102" xfId="24" applyFont="1" applyFill="1" applyBorder="1"/>
    <xf numFmtId="0" fontId="40" fillId="12" borderId="103" xfId="24" applyFont="1" applyFill="1" applyBorder="1"/>
  </cellXfs>
  <cellStyles count="25">
    <cellStyle name="Hyperlink 2" xfId="9" xr:uid="{8BC07803-F33F-4A45-BDD5-F27D08743EDB}"/>
    <cellStyle name="Hyperlink 3" xfId="10" xr:uid="{E2FE878F-791C-49CC-83D2-DE1961572623}"/>
    <cellStyle name="Normal" xfId="0" builtinId="0"/>
    <cellStyle name="Normal 16" xfId="23" xr:uid="{D7D185E2-033C-44EB-8C91-19CB81E08945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22" xr:uid="{4BDD7A74-8F1A-48BA-ABC8-6D73EA870A5B}"/>
    <cellStyle name="Normal 3" xfId="3" xr:uid="{4F84BDD8-6B91-4D1C-897A-B64DE4DF584D}"/>
    <cellStyle name="Normal 3 2" xfId="7" xr:uid="{4B538DBA-D0F8-4912-A66B-7E421C7928FE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4" xfId="4" xr:uid="{F2F64CDC-A67D-46BD-BB8A-869D91D98877}"/>
    <cellStyle name="Normal 5" xfId="5" xr:uid="{36BA2E36-0F92-40E6-9B1D-DD7162867DD9}"/>
    <cellStyle name="Normal 6" xfId="11" xr:uid="{87A7652A-FC27-4C81-836C-9AC15493D54F}"/>
    <cellStyle name="Normal 6 3" xfId="24" xr:uid="{64B711C9-A455-401A-8E6F-8566A312896A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11206</xdr:colOff>
      <xdr:row>4</xdr:row>
      <xdr:rowOff>268942</xdr:rowOff>
    </xdr:from>
    <xdr:to>
      <xdr:col>32</xdr:col>
      <xdr:colOff>228971</xdr:colOff>
      <xdr:row>25</xdr:row>
      <xdr:rowOff>239308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45507-5A12-4919-89D3-F8AFD9C1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09506" y="1497667"/>
          <a:ext cx="6402665" cy="70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10C6-AA6E-413B-9DC4-57F24B52D9CF}">
  <dimension ref="A1"/>
  <sheetViews>
    <sheetView workbookViewId="0">
      <selection activeCell="A20" sqref="A20"/>
    </sheetView>
  </sheetViews>
  <sheetFormatPr defaultRowHeight="14.4" x14ac:dyDescent="0.3"/>
  <cols>
    <col min="1" max="1" width="58.44140625" bestFit="1" customWidth="1"/>
  </cols>
  <sheetData>
    <row r="1" spans="1:1" s="171" customFormat="1" ht="35.4" x14ac:dyDescent="0.6">
      <c r="A1" s="17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CA1A-4AF2-40B8-83DA-C10DA0D71C58}">
  <sheetPr>
    <tabColor rgb="FF00B050"/>
  </sheetPr>
  <dimension ref="A1:AM267"/>
  <sheetViews>
    <sheetView workbookViewId="0">
      <pane xSplit="4" topLeftCell="E1" activePane="topRight" state="frozen"/>
      <selection pane="topRight" activeCell="G21" sqref="G21"/>
    </sheetView>
  </sheetViews>
  <sheetFormatPr defaultColWidth="8.6640625" defaultRowHeight="14.4" x14ac:dyDescent="0.3"/>
  <cols>
    <col min="1" max="1" width="18.5546875" style="71" customWidth="1"/>
    <col min="2" max="2" width="19.6640625" style="71" bestFit="1" customWidth="1"/>
    <col min="3" max="3" width="14.88671875" style="71" customWidth="1"/>
    <col min="4" max="4" width="15.109375" style="71" bestFit="1" customWidth="1"/>
    <col min="5" max="5" width="27.109375" style="71" customWidth="1"/>
    <col min="6" max="6" width="9.33203125" style="71" customWidth="1"/>
    <col min="7" max="7" width="21.6640625" style="71" customWidth="1"/>
    <col min="8" max="8" width="17.44140625" style="71" customWidth="1"/>
    <col min="9" max="9" width="21.109375" style="71" customWidth="1"/>
    <col min="10" max="10" width="21.6640625" style="71" customWidth="1"/>
    <col min="11" max="12" width="23.88671875" style="71" customWidth="1"/>
    <col min="13" max="13" width="27.109375" style="71" customWidth="1"/>
    <col min="14" max="14" width="34.6640625" style="71" bestFit="1" customWidth="1"/>
    <col min="15" max="15" width="6.33203125" style="71" customWidth="1"/>
    <col min="16" max="16" width="21.6640625" style="71" customWidth="1"/>
    <col min="17" max="17" width="17.44140625" style="71" customWidth="1"/>
    <col min="18" max="18" width="21.109375" style="71" customWidth="1"/>
    <col min="19" max="20" width="21.6640625" style="71" customWidth="1"/>
    <col min="21" max="21" width="21.109375" style="71" customWidth="1"/>
    <col min="22" max="22" width="21.6640625" style="71" customWidth="1"/>
    <col min="23" max="23" width="21.88671875" style="71" customWidth="1"/>
    <col min="24" max="25" width="21.44140625" style="71" customWidth="1"/>
    <col min="26" max="26" width="20.88671875" style="71" customWidth="1"/>
    <col min="27" max="27" width="15.109375" style="71" customWidth="1"/>
    <col min="28" max="28" width="12" style="71" customWidth="1"/>
    <col min="29" max="29" width="166.109375" style="71" customWidth="1"/>
    <col min="30" max="30" width="32" style="71" bestFit="1" customWidth="1"/>
    <col min="31" max="31" width="21.88671875" style="71" customWidth="1"/>
    <col min="32" max="32" width="10.6640625" style="71" hidden="1" customWidth="1"/>
    <col min="33" max="33" width="8" style="71" hidden="1" customWidth="1"/>
    <col min="34" max="34" width="14.88671875" style="71" bestFit="1" customWidth="1"/>
    <col min="35" max="16384" width="8.6640625" style="71"/>
  </cols>
  <sheetData>
    <row r="1" spans="1:39" ht="21" x14ac:dyDescent="0.4">
      <c r="B1" s="78"/>
      <c r="C1" s="78"/>
      <c r="D1" s="78"/>
      <c r="E1" s="78"/>
      <c r="F1" s="268" t="s">
        <v>1</v>
      </c>
      <c r="G1" s="269"/>
      <c r="H1" s="269"/>
      <c r="I1" s="269"/>
      <c r="J1" s="269"/>
      <c r="K1" s="269"/>
      <c r="L1" s="269"/>
      <c r="M1" s="270"/>
      <c r="N1" s="78"/>
      <c r="O1" s="268" t="s">
        <v>2</v>
      </c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70"/>
      <c r="AC1" s="78"/>
      <c r="AD1" s="166"/>
      <c r="AE1" s="69"/>
    </row>
    <row r="2" spans="1:39" x14ac:dyDescent="0.3">
      <c r="A2" s="70" t="s">
        <v>2657</v>
      </c>
      <c r="B2" s="70" t="s">
        <v>3</v>
      </c>
      <c r="C2" s="186" t="s">
        <v>4</v>
      </c>
      <c r="D2" s="186" t="s">
        <v>5</v>
      </c>
      <c r="E2" s="186" t="s">
        <v>6</v>
      </c>
      <c r="F2" s="186" t="s">
        <v>7</v>
      </c>
      <c r="G2" s="186" t="s">
        <v>8</v>
      </c>
      <c r="H2" s="186" t="s">
        <v>9</v>
      </c>
      <c r="I2" s="186" t="s">
        <v>10</v>
      </c>
      <c r="J2" s="186" t="s">
        <v>11</v>
      </c>
      <c r="K2" s="186" t="s">
        <v>12</v>
      </c>
      <c r="L2" s="186" t="s">
        <v>13</v>
      </c>
      <c r="M2" s="186" t="s">
        <v>14</v>
      </c>
      <c r="N2" s="186" t="s">
        <v>15</v>
      </c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 t="s">
        <v>16</v>
      </c>
      <c r="AD2" s="161" t="s">
        <v>17</v>
      </c>
      <c r="AE2" s="70" t="s">
        <v>18</v>
      </c>
      <c r="AF2" s="172" t="s">
        <v>19</v>
      </c>
      <c r="AG2" s="172" t="s">
        <v>20</v>
      </c>
      <c r="AH2" s="172" t="s">
        <v>21</v>
      </c>
      <c r="AM2" s="174"/>
    </row>
    <row r="3" spans="1:39" x14ac:dyDescent="0.3">
      <c r="A3" s="218">
        <v>15</v>
      </c>
      <c r="B3" s="135">
        <v>23</v>
      </c>
      <c r="C3" s="135" t="s">
        <v>208</v>
      </c>
      <c r="D3" s="135" t="s">
        <v>209</v>
      </c>
      <c r="E3" s="135" t="s">
        <v>209</v>
      </c>
      <c r="F3" s="159"/>
      <c r="G3" s="159"/>
      <c r="H3" s="159"/>
      <c r="I3" s="159"/>
      <c r="J3" s="159"/>
      <c r="K3" s="159"/>
      <c r="L3" s="159"/>
      <c r="M3" s="159"/>
      <c r="N3" s="135" t="s">
        <v>209</v>
      </c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35" t="s">
        <v>209</v>
      </c>
      <c r="AD3" s="68" t="s">
        <v>210</v>
      </c>
      <c r="AE3" s="176"/>
      <c r="AF3" s="91" t="b">
        <f t="shared" ref="AF3:AF66" si="0">IF(ISNUMBER(SEARCH("plus",AD3)),"SP",IF(ISNUMBER(SEARCH("standard",AD3)),"S",IF(ISNUMBER(SEARCH("medium",AD3)),"M",IF(ISNUMBER(SEARCH("fast",AD3)),"F",IF(ISNUMBER(SEARCH("input",AD3)),"I",IF(ISNUMBER(SEARCH("rst",AD3)),"SP"))))))</f>
        <v>0</v>
      </c>
      <c r="AG3" s="91" cm="1">
        <f t="array" ref="AG3">_xlfn.SWITCH(D3,"PTA12",2,"PTD1",2,"PTD0",3,"PTC16",1,"PTD5",1,"PTA5",2,"PTD6",2,"PTE8",2,(LEN(N3)+LEN(N3)-LEN(SUBSTITUTE(N3,"ADC",))-LEN(SUBSTITUTE(N3,"CMP",)))/3)</f>
        <v>0</v>
      </c>
      <c r="AH3" s="180" t="str">
        <f t="shared" ref="AH3:AH66" si="1">IF(ISTEXT(AF3),_xlfn.CONCAT("ILKG_33/50_",AF3,AG3),"")</f>
        <v/>
      </c>
    </row>
    <row r="4" spans="1:39" ht="19.2" x14ac:dyDescent="0.45">
      <c r="A4" s="219"/>
      <c r="B4" s="159"/>
      <c r="C4" s="159"/>
      <c r="D4" s="135" t="s">
        <v>1446</v>
      </c>
      <c r="E4" s="135" t="s">
        <v>1446</v>
      </c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68" t="s">
        <v>231</v>
      </c>
      <c r="AE4" s="176"/>
      <c r="AF4" s="91" t="str">
        <f t="shared" si="0"/>
        <v>SP</v>
      </c>
      <c r="AG4" s="91" cm="1">
        <f t="array" ref="AG4">_xlfn.SWITCH(D4,"PTA12",2,"PTD1",2,"PTD0",3,"PTC16",1,"PTD5",1,"PTA5",2,"PTD6",2,"PTE8",2,(LEN(N4)+LEN(N4)-LEN(SUBSTITUTE(N4,"ADC",))-LEN(SUBSTITUTE(N4,"CMP",)))/3)</f>
        <v>0</v>
      </c>
      <c r="AH4" s="180" t="str">
        <f t="shared" si="1"/>
        <v>ILKG_33/50_SP0</v>
      </c>
      <c r="AM4" s="173"/>
    </row>
    <row r="5" spans="1:39" x14ac:dyDescent="0.3">
      <c r="A5" s="218">
        <v>79</v>
      </c>
      <c r="B5" s="135">
        <v>137</v>
      </c>
      <c r="C5" s="135" t="s">
        <v>945</v>
      </c>
      <c r="D5" s="135" t="s">
        <v>946</v>
      </c>
      <c r="E5" s="135" t="s">
        <v>947</v>
      </c>
      <c r="F5" s="135" t="s">
        <v>947</v>
      </c>
      <c r="G5" s="135" t="s">
        <v>948</v>
      </c>
      <c r="H5" s="135" t="s">
        <v>105</v>
      </c>
      <c r="I5" s="135" t="s">
        <v>820</v>
      </c>
      <c r="J5" s="135" t="s">
        <v>79</v>
      </c>
      <c r="K5" s="135" t="s">
        <v>25</v>
      </c>
      <c r="L5" s="135" t="s">
        <v>949</v>
      </c>
      <c r="M5" s="135" t="s">
        <v>950</v>
      </c>
      <c r="N5" s="135" t="s">
        <v>951</v>
      </c>
      <c r="O5" s="159"/>
      <c r="P5" s="135" t="s">
        <v>948</v>
      </c>
      <c r="Q5" s="135" t="s">
        <v>105</v>
      </c>
      <c r="R5" s="159"/>
      <c r="S5" s="135" t="s">
        <v>79</v>
      </c>
      <c r="T5" s="135" t="s">
        <v>25</v>
      </c>
      <c r="U5" s="135" t="s">
        <v>949</v>
      </c>
      <c r="V5" s="159"/>
      <c r="W5" s="135" t="s">
        <v>31</v>
      </c>
      <c r="X5" s="135" t="s">
        <v>742</v>
      </c>
      <c r="Y5" s="159"/>
      <c r="Z5" s="159"/>
      <c r="AA5" s="159"/>
      <c r="AB5" s="159"/>
      <c r="AC5" s="135" t="s">
        <v>952</v>
      </c>
      <c r="AD5" s="68" t="s">
        <v>34</v>
      </c>
      <c r="AE5" s="175" t="s">
        <v>869</v>
      </c>
      <c r="AF5" s="91" t="str">
        <f t="shared" si="0"/>
        <v>S</v>
      </c>
      <c r="AG5" s="91" cm="1">
        <f t="array" ref="AG5">_xlfn.SWITCH(D5,"PTA12",2,"PTD1",2,"PTD0",3,"PTC16",1,"PTD5",1,"PTA5",2,"PTD6",2,"PTE8",2,(LEN(N5)+LEN(N5)-LEN(SUBSTITUTE(N5,"ADC",))-LEN(SUBSTITUTE(N5,"CMP",)))/3)</f>
        <v>2</v>
      </c>
      <c r="AH5" s="180" t="str">
        <f t="shared" si="1"/>
        <v>ILKG_33/50_S2</v>
      </c>
    </row>
    <row r="6" spans="1:39" x14ac:dyDescent="0.3">
      <c r="A6" s="218">
        <v>78</v>
      </c>
      <c r="B6" s="135">
        <v>135</v>
      </c>
      <c r="C6" s="135" t="s">
        <v>932</v>
      </c>
      <c r="D6" s="135" t="s">
        <v>933</v>
      </c>
      <c r="E6" s="135" t="s">
        <v>934</v>
      </c>
      <c r="F6" s="135" t="s">
        <v>934</v>
      </c>
      <c r="G6" s="135" t="s">
        <v>681</v>
      </c>
      <c r="H6" s="135" t="s">
        <v>580</v>
      </c>
      <c r="I6" s="135" t="s">
        <v>735</v>
      </c>
      <c r="J6" s="135" t="s">
        <v>65</v>
      </c>
      <c r="K6" s="135" t="s">
        <v>839</v>
      </c>
      <c r="L6" s="135" t="s">
        <v>935</v>
      </c>
      <c r="M6" s="135" t="s">
        <v>936</v>
      </c>
      <c r="N6" s="135" t="s">
        <v>937</v>
      </c>
      <c r="O6" s="159"/>
      <c r="P6" s="135" t="s">
        <v>681</v>
      </c>
      <c r="Q6" s="135" t="s">
        <v>580</v>
      </c>
      <c r="R6" s="159"/>
      <c r="S6" s="135" t="s">
        <v>65</v>
      </c>
      <c r="T6" s="159"/>
      <c r="U6" s="135" t="s">
        <v>935</v>
      </c>
      <c r="V6" s="159"/>
      <c r="W6" s="135" t="s">
        <v>43</v>
      </c>
      <c r="X6" s="159"/>
      <c r="Y6" s="159"/>
      <c r="Z6" s="159"/>
      <c r="AA6" s="159"/>
      <c r="AB6" s="159"/>
      <c r="AC6" s="135" t="s">
        <v>938</v>
      </c>
      <c r="AD6" s="68" t="s">
        <v>34</v>
      </c>
      <c r="AE6" s="176"/>
      <c r="AF6" s="91" t="str">
        <f t="shared" si="0"/>
        <v>S</v>
      </c>
      <c r="AG6" s="91" cm="1">
        <f t="array" ref="AG6">_xlfn.SWITCH(D6,"PTA12",2,"PTD1",2,"PTD0",3,"PTC16",1,"PTD5",1,"PTA5",2,"PTD6",2,"PTE8",2,(LEN(N6)+LEN(N6)-LEN(SUBSTITUTE(N6,"ADC",))-LEN(SUBSTITUTE(N6,"CMP",)))/3)</f>
        <v>2</v>
      </c>
      <c r="AH6" s="180" t="str">
        <f t="shared" si="1"/>
        <v>ILKG_33/50_S2</v>
      </c>
    </row>
    <row r="7" spans="1:39" x14ac:dyDescent="0.3">
      <c r="A7" s="218">
        <v>92</v>
      </c>
      <c r="B7" s="135">
        <v>161</v>
      </c>
      <c r="C7" s="135" t="s">
        <v>1060</v>
      </c>
      <c r="D7" s="135" t="s">
        <v>1061</v>
      </c>
      <c r="E7" s="135" t="s">
        <v>1062</v>
      </c>
      <c r="F7" s="135" t="s">
        <v>1063</v>
      </c>
      <c r="G7" s="159"/>
      <c r="H7" s="135" t="s">
        <v>494</v>
      </c>
      <c r="I7" s="159"/>
      <c r="J7" s="135" t="s">
        <v>92</v>
      </c>
      <c r="K7" s="159"/>
      <c r="L7" s="159"/>
      <c r="M7" s="135" t="s">
        <v>1062</v>
      </c>
      <c r="N7" s="159"/>
      <c r="O7" s="159"/>
      <c r="P7" s="159"/>
      <c r="Q7" s="135" t="s">
        <v>494</v>
      </c>
      <c r="R7" s="159"/>
      <c r="S7" s="135" t="s">
        <v>92</v>
      </c>
      <c r="T7" s="159"/>
      <c r="U7" s="159"/>
      <c r="V7" s="159"/>
      <c r="W7" s="135" t="s">
        <v>669</v>
      </c>
      <c r="X7" s="159"/>
      <c r="Y7" s="159"/>
      <c r="Z7" s="159"/>
      <c r="AA7" s="159"/>
      <c r="AB7" s="159"/>
      <c r="AC7" s="135" t="s">
        <v>1064</v>
      </c>
      <c r="AD7" s="68" t="s">
        <v>387</v>
      </c>
      <c r="AE7" s="175" t="s">
        <v>869</v>
      </c>
      <c r="AF7" s="91" t="str">
        <f t="shared" si="0"/>
        <v>M</v>
      </c>
      <c r="AG7" s="91" cm="1">
        <f t="array" ref="AG7">_xlfn.SWITCH(D7,"PTA12",2,"PTD1",2,"PTD0",3,"PTC16",1,"PTD5",1,"PTA5",2,"PTD6",2,"PTE8",2,(LEN(N7)+LEN(N7)-LEN(SUBSTITUTE(N7,"ADC",))-LEN(SUBSTITUTE(N7,"CMP",)))/3)</f>
        <v>0</v>
      </c>
      <c r="AH7" s="180" t="str">
        <f t="shared" si="1"/>
        <v>ILKG_33/50_M0</v>
      </c>
    </row>
    <row r="8" spans="1:39" x14ac:dyDescent="0.3">
      <c r="A8" s="218">
        <v>91</v>
      </c>
      <c r="B8" s="135">
        <v>160</v>
      </c>
      <c r="C8" s="135" t="s">
        <v>1055</v>
      </c>
      <c r="D8" s="135" t="s">
        <v>1056</v>
      </c>
      <c r="E8" s="135" t="s">
        <v>1057</v>
      </c>
      <c r="F8" s="135" t="s">
        <v>1057</v>
      </c>
      <c r="G8" s="135" t="s">
        <v>518</v>
      </c>
      <c r="H8" s="135" t="s">
        <v>486</v>
      </c>
      <c r="I8" s="135" t="s">
        <v>39</v>
      </c>
      <c r="J8" s="135" t="s">
        <v>106</v>
      </c>
      <c r="K8" s="135" t="s">
        <v>332</v>
      </c>
      <c r="L8" s="135" t="s">
        <v>93</v>
      </c>
      <c r="M8" s="159"/>
      <c r="N8" s="135" t="s">
        <v>1058</v>
      </c>
      <c r="O8" s="159"/>
      <c r="P8" s="159"/>
      <c r="Q8" s="135" t="s">
        <v>486</v>
      </c>
      <c r="R8" s="135" t="s">
        <v>39</v>
      </c>
      <c r="S8" s="135" t="s">
        <v>106</v>
      </c>
      <c r="T8" s="159"/>
      <c r="U8" s="135" t="s">
        <v>93</v>
      </c>
      <c r="V8" s="159"/>
      <c r="W8" s="135" t="s">
        <v>676</v>
      </c>
      <c r="X8" s="159"/>
      <c r="Y8" s="159"/>
      <c r="Z8" s="159"/>
      <c r="AA8" s="159"/>
      <c r="AB8" s="159"/>
      <c r="AC8" s="135" t="s">
        <v>1059</v>
      </c>
      <c r="AD8" s="68" t="s">
        <v>231</v>
      </c>
      <c r="AE8" s="175" t="s">
        <v>969</v>
      </c>
      <c r="AF8" s="91" t="str">
        <f t="shared" si="0"/>
        <v>SP</v>
      </c>
      <c r="AG8" s="91" cm="1">
        <f t="array" ref="AG8">_xlfn.SWITCH(D8,"PTA12",2,"PTD1",2,"PTD0",3,"PTC16",1,"PTD5",1,"PTA5",2,"PTD6",2,"PTE8",2,(LEN(N8)+LEN(N8)-LEN(SUBSTITUTE(N8,"ADC",))-LEN(SUBSTITUTE(N8,"CMP",)))/3)</f>
        <v>1</v>
      </c>
      <c r="AH8" s="180" t="str">
        <f t="shared" si="1"/>
        <v>ILKG_33/50_SP1</v>
      </c>
    </row>
    <row r="9" spans="1:39" x14ac:dyDescent="0.3">
      <c r="A9" s="218">
        <v>90</v>
      </c>
      <c r="B9" s="135">
        <v>159</v>
      </c>
      <c r="C9" s="135" t="s">
        <v>1048</v>
      </c>
      <c r="D9" s="135" t="s">
        <v>1049</v>
      </c>
      <c r="E9" s="135" t="s">
        <v>141</v>
      </c>
      <c r="F9" s="135" t="s">
        <v>1050</v>
      </c>
      <c r="G9" s="135" t="s">
        <v>1051</v>
      </c>
      <c r="H9" s="135" t="s">
        <v>479</v>
      </c>
      <c r="I9" s="135" t="s">
        <v>141</v>
      </c>
      <c r="J9" s="159"/>
      <c r="K9" s="135" t="s">
        <v>264</v>
      </c>
      <c r="L9" s="135" t="s">
        <v>50</v>
      </c>
      <c r="M9" s="135" t="s">
        <v>1052</v>
      </c>
      <c r="N9" s="135" t="s">
        <v>1053</v>
      </c>
      <c r="O9" s="159"/>
      <c r="P9" s="135" t="s">
        <v>1051</v>
      </c>
      <c r="Q9" s="135" t="s">
        <v>479</v>
      </c>
      <c r="R9" s="159"/>
      <c r="S9" s="159"/>
      <c r="T9" s="135" t="s">
        <v>264</v>
      </c>
      <c r="U9" s="135" t="s">
        <v>50</v>
      </c>
      <c r="V9" s="159"/>
      <c r="W9" s="135" t="s">
        <v>541</v>
      </c>
      <c r="X9" s="135" t="s">
        <v>641</v>
      </c>
      <c r="Y9" s="135" t="s">
        <v>689</v>
      </c>
      <c r="Z9" s="159"/>
      <c r="AA9" s="159"/>
      <c r="AB9" s="159"/>
      <c r="AC9" s="135" t="s">
        <v>1054</v>
      </c>
      <c r="AD9" s="68" t="s">
        <v>34</v>
      </c>
      <c r="AE9" s="175" t="s">
        <v>875</v>
      </c>
      <c r="AF9" s="91" t="str">
        <f t="shared" si="0"/>
        <v>S</v>
      </c>
      <c r="AG9" s="91" cm="1">
        <f t="array" ref="AG9">_xlfn.SWITCH(D9,"PTA12",2,"PTD1",2,"PTD0",3,"PTC16",1,"PTD5",1,"PTA5",2,"PTD6",2,"PTE8",2,(LEN(N9)+LEN(N9)-LEN(SUBSTITUTE(N9,"ADC",))-LEN(SUBSTITUTE(N9,"CMP",)))/3)</f>
        <v>2</v>
      </c>
      <c r="AH9" s="180" t="str">
        <f t="shared" si="1"/>
        <v>ILKG_33/50_S2</v>
      </c>
    </row>
    <row r="10" spans="1:39" x14ac:dyDescent="0.3">
      <c r="A10" s="218">
        <v>89</v>
      </c>
      <c r="B10" s="135">
        <v>155</v>
      </c>
      <c r="C10" s="135" t="s">
        <v>1027</v>
      </c>
      <c r="D10" s="135" t="s">
        <v>1028</v>
      </c>
      <c r="E10" s="135" t="s">
        <v>1029</v>
      </c>
      <c r="F10" s="135" t="s">
        <v>1029</v>
      </c>
      <c r="G10" s="135" t="s">
        <v>1030</v>
      </c>
      <c r="H10" s="135" t="s">
        <v>472</v>
      </c>
      <c r="I10" s="159"/>
      <c r="J10" s="159"/>
      <c r="K10" s="135" t="s">
        <v>246</v>
      </c>
      <c r="L10" s="135" t="s">
        <v>91</v>
      </c>
      <c r="M10" s="135" t="s">
        <v>701</v>
      </c>
      <c r="N10" s="135" t="s">
        <v>1031</v>
      </c>
      <c r="O10" s="159"/>
      <c r="P10" s="135" t="s">
        <v>1030</v>
      </c>
      <c r="Q10" s="135" t="s">
        <v>472</v>
      </c>
      <c r="R10" s="159"/>
      <c r="S10" s="159"/>
      <c r="T10" s="135" t="s">
        <v>246</v>
      </c>
      <c r="U10" s="135" t="s">
        <v>91</v>
      </c>
      <c r="V10" s="135" t="s">
        <v>701</v>
      </c>
      <c r="W10" s="135" t="s">
        <v>626</v>
      </c>
      <c r="X10" s="159"/>
      <c r="Y10" s="159"/>
      <c r="Z10" s="159"/>
      <c r="AA10" s="159"/>
      <c r="AB10" s="159"/>
      <c r="AC10" s="135" t="s">
        <v>1032</v>
      </c>
      <c r="AD10" s="68" t="s">
        <v>34</v>
      </c>
      <c r="AE10" s="175" t="s">
        <v>875</v>
      </c>
      <c r="AF10" s="91" t="str">
        <f t="shared" si="0"/>
        <v>S</v>
      </c>
      <c r="AG10" s="91" cm="1">
        <f t="array" ref="AG10">_xlfn.SWITCH(D10,"PTA12",2,"PTD1",2,"PTD0",3,"PTC16",1,"PTD5",1,"PTA5",2,"PTD6",2,"PTE8",2,(LEN(N10)+LEN(N10)-LEN(SUBSTITUTE(N10,"ADC",))-LEN(SUBSTITUTE(N10,"CMP",)))/3)</f>
        <v>1</v>
      </c>
      <c r="AH10" s="180" t="str">
        <f t="shared" si="1"/>
        <v>ILKG_33/50_S1</v>
      </c>
    </row>
    <row r="11" spans="1:39" x14ac:dyDescent="0.3">
      <c r="A11" s="218">
        <v>88</v>
      </c>
      <c r="B11" s="135">
        <v>152</v>
      </c>
      <c r="C11" s="135" t="s">
        <v>1012</v>
      </c>
      <c r="D11" s="135" t="s">
        <v>1013</v>
      </c>
      <c r="E11" s="135" t="s">
        <v>1014</v>
      </c>
      <c r="F11" s="135" t="s">
        <v>1014</v>
      </c>
      <c r="G11" s="159"/>
      <c r="H11" s="135" t="s">
        <v>168</v>
      </c>
      <c r="I11" s="135" t="s">
        <v>790</v>
      </c>
      <c r="J11" s="135" t="s">
        <v>520</v>
      </c>
      <c r="K11" s="159"/>
      <c r="L11" s="135" t="s">
        <v>503</v>
      </c>
      <c r="M11" s="135" t="s">
        <v>382</v>
      </c>
      <c r="N11" s="135" t="s">
        <v>1015</v>
      </c>
      <c r="O11" s="159"/>
      <c r="P11" s="159"/>
      <c r="Q11" s="135" t="s">
        <v>168</v>
      </c>
      <c r="R11" s="135" t="s">
        <v>790</v>
      </c>
      <c r="S11" s="135" t="s">
        <v>520</v>
      </c>
      <c r="T11" s="159"/>
      <c r="U11" s="135" t="s">
        <v>503</v>
      </c>
      <c r="V11" s="135" t="s">
        <v>382</v>
      </c>
      <c r="W11" s="135" t="s">
        <v>558</v>
      </c>
      <c r="X11" s="159"/>
      <c r="Y11" s="159"/>
      <c r="Z11" s="159"/>
      <c r="AA11" s="159"/>
      <c r="AB11" s="159"/>
      <c r="AC11" s="135" t="s">
        <v>1016</v>
      </c>
      <c r="AD11" s="68" t="s">
        <v>34</v>
      </c>
      <c r="AE11" s="175" t="s">
        <v>969</v>
      </c>
      <c r="AF11" s="91" t="str">
        <f t="shared" si="0"/>
        <v>S</v>
      </c>
      <c r="AG11" s="91" cm="1">
        <f t="array" ref="AG11">_xlfn.SWITCH(D11,"PTA12",2,"PTD1",2,"PTD0",3,"PTC16",1,"PTD5",1,"PTA5",2,"PTD6",2,"PTE8",2,(LEN(N11)+LEN(N11)-LEN(SUBSTITUTE(N11,"ADC",))-LEN(SUBSTITUTE(N11,"CMP",)))/3)</f>
        <v>1</v>
      </c>
      <c r="AH11" s="180" t="str">
        <f t="shared" si="1"/>
        <v>ILKG_33/50_S1</v>
      </c>
    </row>
    <row r="12" spans="1:39" x14ac:dyDescent="0.3">
      <c r="A12" s="218">
        <v>83</v>
      </c>
      <c r="B12" s="135">
        <v>145</v>
      </c>
      <c r="C12" s="135" t="s">
        <v>992</v>
      </c>
      <c r="D12" s="135" t="s">
        <v>993</v>
      </c>
      <c r="E12" s="135" t="s">
        <v>994</v>
      </c>
      <c r="F12" s="135" t="s">
        <v>994</v>
      </c>
      <c r="G12" s="159"/>
      <c r="H12" s="135" t="s">
        <v>554</v>
      </c>
      <c r="I12" s="135" t="s">
        <v>422</v>
      </c>
      <c r="J12" s="135" t="s">
        <v>995</v>
      </c>
      <c r="K12" s="159"/>
      <c r="L12" s="135" t="s">
        <v>261</v>
      </c>
      <c r="M12" s="135" t="s">
        <v>918</v>
      </c>
      <c r="N12" s="135" t="s">
        <v>996</v>
      </c>
      <c r="O12" s="159"/>
      <c r="P12" s="159"/>
      <c r="Q12" s="135" t="s">
        <v>554</v>
      </c>
      <c r="R12" s="135" t="s">
        <v>422</v>
      </c>
      <c r="S12" s="135" t="s">
        <v>995</v>
      </c>
      <c r="T12" s="159"/>
      <c r="U12" s="135" t="s">
        <v>261</v>
      </c>
      <c r="V12" s="135" t="s">
        <v>918</v>
      </c>
      <c r="W12" s="135" t="s">
        <v>530</v>
      </c>
      <c r="X12" s="135" t="s">
        <v>496</v>
      </c>
      <c r="Y12" s="159"/>
      <c r="Z12" s="159"/>
      <c r="AA12" s="159"/>
      <c r="AB12" s="159"/>
      <c r="AC12" s="135" t="s">
        <v>997</v>
      </c>
      <c r="AD12" s="68" t="s">
        <v>34</v>
      </c>
      <c r="AE12" s="175" t="s">
        <v>875</v>
      </c>
      <c r="AF12" s="91" t="str">
        <f t="shared" si="0"/>
        <v>S</v>
      </c>
      <c r="AG12" s="91" cm="1">
        <f t="array" ref="AG12">_xlfn.SWITCH(D12,"PTA12",2,"PTD1",2,"PTD0",3,"PTC16",1,"PTD5",1,"PTA5",2,"PTD6",2,"PTE8",2,(LEN(N12)+LEN(N12)-LEN(SUBSTITUTE(N12,"ADC",))-LEN(SUBSTITUTE(N12,"CMP",)))/3)</f>
        <v>1</v>
      </c>
      <c r="AH12" s="180" t="str">
        <f t="shared" si="1"/>
        <v>ILKG_33/50_S1</v>
      </c>
      <c r="AM12" s="174"/>
    </row>
    <row r="13" spans="1:39" x14ac:dyDescent="0.3">
      <c r="A13" s="218">
        <v>82</v>
      </c>
      <c r="B13" s="135">
        <v>143</v>
      </c>
      <c r="C13" s="135" t="s">
        <v>980</v>
      </c>
      <c r="D13" s="135" t="s">
        <v>981</v>
      </c>
      <c r="E13" s="135" t="s">
        <v>982</v>
      </c>
      <c r="F13" s="135" t="s">
        <v>982</v>
      </c>
      <c r="G13" s="135" t="s">
        <v>983</v>
      </c>
      <c r="H13" s="135" t="s">
        <v>527</v>
      </c>
      <c r="I13" s="135" t="s">
        <v>797</v>
      </c>
      <c r="J13" s="135" t="s">
        <v>984</v>
      </c>
      <c r="K13" s="135" t="s">
        <v>485</v>
      </c>
      <c r="L13" s="159"/>
      <c r="M13" s="135" t="s">
        <v>912</v>
      </c>
      <c r="N13" s="135" t="s">
        <v>985</v>
      </c>
      <c r="O13" s="159"/>
      <c r="P13" s="135" t="s">
        <v>983</v>
      </c>
      <c r="Q13" s="135" t="s">
        <v>527</v>
      </c>
      <c r="R13" s="135" t="s">
        <v>797</v>
      </c>
      <c r="S13" s="135" t="s">
        <v>984</v>
      </c>
      <c r="T13" s="135" t="s">
        <v>485</v>
      </c>
      <c r="U13" s="159"/>
      <c r="V13" s="135" t="s">
        <v>912</v>
      </c>
      <c r="W13" s="135" t="s">
        <v>173</v>
      </c>
      <c r="X13" s="159"/>
      <c r="Y13" s="159"/>
      <c r="Z13" s="159"/>
      <c r="AA13" s="159"/>
      <c r="AB13" s="159"/>
      <c r="AC13" s="135" t="s">
        <v>986</v>
      </c>
      <c r="AD13" s="68" t="s">
        <v>34</v>
      </c>
      <c r="AE13" s="175" t="s">
        <v>869</v>
      </c>
      <c r="AF13" s="91" t="str">
        <f t="shared" si="0"/>
        <v>S</v>
      </c>
      <c r="AG13" s="91" cm="1">
        <f t="array" ref="AG13">_xlfn.SWITCH(D13,"PTA12",2,"PTD1",2,"PTD0",3,"PTC16",1,"PTD5",1,"PTA5",2,"PTD6",2,"PTE8",2,(LEN(N13)+LEN(N13)-LEN(SUBSTITUTE(N13,"ADC",))-LEN(SUBSTITUTE(N13,"CMP",)))/3)</f>
        <v>1</v>
      </c>
      <c r="AH13" s="180" t="str">
        <f t="shared" si="1"/>
        <v>ILKG_33/50_S1</v>
      </c>
    </row>
    <row r="14" spans="1:39" x14ac:dyDescent="0.3">
      <c r="A14" s="219"/>
      <c r="B14" s="135">
        <v>109</v>
      </c>
      <c r="C14" s="135" t="s">
        <v>782</v>
      </c>
      <c r="D14" s="135" t="s">
        <v>783</v>
      </c>
      <c r="E14" s="135" t="s">
        <v>784</v>
      </c>
      <c r="F14" s="135" t="s">
        <v>784</v>
      </c>
      <c r="G14" s="159"/>
      <c r="H14" s="135" t="s">
        <v>381</v>
      </c>
      <c r="I14" s="159"/>
      <c r="J14" s="135" t="s">
        <v>126</v>
      </c>
      <c r="K14" s="159"/>
      <c r="L14" s="135" t="s">
        <v>115</v>
      </c>
      <c r="M14" s="135" t="s">
        <v>638</v>
      </c>
      <c r="N14" s="135" t="s">
        <v>785</v>
      </c>
      <c r="O14" s="159"/>
      <c r="P14" s="159"/>
      <c r="Q14" s="135" t="s">
        <v>381</v>
      </c>
      <c r="R14" s="159"/>
      <c r="S14" s="135" t="s">
        <v>126</v>
      </c>
      <c r="T14" s="159"/>
      <c r="U14" s="135" t="s">
        <v>115</v>
      </c>
      <c r="V14" s="135" t="s">
        <v>638</v>
      </c>
      <c r="W14" s="159"/>
      <c r="X14" s="159"/>
      <c r="Y14" s="159"/>
      <c r="Z14" s="159"/>
      <c r="AA14" s="159"/>
      <c r="AB14" s="159"/>
      <c r="AC14" s="135" t="s">
        <v>786</v>
      </c>
      <c r="AD14" s="68" t="s">
        <v>34</v>
      </c>
      <c r="AE14" s="175" t="s">
        <v>35</v>
      </c>
      <c r="AF14" s="91" t="str">
        <f t="shared" si="0"/>
        <v>S</v>
      </c>
      <c r="AG14" s="91" cm="1">
        <f t="array" ref="AG14">_xlfn.SWITCH(D14,"PTA12",2,"PTD1",2,"PTD0",3,"PTC16",1,"PTD5",1,"PTA5",2,"PTD6",2,"PTE8",2,(LEN(N14)+LEN(N14)-LEN(SUBSTITUTE(N14,"ADC",))-LEN(SUBSTITUTE(N14,"CMP",)))/3)</f>
        <v>1</v>
      </c>
      <c r="AH14" s="180" t="str">
        <f t="shared" si="1"/>
        <v>ILKG_33/50_S1</v>
      </c>
    </row>
    <row r="15" spans="1:39" x14ac:dyDescent="0.3">
      <c r="A15" s="219"/>
      <c r="B15" s="135">
        <v>1</v>
      </c>
      <c r="C15" s="135" t="s">
        <v>22</v>
      </c>
      <c r="D15" s="135" t="s">
        <v>23</v>
      </c>
      <c r="E15" s="135" t="s">
        <v>24</v>
      </c>
      <c r="F15" s="135" t="s">
        <v>24</v>
      </c>
      <c r="G15" s="159"/>
      <c r="H15" s="135" t="s">
        <v>25</v>
      </c>
      <c r="I15" s="135" t="s">
        <v>26</v>
      </c>
      <c r="J15" s="135" t="s">
        <v>27</v>
      </c>
      <c r="K15" s="135" t="s">
        <v>28</v>
      </c>
      <c r="L15" s="135" t="s">
        <v>29</v>
      </c>
      <c r="M15" s="159"/>
      <c r="N15" s="135" t="s">
        <v>30</v>
      </c>
      <c r="O15" s="159"/>
      <c r="P15" s="159"/>
      <c r="Q15" s="135" t="s">
        <v>25</v>
      </c>
      <c r="R15" s="135" t="s">
        <v>26</v>
      </c>
      <c r="S15" s="135" t="s">
        <v>27</v>
      </c>
      <c r="T15" s="135" t="s">
        <v>28</v>
      </c>
      <c r="U15" s="135" t="s">
        <v>29</v>
      </c>
      <c r="V15" s="159"/>
      <c r="W15" s="135" t="s">
        <v>31</v>
      </c>
      <c r="X15" s="135" t="s">
        <v>32</v>
      </c>
      <c r="Y15" s="159"/>
      <c r="Z15" s="159"/>
      <c r="AA15" s="159"/>
      <c r="AB15" s="159"/>
      <c r="AC15" s="135" t="s">
        <v>33</v>
      </c>
      <c r="AD15" s="68" t="s">
        <v>34</v>
      </c>
      <c r="AE15" s="175" t="s">
        <v>35</v>
      </c>
      <c r="AF15" s="91" t="str">
        <f t="shared" si="0"/>
        <v>S</v>
      </c>
      <c r="AG15" s="91" cm="1">
        <f t="array" ref="AG15">_xlfn.SWITCH(D15,"PTA12",2,"PTD1",2,"PTD0",3,"PTC16",1,"PTD5",1,"PTA5",2,"PTD6",2,"PTE8",2,(LEN(N15)+LEN(N15)-LEN(SUBSTITUTE(N15,"ADC",))-LEN(SUBSTITUTE(N15,"CMP",)))/3)</f>
        <v>1</v>
      </c>
      <c r="AH15" s="180" t="str">
        <f t="shared" si="1"/>
        <v>ILKG_33/50_S1</v>
      </c>
    </row>
    <row r="16" spans="1:39" x14ac:dyDescent="0.3">
      <c r="A16" s="219"/>
      <c r="B16" s="135">
        <v>2</v>
      </c>
      <c r="C16" s="135" t="s">
        <v>36</v>
      </c>
      <c r="D16" s="135" t="s">
        <v>37</v>
      </c>
      <c r="E16" s="135" t="s">
        <v>38</v>
      </c>
      <c r="F16" s="135" t="s">
        <v>38</v>
      </c>
      <c r="G16" s="159"/>
      <c r="H16" s="135" t="s">
        <v>39</v>
      </c>
      <c r="I16" s="159"/>
      <c r="J16" s="135" t="s">
        <v>40</v>
      </c>
      <c r="K16" s="159"/>
      <c r="L16" s="135" t="s">
        <v>41</v>
      </c>
      <c r="M16" s="159"/>
      <c r="N16" s="135" t="s">
        <v>42</v>
      </c>
      <c r="O16" s="159"/>
      <c r="P16" s="159"/>
      <c r="Q16" s="135" t="s">
        <v>39</v>
      </c>
      <c r="R16" s="159"/>
      <c r="S16" s="135" t="s">
        <v>40</v>
      </c>
      <c r="T16" s="159"/>
      <c r="U16" s="135" t="s">
        <v>41</v>
      </c>
      <c r="V16" s="159"/>
      <c r="W16" s="135" t="s">
        <v>43</v>
      </c>
      <c r="X16" s="135" t="s">
        <v>44</v>
      </c>
      <c r="Y16" s="135" t="s">
        <v>45</v>
      </c>
      <c r="Z16" s="159"/>
      <c r="AA16" s="159"/>
      <c r="AB16" s="159"/>
      <c r="AC16" s="135" t="s">
        <v>46</v>
      </c>
      <c r="AD16" s="68" t="s">
        <v>34</v>
      </c>
      <c r="AE16" s="175" t="s">
        <v>35</v>
      </c>
      <c r="AF16" s="91" t="str">
        <f t="shared" si="0"/>
        <v>S</v>
      </c>
      <c r="AG16" s="91" cm="1">
        <f t="array" ref="AG16">_xlfn.SWITCH(D16,"PTA12",2,"PTD1",2,"PTD0",3,"PTC16",1,"PTD5",1,"PTA5",2,"PTD6",2,"PTE8",2,(LEN(N16)+LEN(N16)-LEN(SUBSTITUTE(N16,"ADC",))-LEN(SUBSTITUTE(N16,"CMP",)))/3)</f>
        <v>1</v>
      </c>
      <c r="AH16" s="180" t="str">
        <f t="shared" si="1"/>
        <v>ILKG_33/50_S1</v>
      </c>
    </row>
    <row r="17" spans="1:38" x14ac:dyDescent="0.3">
      <c r="A17" s="218">
        <v>73</v>
      </c>
      <c r="B17" s="135">
        <v>124</v>
      </c>
      <c r="C17" s="135" t="s">
        <v>876</v>
      </c>
      <c r="D17" s="135" t="s">
        <v>877</v>
      </c>
      <c r="E17" s="135" t="s">
        <v>878</v>
      </c>
      <c r="F17" s="135" t="s">
        <v>878</v>
      </c>
      <c r="G17" s="135" t="s">
        <v>75</v>
      </c>
      <c r="H17" s="135" t="s">
        <v>537</v>
      </c>
      <c r="I17" s="159"/>
      <c r="J17" s="159"/>
      <c r="K17" s="135" t="s">
        <v>142</v>
      </c>
      <c r="L17" s="135" t="s">
        <v>826</v>
      </c>
      <c r="M17" s="135" t="s">
        <v>340</v>
      </c>
      <c r="N17" s="135" t="s">
        <v>879</v>
      </c>
      <c r="O17" s="159"/>
      <c r="P17" s="159"/>
      <c r="Q17" s="135" t="s">
        <v>537</v>
      </c>
      <c r="R17" s="159"/>
      <c r="S17" s="159"/>
      <c r="T17" s="135" t="s">
        <v>142</v>
      </c>
      <c r="U17" s="159"/>
      <c r="V17" s="135" t="s">
        <v>340</v>
      </c>
      <c r="W17" s="135" t="s">
        <v>54</v>
      </c>
      <c r="X17" s="135" t="s">
        <v>83</v>
      </c>
      <c r="Y17" s="135" t="s">
        <v>51</v>
      </c>
      <c r="Z17" s="135" t="s">
        <v>256</v>
      </c>
      <c r="AA17" s="159"/>
      <c r="AB17" s="159"/>
      <c r="AC17" s="135" t="s">
        <v>880</v>
      </c>
      <c r="AD17" s="68" t="s">
        <v>34</v>
      </c>
      <c r="AE17" s="175" t="s">
        <v>869</v>
      </c>
      <c r="AF17" s="91" t="str">
        <f t="shared" si="0"/>
        <v>S</v>
      </c>
      <c r="AG17" s="91" cm="1">
        <f t="array" ref="AG17">_xlfn.SWITCH(D17,"PTA12",2,"PTD1",2,"PTD0",3,"PTC16",1,"PTD5",1,"PTA5",2,"PTD6",2,"PTE8",2,(LEN(N17)+LEN(N17)-LEN(SUBSTITUTE(N17,"ADC",))-LEN(SUBSTITUTE(N17,"CMP",)))/3)</f>
        <v>2</v>
      </c>
      <c r="AH17" s="180" t="str">
        <f t="shared" si="1"/>
        <v>ILKG_33/50_S2</v>
      </c>
    </row>
    <row r="18" spans="1:38" x14ac:dyDescent="0.3">
      <c r="A18" s="219"/>
      <c r="B18" s="135">
        <v>3</v>
      </c>
      <c r="C18" s="135" t="s">
        <v>47</v>
      </c>
      <c r="D18" s="135" t="s">
        <v>48</v>
      </c>
      <c r="E18" s="135" t="s">
        <v>49</v>
      </c>
      <c r="F18" s="135" t="s">
        <v>49</v>
      </c>
      <c r="G18" s="159"/>
      <c r="H18" s="135" t="s">
        <v>50</v>
      </c>
      <c r="I18" s="159"/>
      <c r="J18" s="135" t="s">
        <v>51</v>
      </c>
      <c r="K18" s="159"/>
      <c r="L18" s="135" t="s">
        <v>52</v>
      </c>
      <c r="M18" s="159"/>
      <c r="N18" s="135" t="s">
        <v>53</v>
      </c>
      <c r="O18" s="159"/>
      <c r="P18" s="159"/>
      <c r="Q18" s="135" t="s">
        <v>50</v>
      </c>
      <c r="R18" s="159"/>
      <c r="S18" s="135" t="s">
        <v>51</v>
      </c>
      <c r="T18" s="159"/>
      <c r="U18" s="135" t="s">
        <v>52</v>
      </c>
      <c r="V18" s="159"/>
      <c r="W18" s="135" t="s">
        <v>54</v>
      </c>
      <c r="X18" s="135" t="s">
        <v>55</v>
      </c>
      <c r="Y18" s="159"/>
      <c r="Z18" s="159"/>
      <c r="AA18" s="159"/>
      <c r="AB18" s="159"/>
      <c r="AC18" s="135" t="s">
        <v>56</v>
      </c>
      <c r="AD18" s="68" t="s">
        <v>34</v>
      </c>
      <c r="AE18" s="175" t="s">
        <v>35</v>
      </c>
      <c r="AF18" s="91" t="str">
        <f t="shared" si="0"/>
        <v>S</v>
      </c>
      <c r="AG18" s="91" cm="1">
        <f t="array" ref="AG18">_xlfn.SWITCH(D18,"PTA12",2,"PTD1",2,"PTD0",3,"PTC16",1,"PTD5",1,"PTA5",2,"PTD6",2,"PTE8",2,(LEN(N18)+LEN(N18)-LEN(SUBSTITUTE(N18,"ADC",))-LEN(SUBSTITUTE(N18,"CMP",)))/3)</f>
        <v>1</v>
      </c>
      <c r="AH18" s="180" t="str">
        <f t="shared" si="1"/>
        <v>ILKG_33/50_S1</v>
      </c>
      <c r="AL18"/>
    </row>
    <row r="19" spans="1:38" x14ac:dyDescent="0.3">
      <c r="A19" s="219"/>
      <c r="B19" s="135">
        <v>6</v>
      </c>
      <c r="C19" s="135" t="s">
        <v>87</v>
      </c>
      <c r="D19" s="135" t="s">
        <v>88</v>
      </c>
      <c r="E19" s="135" t="s">
        <v>89</v>
      </c>
      <c r="F19" s="135" t="s">
        <v>89</v>
      </c>
      <c r="G19" s="135" t="s">
        <v>90</v>
      </c>
      <c r="H19" s="135" t="s">
        <v>91</v>
      </c>
      <c r="I19" s="135" t="s">
        <v>92</v>
      </c>
      <c r="J19" s="135" t="s">
        <v>93</v>
      </c>
      <c r="K19" s="159"/>
      <c r="L19" s="135" t="s">
        <v>94</v>
      </c>
      <c r="M19" s="159"/>
      <c r="N19" s="135" t="s">
        <v>95</v>
      </c>
      <c r="O19" s="159"/>
      <c r="P19" s="135" t="s">
        <v>90</v>
      </c>
      <c r="Q19" s="135" t="s">
        <v>91</v>
      </c>
      <c r="R19" s="135" t="s">
        <v>92</v>
      </c>
      <c r="S19" s="135" t="s">
        <v>93</v>
      </c>
      <c r="T19" s="159"/>
      <c r="U19" s="135" t="s">
        <v>94</v>
      </c>
      <c r="V19" s="159"/>
      <c r="W19" s="135" t="s">
        <v>96</v>
      </c>
      <c r="X19" s="135" t="s">
        <v>97</v>
      </c>
      <c r="Y19" s="159"/>
      <c r="Z19" s="159"/>
      <c r="AA19" s="159"/>
      <c r="AB19" s="159"/>
      <c r="AC19" s="135" t="s">
        <v>98</v>
      </c>
      <c r="AD19" s="68" t="s">
        <v>34</v>
      </c>
      <c r="AE19" s="175" t="s">
        <v>35</v>
      </c>
      <c r="AF19" s="91" t="str">
        <f t="shared" si="0"/>
        <v>S</v>
      </c>
      <c r="AG19" s="91" cm="1">
        <f t="array" ref="AG19">_xlfn.SWITCH(D19,"PTA12",2,"PTD1",2,"PTD0",3,"PTC16",1,"PTD5",1,"PTA5",2,"PTD6",2,"PTE8",2,(LEN(N19)+LEN(N19)-LEN(SUBSTITUTE(N19,"ADC",))-LEN(SUBSTITUTE(N19,"CMP",)))/3)</f>
        <v>1</v>
      </c>
      <c r="AH19" s="180" t="str">
        <f t="shared" si="1"/>
        <v>ILKG_33/50_S1</v>
      </c>
    </row>
    <row r="20" spans="1:38" x14ac:dyDescent="0.3">
      <c r="A20" s="219"/>
      <c r="B20" s="159"/>
      <c r="C20" s="135" t="s">
        <v>1409</v>
      </c>
      <c r="D20" s="135" t="s">
        <v>1410</v>
      </c>
      <c r="E20" s="135" t="s">
        <v>1411</v>
      </c>
      <c r="F20" s="135" t="s">
        <v>1411</v>
      </c>
      <c r="G20" s="159"/>
      <c r="H20" s="135" t="s">
        <v>168</v>
      </c>
      <c r="I20" s="135" t="s">
        <v>106</v>
      </c>
      <c r="J20" s="135" t="s">
        <v>167</v>
      </c>
      <c r="K20" s="159"/>
      <c r="L20" s="159"/>
      <c r="M20" s="159"/>
      <c r="N20" s="159"/>
      <c r="O20" s="159"/>
      <c r="P20" s="159"/>
      <c r="Q20" s="135" t="s">
        <v>168</v>
      </c>
      <c r="R20" s="135" t="s">
        <v>106</v>
      </c>
      <c r="S20" s="135" t="s">
        <v>167</v>
      </c>
      <c r="T20" s="159"/>
      <c r="U20" s="159"/>
      <c r="V20" s="159"/>
      <c r="W20" s="135" t="s">
        <v>541</v>
      </c>
      <c r="X20" s="159"/>
      <c r="Y20" s="159"/>
      <c r="Z20" s="159"/>
      <c r="AA20" s="159"/>
      <c r="AB20" s="159"/>
      <c r="AC20" s="135" t="s">
        <v>1412</v>
      </c>
      <c r="AD20" s="68" t="s">
        <v>34</v>
      </c>
      <c r="AE20" s="176"/>
      <c r="AF20" s="91" t="str">
        <f t="shared" si="0"/>
        <v>S</v>
      </c>
      <c r="AG20" s="91" cm="1">
        <f t="array" ref="AG20">_xlfn.SWITCH(D20,"PTA12",2,"PTD1",2,"PTD0",3,"PTC16",1,"PTD5",1,"PTA5",2,"PTD6",2,"PTE8",2,(LEN(N20)+LEN(N20)-LEN(SUBSTITUTE(N20,"ADC",))-LEN(SUBSTITUTE(N20,"CMP",)))/3)</f>
        <v>0</v>
      </c>
      <c r="AH20" s="180" t="str">
        <f t="shared" si="1"/>
        <v>ILKG_33/50_S0</v>
      </c>
      <c r="AL20"/>
    </row>
    <row r="21" spans="1:38" x14ac:dyDescent="0.3">
      <c r="A21" s="219"/>
      <c r="B21" s="159"/>
      <c r="C21" s="135" t="s">
        <v>1413</v>
      </c>
      <c r="D21" s="135" t="s">
        <v>1414</v>
      </c>
      <c r="E21" s="135" t="s">
        <v>1415</v>
      </c>
      <c r="F21" s="135" t="s">
        <v>1415</v>
      </c>
      <c r="G21" s="135" t="s">
        <v>518</v>
      </c>
      <c r="H21" s="135" t="s">
        <v>723</v>
      </c>
      <c r="I21" s="135" t="s">
        <v>79</v>
      </c>
      <c r="J21" s="159"/>
      <c r="K21" s="159"/>
      <c r="L21" s="159"/>
      <c r="M21" s="159"/>
      <c r="N21" s="159"/>
      <c r="O21" s="159"/>
      <c r="P21" s="159"/>
      <c r="Q21" s="135" t="s">
        <v>723</v>
      </c>
      <c r="R21" s="135" t="s">
        <v>79</v>
      </c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35" t="s">
        <v>1416</v>
      </c>
      <c r="AD21" s="68" t="s">
        <v>231</v>
      </c>
      <c r="AE21" s="176"/>
      <c r="AF21" s="91" t="str">
        <f t="shared" si="0"/>
        <v>SP</v>
      </c>
      <c r="AG21" s="91" cm="1">
        <f t="array" ref="AG21">_xlfn.SWITCH(D21,"PTA12",2,"PTD1",2,"PTD0",3,"PTC16",1,"PTD5",1,"PTA5",2,"PTD6",2,"PTE8",2,(LEN(N21)+LEN(N21)-LEN(SUBSTITUTE(N21,"ADC",))-LEN(SUBSTITUTE(N21,"CMP",)))/3)</f>
        <v>0</v>
      </c>
      <c r="AH21" s="180" t="str">
        <f t="shared" si="1"/>
        <v>ILKG_33/50_SP0</v>
      </c>
      <c r="AL21"/>
    </row>
    <row r="22" spans="1:38" x14ac:dyDescent="0.3">
      <c r="A22" s="219"/>
      <c r="B22" s="135">
        <v>14</v>
      </c>
      <c r="C22" s="135" t="s">
        <v>175</v>
      </c>
      <c r="D22" s="135" t="s">
        <v>176</v>
      </c>
      <c r="E22" s="135" t="s">
        <v>177</v>
      </c>
      <c r="F22" s="135" t="s">
        <v>177</v>
      </c>
      <c r="G22" s="159"/>
      <c r="H22" s="159"/>
      <c r="I22" s="159"/>
      <c r="J22" s="159"/>
      <c r="K22" s="159"/>
      <c r="L22" s="159"/>
      <c r="M22" s="159"/>
      <c r="N22" s="135" t="s">
        <v>178</v>
      </c>
      <c r="O22" s="159"/>
      <c r="P22" s="159"/>
      <c r="Q22" s="159"/>
      <c r="R22" s="159"/>
      <c r="S22" s="159"/>
      <c r="T22" s="159"/>
      <c r="U22" s="159"/>
      <c r="V22" s="159"/>
      <c r="W22" s="135" t="s">
        <v>65</v>
      </c>
      <c r="X22" s="135" t="s">
        <v>179</v>
      </c>
      <c r="Y22" s="159"/>
      <c r="Z22" s="159"/>
      <c r="AA22" s="159"/>
      <c r="AB22" s="159"/>
      <c r="AC22" s="135" t="s">
        <v>180</v>
      </c>
      <c r="AD22" s="68" t="s">
        <v>181</v>
      </c>
      <c r="AE22" s="176"/>
      <c r="AF22" s="91" t="str">
        <f t="shared" si="0"/>
        <v>I</v>
      </c>
      <c r="AG22" s="91" cm="1">
        <f t="array" ref="AG22">_xlfn.SWITCH(D22,"PTA12",2,"PTD1",2,"PTD0",3,"PTC16",1,"PTD5",1,"PTA5",2,"PTD6",2,"PTE8",2,(LEN(N22)+LEN(N22)-LEN(SUBSTITUTE(N22,"ADC",))-LEN(SUBSTITUTE(N22,"CMP",)))/3)</f>
        <v>0</v>
      </c>
      <c r="AH22" s="180" t="str">
        <f t="shared" si="1"/>
        <v>ILKG_33/50_I0</v>
      </c>
    </row>
    <row r="23" spans="1:38" x14ac:dyDescent="0.3">
      <c r="A23" s="219"/>
      <c r="B23" s="135">
        <v>15</v>
      </c>
      <c r="C23" s="135" t="s">
        <v>182</v>
      </c>
      <c r="D23" s="135" t="s">
        <v>183</v>
      </c>
      <c r="E23" s="135" t="s">
        <v>184</v>
      </c>
      <c r="F23" s="135" t="s">
        <v>184</v>
      </c>
      <c r="G23" s="159"/>
      <c r="H23" s="159"/>
      <c r="I23" s="159"/>
      <c r="J23" s="159"/>
      <c r="K23" s="159"/>
      <c r="L23" s="159"/>
      <c r="M23" s="159"/>
      <c r="N23" s="135" t="s">
        <v>185</v>
      </c>
      <c r="O23" s="159"/>
      <c r="P23" s="159"/>
      <c r="Q23" s="159"/>
      <c r="R23" s="159"/>
      <c r="S23" s="159"/>
      <c r="T23" s="159"/>
      <c r="U23" s="159"/>
      <c r="V23" s="159"/>
      <c r="W23" s="135" t="s">
        <v>160</v>
      </c>
      <c r="X23" s="135" t="s">
        <v>79</v>
      </c>
      <c r="Y23" s="135" t="s">
        <v>186</v>
      </c>
      <c r="Z23" s="135" t="s">
        <v>187</v>
      </c>
      <c r="AA23" s="159"/>
      <c r="AB23" s="159"/>
      <c r="AC23" s="135" t="s">
        <v>188</v>
      </c>
      <c r="AD23" s="68" t="s">
        <v>181</v>
      </c>
      <c r="AE23" s="176"/>
      <c r="AF23" s="91" t="str">
        <f t="shared" si="0"/>
        <v>I</v>
      </c>
      <c r="AG23" s="91" cm="1">
        <f t="array" ref="AG23">_xlfn.SWITCH(D23,"PTA12",2,"PTD1",2,"PTD0",3,"PTC16",1,"PTD5",1,"PTA5",2,"PTD6",2,"PTE8",2,(LEN(N23)+LEN(N23)-LEN(SUBSTITUTE(N23,"ADC",))-LEN(SUBSTITUTE(N23,"CMP",)))/3)</f>
        <v>0</v>
      </c>
      <c r="AH23" s="180" t="str">
        <f t="shared" si="1"/>
        <v>ILKG_33/50_I0</v>
      </c>
    </row>
    <row r="24" spans="1:38" x14ac:dyDescent="0.3">
      <c r="A24" s="219"/>
      <c r="B24" s="159"/>
      <c r="C24" s="135" t="s">
        <v>1417</v>
      </c>
      <c r="D24" s="135" t="s">
        <v>1418</v>
      </c>
      <c r="E24" s="135" t="s">
        <v>1419</v>
      </c>
      <c r="F24" s="135" t="s">
        <v>1419</v>
      </c>
      <c r="G24" s="159"/>
      <c r="H24" s="135" t="s">
        <v>509</v>
      </c>
      <c r="I24" s="135" t="s">
        <v>93</v>
      </c>
      <c r="J24" s="135" t="s">
        <v>166</v>
      </c>
      <c r="K24" s="135" t="s">
        <v>106</v>
      </c>
      <c r="L24" s="135" t="s">
        <v>510</v>
      </c>
      <c r="M24" s="135" t="s">
        <v>227</v>
      </c>
      <c r="N24" s="135" t="s">
        <v>1420</v>
      </c>
      <c r="O24" s="159"/>
      <c r="P24" s="159"/>
      <c r="Q24" s="135" t="s">
        <v>509</v>
      </c>
      <c r="R24" s="135" t="s">
        <v>93</v>
      </c>
      <c r="S24" s="135" t="s">
        <v>166</v>
      </c>
      <c r="T24" s="135" t="s">
        <v>106</v>
      </c>
      <c r="U24" s="135" t="s">
        <v>510</v>
      </c>
      <c r="V24" s="135" t="s">
        <v>227</v>
      </c>
      <c r="W24" s="159"/>
      <c r="X24" s="159"/>
      <c r="Y24" s="159"/>
      <c r="Z24" s="159"/>
      <c r="AA24" s="159"/>
      <c r="AB24" s="159"/>
      <c r="AC24" s="135" t="s">
        <v>1421</v>
      </c>
      <c r="AD24" s="68" t="s">
        <v>34</v>
      </c>
      <c r="AE24" s="176"/>
      <c r="AF24" s="91" t="str">
        <f t="shared" si="0"/>
        <v>S</v>
      </c>
      <c r="AG24" s="91" cm="1">
        <f t="array" ref="AG24">_xlfn.SWITCH(D24,"PTA12",2,"PTD1",2,"PTD0",3,"PTC16",1,"PTD5",1,"PTA5",2,"PTD6",2,"PTE8",2,(LEN(N24)+LEN(N24)-LEN(SUBSTITUTE(N24,"ADC",))-LEN(SUBSTITUTE(N24,"CMP",)))/3)</f>
        <v>0</v>
      </c>
      <c r="AH24" s="180" t="str">
        <f t="shared" si="1"/>
        <v>ILKG_33/50_S0</v>
      </c>
    </row>
    <row r="25" spans="1:38" x14ac:dyDescent="0.3">
      <c r="A25" s="219"/>
      <c r="B25" s="135">
        <v>28</v>
      </c>
      <c r="C25" s="135" t="s">
        <v>232</v>
      </c>
      <c r="D25" s="135" t="s">
        <v>233</v>
      </c>
      <c r="E25" s="135" t="s">
        <v>234</v>
      </c>
      <c r="F25" s="135" t="s">
        <v>234</v>
      </c>
      <c r="G25" s="135" t="s">
        <v>130</v>
      </c>
      <c r="H25" s="135" t="s">
        <v>235</v>
      </c>
      <c r="I25" s="135" t="s">
        <v>217</v>
      </c>
      <c r="J25" s="135" t="s">
        <v>236</v>
      </c>
      <c r="K25" s="135" t="s">
        <v>237</v>
      </c>
      <c r="L25" s="135" t="s">
        <v>238</v>
      </c>
      <c r="M25" s="159"/>
      <c r="N25" s="159"/>
      <c r="O25" s="159"/>
      <c r="P25" s="135" t="s">
        <v>130</v>
      </c>
      <c r="Q25" s="135" t="s">
        <v>235</v>
      </c>
      <c r="R25" s="135" t="s">
        <v>217</v>
      </c>
      <c r="S25" s="135" t="s">
        <v>236</v>
      </c>
      <c r="T25" s="159"/>
      <c r="U25" s="135" t="s">
        <v>238</v>
      </c>
      <c r="V25" s="159"/>
      <c r="W25" s="159"/>
      <c r="X25" s="159"/>
      <c r="Y25" s="159"/>
      <c r="Z25" s="159"/>
      <c r="AA25" s="159"/>
      <c r="AB25" s="159"/>
      <c r="AC25" s="135" t="s">
        <v>239</v>
      </c>
      <c r="AD25" s="68" t="s">
        <v>231</v>
      </c>
      <c r="AE25" s="176"/>
      <c r="AF25" s="91" t="str">
        <f t="shared" si="0"/>
        <v>SP</v>
      </c>
      <c r="AG25" s="91" cm="1">
        <f t="array" ref="AG25">_xlfn.SWITCH(D25,"PTA12",2,"PTD1",2,"PTD0",3,"PTC16",1,"PTD5",1,"PTA5",2,"PTD6",2,"PTE8",2,(LEN(N25)+LEN(N25)-LEN(SUBSTITUTE(N25,"ADC",))-LEN(SUBSTITUTE(N25,"CMP",)))/3)</f>
        <v>0</v>
      </c>
      <c r="AH25" s="180" t="str">
        <f t="shared" si="1"/>
        <v>ILKG_33/50_SP0</v>
      </c>
    </row>
    <row r="26" spans="1:38" x14ac:dyDescent="0.3">
      <c r="A26" s="219"/>
      <c r="B26" s="135">
        <v>30</v>
      </c>
      <c r="C26" s="135" t="s">
        <v>249</v>
      </c>
      <c r="D26" s="135" t="s">
        <v>250</v>
      </c>
      <c r="E26" s="135" t="s">
        <v>251</v>
      </c>
      <c r="F26" s="135" t="s">
        <v>251</v>
      </c>
      <c r="G26" s="159"/>
      <c r="H26" s="135" t="s">
        <v>252</v>
      </c>
      <c r="I26" s="135" t="s">
        <v>40</v>
      </c>
      <c r="J26" s="159"/>
      <c r="K26" s="159"/>
      <c r="L26" s="135" t="s">
        <v>253</v>
      </c>
      <c r="M26" s="159"/>
      <c r="N26" s="159"/>
      <c r="O26" s="159"/>
      <c r="P26" s="159"/>
      <c r="Q26" s="135" t="s">
        <v>252</v>
      </c>
      <c r="R26" s="135" t="s">
        <v>40</v>
      </c>
      <c r="S26" s="159"/>
      <c r="T26" s="159"/>
      <c r="U26" s="135" t="s">
        <v>253</v>
      </c>
      <c r="V26" s="159"/>
      <c r="W26" s="135" t="s">
        <v>254</v>
      </c>
      <c r="X26" s="135" t="s">
        <v>255</v>
      </c>
      <c r="Y26" s="135" t="s">
        <v>256</v>
      </c>
      <c r="Z26" s="159"/>
      <c r="AA26" s="159"/>
      <c r="AB26" s="159"/>
      <c r="AC26" s="135" t="s">
        <v>257</v>
      </c>
      <c r="AD26" s="68" t="s">
        <v>34</v>
      </c>
      <c r="AE26" s="176"/>
      <c r="AF26" s="91" t="str">
        <f t="shared" si="0"/>
        <v>S</v>
      </c>
      <c r="AG26" s="91" cm="1">
        <f t="array" ref="AG26">_xlfn.SWITCH(D26,"PTA12",2,"PTD1",2,"PTD0",3,"PTC16",1,"PTD5",1,"PTA5",2,"PTD6",2,"PTE8",2,(LEN(N26)+LEN(N26)-LEN(SUBSTITUTE(N26,"ADC",))-LEN(SUBSTITUTE(N26,"CMP",)))/3)</f>
        <v>0</v>
      </c>
      <c r="AH26" s="180" t="str">
        <f t="shared" si="1"/>
        <v>ILKG_33/50_S0</v>
      </c>
    </row>
    <row r="27" spans="1:38" x14ac:dyDescent="0.3">
      <c r="A27" s="219"/>
      <c r="B27" s="135">
        <v>32</v>
      </c>
      <c r="C27" s="135" t="s">
        <v>270</v>
      </c>
      <c r="D27" s="135" t="s">
        <v>271</v>
      </c>
      <c r="E27" s="135" t="s">
        <v>272</v>
      </c>
      <c r="F27" s="135" t="s">
        <v>272</v>
      </c>
      <c r="G27" s="159"/>
      <c r="H27" s="135" t="s">
        <v>273</v>
      </c>
      <c r="I27" s="135" t="s">
        <v>265</v>
      </c>
      <c r="J27" s="135" t="s">
        <v>244</v>
      </c>
      <c r="K27" s="135" t="s">
        <v>51</v>
      </c>
      <c r="L27" s="135" t="s">
        <v>274</v>
      </c>
      <c r="M27" s="159"/>
      <c r="N27" s="159"/>
      <c r="O27" s="159"/>
      <c r="P27" s="159"/>
      <c r="Q27" s="135" t="s">
        <v>273</v>
      </c>
      <c r="R27" s="135" t="s">
        <v>265</v>
      </c>
      <c r="S27" s="135" t="s">
        <v>244</v>
      </c>
      <c r="T27" s="135" t="s">
        <v>51</v>
      </c>
      <c r="U27" s="135" t="s">
        <v>274</v>
      </c>
      <c r="V27" s="159"/>
      <c r="W27" s="159"/>
      <c r="X27" s="159"/>
      <c r="Y27" s="159"/>
      <c r="Z27" s="159"/>
      <c r="AA27" s="159"/>
      <c r="AB27" s="159"/>
      <c r="AC27" s="135" t="s">
        <v>275</v>
      </c>
      <c r="AD27" s="68" t="s">
        <v>34</v>
      </c>
      <c r="AE27" s="176"/>
      <c r="AF27" s="91" t="str">
        <f t="shared" si="0"/>
        <v>S</v>
      </c>
      <c r="AG27" s="91" cm="1">
        <f t="array" ref="AG27">_xlfn.SWITCH(D27,"PTA12",2,"PTD1",2,"PTD0",3,"PTC16",1,"PTD5",1,"PTA5",2,"PTD6",2,"PTE8",2,(LEN(N27)+LEN(N27)-LEN(SUBSTITUTE(N27,"ADC",))-LEN(SUBSTITUTE(N27,"CMP",)))/3)</f>
        <v>0</v>
      </c>
      <c r="AH27" s="180" t="str">
        <f t="shared" si="1"/>
        <v>ILKG_33/50_S0</v>
      </c>
    </row>
    <row r="28" spans="1:38" x14ac:dyDescent="0.3">
      <c r="A28" s="218">
        <v>72</v>
      </c>
      <c r="B28" s="135">
        <v>123</v>
      </c>
      <c r="C28" s="135" t="s">
        <v>870</v>
      </c>
      <c r="D28" s="135" t="s">
        <v>871</v>
      </c>
      <c r="E28" s="135" t="s">
        <v>872</v>
      </c>
      <c r="F28" s="135" t="s">
        <v>872</v>
      </c>
      <c r="G28" s="135" t="s">
        <v>60</v>
      </c>
      <c r="H28" s="135" t="s">
        <v>548</v>
      </c>
      <c r="I28" s="135" t="s">
        <v>40</v>
      </c>
      <c r="J28" s="135" t="s">
        <v>832</v>
      </c>
      <c r="K28" s="135" t="s">
        <v>130</v>
      </c>
      <c r="L28" s="135" t="s">
        <v>236</v>
      </c>
      <c r="M28" s="135" t="s">
        <v>330</v>
      </c>
      <c r="N28" s="135" t="s">
        <v>873</v>
      </c>
      <c r="O28" s="159"/>
      <c r="P28" s="159"/>
      <c r="Q28" s="135" t="s">
        <v>548</v>
      </c>
      <c r="R28" s="135" t="s">
        <v>40</v>
      </c>
      <c r="S28" s="159"/>
      <c r="T28" s="135" t="s">
        <v>130</v>
      </c>
      <c r="U28" s="135" t="s">
        <v>236</v>
      </c>
      <c r="V28" s="135" t="s">
        <v>330</v>
      </c>
      <c r="W28" s="135" t="s">
        <v>96</v>
      </c>
      <c r="X28" s="135" t="s">
        <v>69</v>
      </c>
      <c r="Y28" s="159"/>
      <c r="Z28" s="159"/>
      <c r="AA28" s="159"/>
      <c r="AB28" s="159"/>
      <c r="AC28" s="135" t="s">
        <v>874</v>
      </c>
      <c r="AD28" s="68" t="s">
        <v>34</v>
      </c>
      <c r="AE28" s="175" t="s">
        <v>875</v>
      </c>
      <c r="AF28" s="91" t="str">
        <f t="shared" si="0"/>
        <v>S</v>
      </c>
      <c r="AG28" s="91" cm="1">
        <f t="array" ref="AG28">_xlfn.SWITCH(D28,"PTA12",2,"PTD1",2,"PTD0",3,"PTC16",1,"PTD5",1,"PTA5",2,"PTD6",2,"PTE8",2,(LEN(N28)+LEN(N28)-LEN(SUBSTITUTE(N28,"ADC",))-LEN(SUBSTITUTE(N28,"CMP",)))/3)</f>
        <v>1</v>
      </c>
      <c r="AH28" s="180" t="str">
        <f t="shared" si="1"/>
        <v>ILKG_33/50_S1</v>
      </c>
    </row>
    <row r="29" spans="1:38" x14ac:dyDescent="0.3">
      <c r="A29" s="219"/>
      <c r="B29" s="135">
        <v>33</v>
      </c>
      <c r="C29" s="135" t="s">
        <v>276</v>
      </c>
      <c r="D29" s="135" t="s">
        <v>277</v>
      </c>
      <c r="E29" s="135" t="s">
        <v>278</v>
      </c>
      <c r="F29" s="135" t="s">
        <v>278</v>
      </c>
      <c r="G29" s="159"/>
      <c r="H29" s="135" t="s">
        <v>279</v>
      </c>
      <c r="I29" s="135" t="s">
        <v>27</v>
      </c>
      <c r="J29" s="135" t="s">
        <v>280</v>
      </c>
      <c r="K29" s="159"/>
      <c r="L29" s="135" t="s">
        <v>281</v>
      </c>
      <c r="M29" s="159"/>
      <c r="N29" s="135" t="s">
        <v>282</v>
      </c>
      <c r="O29" s="159"/>
      <c r="P29" s="159"/>
      <c r="Q29" s="135" t="s">
        <v>279</v>
      </c>
      <c r="R29" s="135" t="s">
        <v>27</v>
      </c>
      <c r="S29" s="135" t="s">
        <v>280</v>
      </c>
      <c r="T29" s="159"/>
      <c r="U29" s="135" t="s">
        <v>281</v>
      </c>
      <c r="V29" s="159"/>
      <c r="W29" s="135" t="s">
        <v>283</v>
      </c>
      <c r="X29" s="135" t="s">
        <v>268</v>
      </c>
      <c r="Y29" s="159"/>
      <c r="Z29" s="159"/>
      <c r="AA29" s="159"/>
      <c r="AB29" s="159"/>
      <c r="AC29" s="135" t="s">
        <v>284</v>
      </c>
      <c r="AD29" s="68" t="s">
        <v>34</v>
      </c>
      <c r="AE29" s="176"/>
      <c r="AF29" s="91" t="str">
        <f t="shared" si="0"/>
        <v>S</v>
      </c>
      <c r="AG29" s="91" cm="1">
        <f t="array" ref="AG29">_xlfn.SWITCH(D29,"PTA12",2,"PTD1",2,"PTD0",3,"PTC16",1,"PTD5",1,"PTA5",2,"PTD6",2,"PTE8",2,(LEN(N29)+LEN(N29)-LEN(SUBSTITUTE(N29,"ADC",))-LEN(SUBSTITUTE(N29,"CMP",)))/3)</f>
        <v>0</v>
      </c>
      <c r="AH29" s="180" t="str">
        <f t="shared" si="1"/>
        <v>ILKG_33/50_S0</v>
      </c>
    </row>
    <row r="30" spans="1:38" x14ac:dyDescent="0.3">
      <c r="A30" s="219"/>
      <c r="B30" s="135">
        <v>39</v>
      </c>
      <c r="C30" s="135" t="s">
        <v>321</v>
      </c>
      <c r="D30" s="135" t="s">
        <v>322</v>
      </c>
      <c r="E30" s="135" t="s">
        <v>323</v>
      </c>
      <c r="F30" s="135" t="s">
        <v>323</v>
      </c>
      <c r="G30" s="159"/>
      <c r="H30" s="135" t="s">
        <v>298</v>
      </c>
      <c r="I30" s="135" t="s">
        <v>92</v>
      </c>
      <c r="J30" s="135" t="s">
        <v>324</v>
      </c>
      <c r="K30" s="159"/>
      <c r="L30" s="159"/>
      <c r="M30" s="135" t="s">
        <v>325</v>
      </c>
      <c r="N30" s="159"/>
      <c r="O30" s="159"/>
      <c r="P30" s="159"/>
      <c r="Q30" s="135" t="s">
        <v>298</v>
      </c>
      <c r="R30" s="135" t="s">
        <v>92</v>
      </c>
      <c r="S30" s="135" t="s">
        <v>324</v>
      </c>
      <c r="T30" s="159"/>
      <c r="U30" s="159"/>
      <c r="V30" s="159"/>
      <c r="W30" s="159"/>
      <c r="X30" s="159"/>
      <c r="Y30" s="159"/>
      <c r="Z30" s="159"/>
      <c r="AA30" s="159"/>
      <c r="AB30" s="159"/>
      <c r="AC30" s="135" t="s">
        <v>326</v>
      </c>
      <c r="AD30" s="68" t="s">
        <v>34</v>
      </c>
      <c r="AE30" s="176"/>
      <c r="AF30" s="91" t="str">
        <f t="shared" si="0"/>
        <v>S</v>
      </c>
      <c r="AG30" s="91" cm="1">
        <f t="array" ref="AG30">_xlfn.SWITCH(D30,"PTA12",2,"PTD1",2,"PTD0",3,"PTC16",1,"PTD5",1,"PTA5",2,"PTD6",2,"PTE8",2,(LEN(N30)+LEN(N30)-LEN(SUBSTITUTE(N30,"ADC",))-LEN(SUBSTITUTE(N30,"CMP",)))/3)</f>
        <v>0</v>
      </c>
      <c r="AH30" s="180" t="str">
        <f t="shared" si="1"/>
        <v>ILKG_33/50_S0</v>
      </c>
    </row>
    <row r="31" spans="1:38" x14ac:dyDescent="0.3">
      <c r="A31" s="218">
        <v>98</v>
      </c>
      <c r="B31" s="135">
        <v>170</v>
      </c>
      <c r="C31" s="135" t="s">
        <v>1100</v>
      </c>
      <c r="D31" s="135" t="s">
        <v>1101</v>
      </c>
      <c r="E31" s="135" t="s">
        <v>1102</v>
      </c>
      <c r="F31" s="135" t="s">
        <v>1103</v>
      </c>
      <c r="G31" s="159"/>
      <c r="H31" s="159"/>
      <c r="I31" s="135" t="s">
        <v>171</v>
      </c>
      <c r="J31" s="135" t="s">
        <v>228</v>
      </c>
      <c r="K31" s="159"/>
      <c r="L31" s="159"/>
      <c r="M31" s="135" t="s">
        <v>1102</v>
      </c>
      <c r="N31" s="135" t="s">
        <v>1104</v>
      </c>
      <c r="O31" s="159"/>
      <c r="P31" s="159"/>
      <c r="Q31" s="159"/>
      <c r="R31" s="135" t="s">
        <v>171</v>
      </c>
      <c r="S31" s="159"/>
      <c r="T31" s="159"/>
      <c r="U31" s="159"/>
      <c r="V31" s="135" t="s">
        <v>1102</v>
      </c>
      <c r="W31" s="135" t="s">
        <v>173</v>
      </c>
      <c r="X31" s="159"/>
      <c r="Y31" s="159"/>
      <c r="Z31" s="159"/>
      <c r="AA31" s="159"/>
      <c r="AB31" s="159"/>
      <c r="AC31" s="135" t="s">
        <v>1105</v>
      </c>
      <c r="AD31" s="68" t="s">
        <v>231</v>
      </c>
      <c r="AE31" s="175" t="s">
        <v>875</v>
      </c>
      <c r="AF31" s="91" t="str">
        <f t="shared" si="0"/>
        <v>SP</v>
      </c>
      <c r="AG31" s="91" cm="1">
        <f t="array" ref="AG31">_xlfn.SWITCH(D31,"PTA12",2,"PTD1",2,"PTD0",3,"PTC16",1,"PTD5",1,"PTA5",2,"PTD6",2,"PTE8",2,(LEN(N31)+LEN(N31)-LEN(SUBSTITUTE(N31,"ADC",))-LEN(SUBSTITUTE(N31,"CMP",)))/3)</f>
        <v>1</v>
      </c>
      <c r="AH31" s="180" t="str">
        <f t="shared" si="1"/>
        <v>ILKG_33/50_SP1</v>
      </c>
    </row>
    <row r="32" spans="1:38" x14ac:dyDescent="0.3">
      <c r="A32" s="218">
        <v>97</v>
      </c>
      <c r="B32" s="135">
        <v>167</v>
      </c>
      <c r="C32" s="135" t="s">
        <v>1093</v>
      </c>
      <c r="D32" s="135" t="s">
        <v>1094</v>
      </c>
      <c r="E32" s="135" t="s">
        <v>1095</v>
      </c>
      <c r="F32" s="135" t="s">
        <v>1096</v>
      </c>
      <c r="G32" s="159"/>
      <c r="H32" s="159"/>
      <c r="I32" s="159"/>
      <c r="J32" s="159"/>
      <c r="K32" s="159"/>
      <c r="L32" s="159"/>
      <c r="M32" s="135" t="s">
        <v>1095</v>
      </c>
      <c r="N32" s="159"/>
      <c r="O32" s="159"/>
      <c r="P32" s="159"/>
      <c r="Q32" s="159"/>
      <c r="R32" s="159"/>
      <c r="S32" s="159"/>
      <c r="T32" s="159"/>
      <c r="U32" s="159"/>
      <c r="V32" s="159"/>
      <c r="W32" s="135" t="s">
        <v>160</v>
      </c>
      <c r="X32" s="159"/>
      <c r="Y32" s="159"/>
      <c r="Z32" s="159"/>
      <c r="AA32" s="159"/>
      <c r="AB32" s="159"/>
      <c r="AC32" s="135" t="s">
        <v>1097</v>
      </c>
      <c r="AD32" s="68" t="s">
        <v>1098</v>
      </c>
      <c r="AE32" s="176"/>
      <c r="AF32" s="91" t="str">
        <f t="shared" si="0"/>
        <v>SP</v>
      </c>
      <c r="AG32" s="91" cm="1">
        <f t="array" ref="AG32">_xlfn.SWITCH(D32,"PTA12",2,"PTD1",2,"PTD0",3,"PTC16",1,"PTD5",1,"PTA5",2,"PTD6",2,"PTE8",2,(LEN(N32)+LEN(N32)-LEN(SUBSTITUTE(N32,"ADC",))-LEN(SUBSTITUTE(N32,"CMP",)))/3)</f>
        <v>2</v>
      </c>
      <c r="AH32" s="180" t="str">
        <f t="shared" si="1"/>
        <v>ILKG_33/50_SP2</v>
      </c>
    </row>
    <row r="33" spans="1:39" x14ac:dyDescent="0.3">
      <c r="A33" s="218">
        <v>58</v>
      </c>
      <c r="B33" s="135">
        <v>102</v>
      </c>
      <c r="C33" s="135" t="s">
        <v>762</v>
      </c>
      <c r="D33" s="135" t="s">
        <v>763</v>
      </c>
      <c r="E33" s="135" t="s">
        <v>764</v>
      </c>
      <c r="F33" s="135" t="s">
        <v>764</v>
      </c>
      <c r="G33" s="159"/>
      <c r="H33" s="159"/>
      <c r="I33" s="135" t="s">
        <v>167</v>
      </c>
      <c r="J33" s="135" t="s">
        <v>279</v>
      </c>
      <c r="K33" s="135" t="s">
        <v>638</v>
      </c>
      <c r="L33" s="135" t="s">
        <v>380</v>
      </c>
      <c r="M33" s="159"/>
      <c r="N33" s="135" t="s">
        <v>765</v>
      </c>
      <c r="O33" s="159"/>
      <c r="P33" s="159"/>
      <c r="Q33" s="159"/>
      <c r="R33" s="135" t="s">
        <v>167</v>
      </c>
      <c r="S33" s="135" t="s">
        <v>279</v>
      </c>
      <c r="T33" s="135" t="s">
        <v>638</v>
      </c>
      <c r="U33" s="135" t="s">
        <v>380</v>
      </c>
      <c r="V33" s="159"/>
      <c r="W33" s="135" t="s">
        <v>254</v>
      </c>
      <c r="X33" s="135" t="s">
        <v>255</v>
      </c>
      <c r="Y33" s="135" t="s">
        <v>84</v>
      </c>
      <c r="Z33" s="135" t="s">
        <v>85</v>
      </c>
      <c r="AA33" s="159"/>
      <c r="AB33" s="159"/>
      <c r="AC33" s="135" t="s">
        <v>766</v>
      </c>
      <c r="AD33" s="68" t="s">
        <v>34</v>
      </c>
      <c r="AE33" s="175" t="s">
        <v>122</v>
      </c>
      <c r="AF33" s="91" t="str">
        <f t="shared" si="0"/>
        <v>S</v>
      </c>
      <c r="AG33" s="91" cm="1">
        <f t="array" ref="AG33">_xlfn.SWITCH(D33,"PTA12",2,"PTD1",2,"PTD0",3,"PTC16",1,"PTD5",1,"PTA5",2,"PTD6",2,"PTE8",2,(LEN(N33)+LEN(N33)-LEN(SUBSTITUTE(N33,"ADC",))-LEN(SUBSTITUTE(N33,"CMP",)))/3)</f>
        <v>1</v>
      </c>
      <c r="AH33" s="180" t="str">
        <f t="shared" si="1"/>
        <v>ILKG_33/50_S1</v>
      </c>
    </row>
    <row r="34" spans="1:39" x14ac:dyDescent="0.3">
      <c r="A34" s="218">
        <v>57</v>
      </c>
      <c r="B34" s="135">
        <v>100</v>
      </c>
      <c r="C34" s="135" t="s">
        <v>751</v>
      </c>
      <c r="D34" s="135" t="s">
        <v>752</v>
      </c>
      <c r="E34" s="135" t="s">
        <v>753</v>
      </c>
      <c r="F34" s="135" t="s">
        <v>753</v>
      </c>
      <c r="G34" s="135" t="s">
        <v>61</v>
      </c>
      <c r="H34" s="135" t="s">
        <v>324</v>
      </c>
      <c r="I34" s="135" t="s">
        <v>252</v>
      </c>
      <c r="J34" s="135" t="s">
        <v>237</v>
      </c>
      <c r="K34" s="135" t="s">
        <v>64</v>
      </c>
      <c r="L34" s="135" t="s">
        <v>264</v>
      </c>
      <c r="M34" s="159"/>
      <c r="N34" s="135" t="s">
        <v>754</v>
      </c>
      <c r="O34" s="159"/>
      <c r="P34" s="135" t="s">
        <v>61</v>
      </c>
      <c r="Q34" s="135" t="s">
        <v>324</v>
      </c>
      <c r="R34" s="135" t="s">
        <v>252</v>
      </c>
      <c r="S34" s="159"/>
      <c r="T34" s="159"/>
      <c r="U34" s="135" t="s">
        <v>264</v>
      </c>
      <c r="V34" s="159"/>
      <c r="W34" s="135" t="s">
        <v>283</v>
      </c>
      <c r="X34" s="159"/>
      <c r="Y34" s="159"/>
      <c r="Z34" s="159"/>
      <c r="AA34" s="159"/>
      <c r="AB34" s="159"/>
      <c r="AC34" s="135" t="s">
        <v>755</v>
      </c>
      <c r="AD34" s="68" t="s">
        <v>231</v>
      </c>
      <c r="AE34" s="175" t="s">
        <v>122</v>
      </c>
      <c r="AF34" s="91" t="str">
        <f t="shared" si="0"/>
        <v>SP</v>
      </c>
      <c r="AG34" s="91" cm="1">
        <f t="array" ref="AG34">_xlfn.SWITCH(D34,"PTA12",2,"PTD1",2,"PTD0",3,"PTC16",1,"PTD5",1,"PTA5",2,"PTD6",2,"PTE8",2,(LEN(N34)+LEN(N34)-LEN(SUBSTITUTE(N34,"ADC",))-LEN(SUBSTITUTE(N34,"CMP",)))/3)</f>
        <v>1</v>
      </c>
      <c r="AH34" s="180" t="str">
        <f t="shared" si="1"/>
        <v>ILKG_33/50_SP1</v>
      </c>
      <c r="AM34" s="174"/>
    </row>
    <row r="35" spans="1:39" x14ac:dyDescent="0.3">
      <c r="A35" s="218">
        <v>100</v>
      </c>
      <c r="B35" s="135">
        <v>172</v>
      </c>
      <c r="C35" s="135" t="s">
        <v>1112</v>
      </c>
      <c r="D35" s="135" t="s">
        <v>1113</v>
      </c>
      <c r="E35" s="135" t="s">
        <v>1114</v>
      </c>
      <c r="F35" s="135" t="s">
        <v>1114</v>
      </c>
      <c r="G35" s="159"/>
      <c r="H35" s="135" t="s">
        <v>273</v>
      </c>
      <c r="I35" s="135" t="s">
        <v>581</v>
      </c>
      <c r="J35" s="135" t="s">
        <v>171</v>
      </c>
      <c r="K35" s="159"/>
      <c r="L35" s="135" t="s">
        <v>911</v>
      </c>
      <c r="M35" s="159"/>
      <c r="N35" s="135" t="s">
        <v>1115</v>
      </c>
      <c r="O35" s="159"/>
      <c r="P35" s="159"/>
      <c r="Q35" s="135" t="s">
        <v>273</v>
      </c>
      <c r="R35" s="135" t="s">
        <v>581</v>
      </c>
      <c r="S35" s="135" t="s">
        <v>171</v>
      </c>
      <c r="T35" s="159"/>
      <c r="U35" s="135" t="s">
        <v>911</v>
      </c>
      <c r="V35" s="159"/>
      <c r="W35" s="135" t="s">
        <v>656</v>
      </c>
      <c r="X35" s="135" t="s">
        <v>268</v>
      </c>
      <c r="Y35" s="159"/>
      <c r="Z35" s="159"/>
      <c r="AA35" s="159"/>
      <c r="AB35" s="159"/>
      <c r="AC35" s="135" t="s">
        <v>1116</v>
      </c>
      <c r="AD35" s="68" t="s">
        <v>34</v>
      </c>
      <c r="AE35" s="176"/>
      <c r="AF35" s="91" t="str">
        <f t="shared" si="0"/>
        <v>S</v>
      </c>
      <c r="AG35" s="91" cm="1">
        <f t="array" ref="AG35">_xlfn.SWITCH(D35,"PTA12",2,"PTD1",2,"PTD0",3,"PTC16",1,"PTD5",1,"PTA5",2,"PTD6",2,"PTE8",2,(LEN(N35)+LEN(N35)-LEN(SUBSTITUTE(N35,"ADC",))-LEN(SUBSTITUTE(N35,"CMP",)))/3)</f>
        <v>1</v>
      </c>
      <c r="AH35" s="180" t="str">
        <f t="shared" si="1"/>
        <v>ILKG_33/50_S1</v>
      </c>
    </row>
    <row r="36" spans="1:39" x14ac:dyDescent="0.3">
      <c r="A36" s="218">
        <v>99</v>
      </c>
      <c r="B36" s="135">
        <v>171</v>
      </c>
      <c r="C36" s="135" t="s">
        <v>1106</v>
      </c>
      <c r="D36" s="135" t="s">
        <v>1107</v>
      </c>
      <c r="E36" s="135" t="s">
        <v>1108</v>
      </c>
      <c r="F36" s="135" t="s">
        <v>1108</v>
      </c>
      <c r="G36" s="159"/>
      <c r="H36" s="135" t="s">
        <v>244</v>
      </c>
      <c r="I36" s="135" t="s">
        <v>127</v>
      </c>
      <c r="J36" s="135" t="s">
        <v>158</v>
      </c>
      <c r="K36" s="159"/>
      <c r="L36" s="135" t="s">
        <v>263</v>
      </c>
      <c r="M36" s="135" t="s">
        <v>1109</v>
      </c>
      <c r="N36" s="135" t="s">
        <v>1110</v>
      </c>
      <c r="O36" s="159"/>
      <c r="P36" s="159"/>
      <c r="Q36" s="135" t="s">
        <v>244</v>
      </c>
      <c r="R36" s="135" t="s">
        <v>127</v>
      </c>
      <c r="S36" s="135" t="s">
        <v>158</v>
      </c>
      <c r="T36" s="159"/>
      <c r="U36" s="135" t="s">
        <v>263</v>
      </c>
      <c r="V36" s="159"/>
      <c r="W36" s="135" t="s">
        <v>663</v>
      </c>
      <c r="X36" s="159"/>
      <c r="Y36" s="159"/>
      <c r="Z36" s="159"/>
      <c r="AA36" s="159"/>
      <c r="AB36" s="159"/>
      <c r="AC36" s="135" t="s">
        <v>1111</v>
      </c>
      <c r="AD36" s="68" t="s">
        <v>34</v>
      </c>
      <c r="AE36" s="175" t="s">
        <v>869</v>
      </c>
      <c r="AF36" s="91" t="str">
        <f t="shared" si="0"/>
        <v>S</v>
      </c>
      <c r="AG36" s="91" cm="1">
        <f t="array" ref="AG36">_xlfn.SWITCH(D36,"PTA12",2,"PTD1",2,"PTD0",3,"PTC16",1,"PTD5",1,"PTA5",2,"PTD6",2,"PTE8",2,(LEN(N36)+LEN(N36)-LEN(SUBSTITUTE(N36,"ADC",))-LEN(SUBSTITUTE(N36,"CMP",)))/3)</f>
        <v>1</v>
      </c>
      <c r="AH36" s="180" t="str">
        <f t="shared" si="1"/>
        <v>ILKG_33/50_S1</v>
      </c>
    </row>
    <row r="37" spans="1:39" x14ac:dyDescent="0.3">
      <c r="A37" s="218">
        <v>54</v>
      </c>
      <c r="B37" s="135">
        <v>95</v>
      </c>
      <c r="C37" s="135" t="s">
        <v>719</v>
      </c>
      <c r="D37" s="135" t="s">
        <v>720</v>
      </c>
      <c r="E37" s="135" t="s">
        <v>721</v>
      </c>
      <c r="F37" s="135" t="s">
        <v>721</v>
      </c>
      <c r="G37" s="135" t="s">
        <v>722</v>
      </c>
      <c r="H37" s="135" t="s">
        <v>503</v>
      </c>
      <c r="I37" s="135" t="s">
        <v>166</v>
      </c>
      <c r="J37" s="135" t="s">
        <v>103</v>
      </c>
      <c r="K37" s="135" t="s">
        <v>654</v>
      </c>
      <c r="L37" s="135" t="s">
        <v>723</v>
      </c>
      <c r="M37" s="135" t="s">
        <v>724</v>
      </c>
      <c r="N37" s="135" t="s">
        <v>725</v>
      </c>
      <c r="O37" s="159"/>
      <c r="P37" s="135" t="s">
        <v>722</v>
      </c>
      <c r="Q37" s="135" t="s">
        <v>503</v>
      </c>
      <c r="R37" s="135" t="s">
        <v>166</v>
      </c>
      <c r="S37" s="135" t="s">
        <v>103</v>
      </c>
      <c r="T37" s="159"/>
      <c r="U37" s="135" t="s">
        <v>723</v>
      </c>
      <c r="V37" s="159"/>
      <c r="W37" s="135" t="s">
        <v>254</v>
      </c>
      <c r="X37" s="135" t="s">
        <v>119</v>
      </c>
      <c r="Y37" s="135" t="s">
        <v>256</v>
      </c>
      <c r="Z37" s="159"/>
      <c r="AA37" s="159"/>
      <c r="AB37" s="159"/>
      <c r="AC37" s="135" t="s">
        <v>726</v>
      </c>
      <c r="AD37" s="68" t="s">
        <v>231</v>
      </c>
      <c r="AE37" s="175" t="s">
        <v>122</v>
      </c>
      <c r="AF37" s="91" t="str">
        <f t="shared" si="0"/>
        <v>SP</v>
      </c>
      <c r="AG37" s="91" cm="1">
        <f t="array" ref="AG37">_xlfn.SWITCH(D37,"PTA12",2,"PTD1",2,"PTD0",3,"PTC16",1,"PTD5",1,"PTA5",2,"PTD6",2,"PTE8",2,(LEN(N37)+LEN(N37)-LEN(SUBSTITUTE(N37,"ADC",))-LEN(SUBSTITUTE(N37,"CMP",)))/3)</f>
        <v>2</v>
      </c>
      <c r="AH37" s="180" t="str">
        <f t="shared" si="1"/>
        <v>ILKG_33/50_SP2</v>
      </c>
    </row>
    <row r="38" spans="1:39" x14ac:dyDescent="0.3">
      <c r="A38" s="218">
        <v>53</v>
      </c>
      <c r="B38" s="135">
        <v>94</v>
      </c>
      <c r="C38" s="135" t="s">
        <v>712</v>
      </c>
      <c r="D38" s="135" t="s">
        <v>713</v>
      </c>
      <c r="E38" s="135" t="s">
        <v>714</v>
      </c>
      <c r="F38" s="135" t="s">
        <v>714</v>
      </c>
      <c r="G38" s="135" t="s">
        <v>715</v>
      </c>
      <c r="H38" s="135" t="s">
        <v>236</v>
      </c>
      <c r="I38" s="135" t="s">
        <v>280</v>
      </c>
      <c r="J38" s="135" t="s">
        <v>312</v>
      </c>
      <c r="K38" s="135" t="s">
        <v>237</v>
      </c>
      <c r="L38" s="135" t="s">
        <v>150</v>
      </c>
      <c r="M38" s="135" t="s">
        <v>662</v>
      </c>
      <c r="N38" s="135" t="s">
        <v>716</v>
      </c>
      <c r="O38" s="159"/>
      <c r="P38" s="135" t="s">
        <v>715</v>
      </c>
      <c r="Q38" s="135" t="s">
        <v>236</v>
      </c>
      <c r="R38" s="135" t="s">
        <v>280</v>
      </c>
      <c r="S38" s="135" t="s">
        <v>312</v>
      </c>
      <c r="T38" s="159"/>
      <c r="U38" s="135" t="s">
        <v>150</v>
      </c>
      <c r="V38" s="159"/>
      <c r="W38" s="135" t="s">
        <v>109</v>
      </c>
      <c r="X38" s="135" t="s">
        <v>717</v>
      </c>
      <c r="Y38" s="159"/>
      <c r="Z38" s="159"/>
      <c r="AA38" s="159"/>
      <c r="AB38" s="159"/>
      <c r="AC38" s="135" t="s">
        <v>718</v>
      </c>
      <c r="AD38" s="68" t="s">
        <v>231</v>
      </c>
      <c r="AE38" s="175" t="s">
        <v>122</v>
      </c>
      <c r="AF38" s="91" t="str">
        <f t="shared" si="0"/>
        <v>SP</v>
      </c>
      <c r="AG38" s="91" cm="1">
        <f t="array" ref="AG38">_xlfn.SWITCH(D38,"PTA12",2,"PTD1",2,"PTD0",3,"PTC16",1,"PTD5",1,"PTA5",2,"PTD6",2,"PTE8",2,(LEN(N38)+LEN(N38)-LEN(SUBSTITUTE(N38,"ADC",))-LEN(SUBSTITUTE(N38,"CMP",)))/3)</f>
        <v>2</v>
      </c>
      <c r="AH38" s="180" t="str">
        <f t="shared" si="1"/>
        <v>ILKG_33/50_SP2</v>
      </c>
    </row>
    <row r="39" spans="1:39" x14ac:dyDescent="0.3">
      <c r="A39" s="218">
        <v>75</v>
      </c>
      <c r="B39" s="135">
        <v>129</v>
      </c>
      <c r="C39" s="135" t="s">
        <v>897</v>
      </c>
      <c r="D39" s="135" t="s">
        <v>898</v>
      </c>
      <c r="E39" s="135" t="s">
        <v>899</v>
      </c>
      <c r="F39" s="135" t="s">
        <v>899</v>
      </c>
      <c r="G39" s="135" t="s">
        <v>710</v>
      </c>
      <c r="H39" s="135" t="s">
        <v>371</v>
      </c>
      <c r="I39" s="159"/>
      <c r="J39" s="159"/>
      <c r="K39" s="135" t="s">
        <v>579</v>
      </c>
      <c r="L39" s="135" t="s">
        <v>900</v>
      </c>
      <c r="M39" s="135" t="s">
        <v>838</v>
      </c>
      <c r="N39" s="135" t="s">
        <v>901</v>
      </c>
      <c r="O39" s="159"/>
      <c r="P39" s="135" t="s">
        <v>710</v>
      </c>
      <c r="Q39" s="135" t="s">
        <v>371</v>
      </c>
      <c r="R39" s="159"/>
      <c r="S39" s="159"/>
      <c r="T39" s="135" t="s">
        <v>579</v>
      </c>
      <c r="U39" s="159"/>
      <c r="V39" s="135" t="s">
        <v>838</v>
      </c>
      <c r="W39" s="135" t="s">
        <v>267</v>
      </c>
      <c r="X39" s="159"/>
      <c r="Y39" s="159"/>
      <c r="Z39" s="159"/>
      <c r="AA39" s="159"/>
      <c r="AB39" s="159"/>
      <c r="AC39" s="135" t="s">
        <v>902</v>
      </c>
      <c r="AD39" s="68" t="s">
        <v>34</v>
      </c>
      <c r="AE39" s="175" t="s">
        <v>869</v>
      </c>
      <c r="AF39" s="91" t="str">
        <f t="shared" si="0"/>
        <v>S</v>
      </c>
      <c r="AG39" s="91" cm="1">
        <f t="array" ref="AG39">_xlfn.SWITCH(D39,"PTA12",2,"PTD1",2,"PTD0",3,"PTC16",1,"PTD5",1,"PTA5",2,"PTD6",2,"PTE8",2,(LEN(N39)+LEN(N39)-LEN(SUBSTITUTE(N39,"ADC",))-LEN(SUBSTITUTE(N39,"CMP",)))/3)</f>
        <v>2</v>
      </c>
      <c r="AH39" s="180" t="str">
        <f t="shared" si="1"/>
        <v>ILKG_33/50_S2</v>
      </c>
    </row>
    <row r="40" spans="1:39" x14ac:dyDescent="0.3">
      <c r="A40" s="218">
        <v>74</v>
      </c>
      <c r="B40" s="135">
        <v>126</v>
      </c>
      <c r="C40" s="135" t="s">
        <v>888</v>
      </c>
      <c r="D40" s="135" t="s">
        <v>889</v>
      </c>
      <c r="E40" s="135" t="s">
        <v>890</v>
      </c>
      <c r="F40" s="135" t="s">
        <v>890</v>
      </c>
      <c r="G40" s="135" t="s">
        <v>695</v>
      </c>
      <c r="H40" s="135" t="s">
        <v>519</v>
      </c>
      <c r="I40" s="159"/>
      <c r="J40" s="159"/>
      <c r="K40" s="135" t="s">
        <v>891</v>
      </c>
      <c r="L40" s="159"/>
      <c r="M40" s="135" t="s">
        <v>819</v>
      </c>
      <c r="N40" s="135" t="s">
        <v>892</v>
      </c>
      <c r="O40" s="159"/>
      <c r="P40" s="135" t="s">
        <v>695</v>
      </c>
      <c r="Q40" s="135" t="s">
        <v>519</v>
      </c>
      <c r="R40" s="159"/>
      <c r="S40" s="159"/>
      <c r="T40" s="159"/>
      <c r="U40" s="159"/>
      <c r="V40" s="135" t="s">
        <v>819</v>
      </c>
      <c r="W40" s="135" t="s">
        <v>488</v>
      </c>
      <c r="X40" s="135" t="s">
        <v>893</v>
      </c>
      <c r="Y40" s="159"/>
      <c r="Z40" s="159"/>
      <c r="AA40" s="159"/>
      <c r="AB40" s="159"/>
      <c r="AC40" s="135" t="s">
        <v>894</v>
      </c>
      <c r="AD40" s="68" t="s">
        <v>34</v>
      </c>
      <c r="AE40" s="175" t="s">
        <v>869</v>
      </c>
      <c r="AF40" s="91" t="str">
        <f t="shared" si="0"/>
        <v>S</v>
      </c>
      <c r="AG40" s="91" cm="1">
        <f t="array" ref="AG40">_xlfn.SWITCH(D40,"PTA12",2,"PTD1",2,"PTD0",3,"PTC16",1,"PTD5",1,"PTA5",2,"PTD6",2,"PTE8",2,(LEN(N40)+LEN(N40)-LEN(SUBSTITUTE(N40,"ADC",))-LEN(SUBSTITUTE(N40,"CMP",)))/3)</f>
        <v>2</v>
      </c>
      <c r="AH40" s="180" t="str">
        <f t="shared" si="1"/>
        <v>ILKG_33/50_S2</v>
      </c>
    </row>
    <row r="41" spans="1:39" x14ac:dyDescent="0.3">
      <c r="A41" s="218">
        <v>68</v>
      </c>
      <c r="B41" s="135">
        <v>117</v>
      </c>
      <c r="C41" s="135" t="s">
        <v>829</v>
      </c>
      <c r="D41" s="135" t="s">
        <v>830</v>
      </c>
      <c r="E41" s="135" t="s">
        <v>831</v>
      </c>
      <c r="F41" s="135" t="s">
        <v>831</v>
      </c>
      <c r="G41" s="135" t="s">
        <v>421</v>
      </c>
      <c r="H41" s="135" t="s">
        <v>297</v>
      </c>
      <c r="I41" s="159"/>
      <c r="J41" s="159"/>
      <c r="K41" s="159"/>
      <c r="L41" s="135" t="s">
        <v>832</v>
      </c>
      <c r="M41" s="135" t="s">
        <v>796</v>
      </c>
      <c r="N41" s="135" t="s">
        <v>833</v>
      </c>
      <c r="O41" s="159"/>
      <c r="P41" s="135" t="s">
        <v>421</v>
      </c>
      <c r="Q41" s="135" t="s">
        <v>297</v>
      </c>
      <c r="R41" s="159"/>
      <c r="S41" s="159"/>
      <c r="T41" s="159"/>
      <c r="U41" s="159"/>
      <c r="V41" s="135" t="s">
        <v>796</v>
      </c>
      <c r="W41" s="135" t="s">
        <v>463</v>
      </c>
      <c r="X41" s="135" t="s">
        <v>306</v>
      </c>
      <c r="Y41" s="159"/>
      <c r="Z41" s="159"/>
      <c r="AA41" s="159"/>
      <c r="AB41" s="159"/>
      <c r="AC41" s="135" t="s">
        <v>834</v>
      </c>
      <c r="AD41" s="68" t="s">
        <v>34</v>
      </c>
      <c r="AE41" s="175" t="s">
        <v>35</v>
      </c>
      <c r="AF41" s="91" t="str">
        <f t="shared" si="0"/>
        <v>S</v>
      </c>
      <c r="AG41" s="91" cm="1">
        <f t="array" ref="AG41">_xlfn.SWITCH(D41,"PTA12",2,"PTD1",2,"PTD0",3,"PTC16",1,"PTD5",1,"PTA5",2,"PTD6",2,"PTE8",2,(LEN(N41)+LEN(N41)-LEN(SUBSTITUTE(N41,"ADC",))-LEN(SUBSTITUTE(N41,"CMP",)))/3)</f>
        <v>1</v>
      </c>
      <c r="AH41" s="180" t="str">
        <f t="shared" si="1"/>
        <v>ILKG_33/50_S1</v>
      </c>
    </row>
    <row r="42" spans="1:39" x14ac:dyDescent="0.3">
      <c r="A42" s="218">
        <v>67</v>
      </c>
      <c r="B42" s="135">
        <v>116</v>
      </c>
      <c r="C42" s="135" t="s">
        <v>823</v>
      </c>
      <c r="D42" s="135" t="s">
        <v>824</v>
      </c>
      <c r="E42" s="135" t="s">
        <v>825</v>
      </c>
      <c r="F42" s="135" t="s">
        <v>825</v>
      </c>
      <c r="G42" s="135" t="s">
        <v>411</v>
      </c>
      <c r="H42" s="135" t="s">
        <v>128</v>
      </c>
      <c r="I42" s="135" t="s">
        <v>246</v>
      </c>
      <c r="J42" s="159"/>
      <c r="K42" s="135" t="s">
        <v>826</v>
      </c>
      <c r="L42" s="135" t="s">
        <v>291</v>
      </c>
      <c r="M42" s="135" t="s">
        <v>771</v>
      </c>
      <c r="N42" s="135" t="s">
        <v>827</v>
      </c>
      <c r="O42" s="159"/>
      <c r="P42" s="135" t="s">
        <v>411</v>
      </c>
      <c r="Q42" s="135" t="s">
        <v>128</v>
      </c>
      <c r="R42" s="135" t="s">
        <v>246</v>
      </c>
      <c r="S42" s="159"/>
      <c r="T42" s="159"/>
      <c r="U42" s="135" t="s">
        <v>291</v>
      </c>
      <c r="V42" s="135" t="s">
        <v>771</v>
      </c>
      <c r="W42" s="135" t="s">
        <v>456</v>
      </c>
      <c r="X42" s="159"/>
      <c r="Y42" s="159"/>
      <c r="Z42" s="159"/>
      <c r="AA42" s="159"/>
      <c r="AB42" s="159"/>
      <c r="AC42" s="135" t="s">
        <v>828</v>
      </c>
      <c r="AD42" s="68" t="s">
        <v>34</v>
      </c>
      <c r="AE42" s="175" t="s">
        <v>71</v>
      </c>
      <c r="AF42" s="91" t="str">
        <f t="shared" si="0"/>
        <v>S</v>
      </c>
      <c r="AG42" s="91" cm="1">
        <f t="array" ref="AG42">_xlfn.SWITCH(D42,"PTA12",2,"PTD1",2,"PTD0",3,"PTC16",1,"PTD5",1,"PTA5",2,"PTD6",2,"PTE8",2,(LEN(N42)+LEN(N42)-LEN(SUBSTITUTE(N42,"ADC",))-LEN(SUBSTITUTE(N42,"CMP",)))/3)</f>
        <v>3</v>
      </c>
      <c r="AH42" s="180" t="str">
        <f t="shared" si="1"/>
        <v>ILKG_33/50_S3</v>
      </c>
    </row>
    <row r="43" spans="1:39" x14ac:dyDescent="0.3">
      <c r="A43" s="218">
        <v>66</v>
      </c>
      <c r="B43" s="135">
        <v>114</v>
      </c>
      <c r="C43" s="135" t="s">
        <v>810</v>
      </c>
      <c r="D43" s="135" t="s">
        <v>811</v>
      </c>
      <c r="E43" s="135" t="s">
        <v>812</v>
      </c>
      <c r="F43" s="135" t="s">
        <v>812</v>
      </c>
      <c r="G43" s="159"/>
      <c r="H43" s="135" t="s">
        <v>114</v>
      </c>
      <c r="I43" s="135" t="s">
        <v>40</v>
      </c>
      <c r="J43" s="135" t="s">
        <v>813</v>
      </c>
      <c r="K43" s="159"/>
      <c r="L43" s="159"/>
      <c r="M43" s="135" t="s">
        <v>760</v>
      </c>
      <c r="N43" s="135" t="s">
        <v>814</v>
      </c>
      <c r="O43" s="159"/>
      <c r="P43" s="159"/>
      <c r="Q43" s="135" t="s">
        <v>114</v>
      </c>
      <c r="R43" s="135" t="s">
        <v>40</v>
      </c>
      <c r="S43" s="159"/>
      <c r="T43" s="159"/>
      <c r="U43" s="159"/>
      <c r="V43" s="135" t="s">
        <v>760</v>
      </c>
      <c r="W43" s="135" t="s">
        <v>448</v>
      </c>
      <c r="X43" s="135" t="s">
        <v>657</v>
      </c>
      <c r="Y43" s="159"/>
      <c r="Z43" s="159"/>
      <c r="AA43" s="159"/>
      <c r="AB43" s="159"/>
      <c r="AC43" s="135" t="s">
        <v>815</v>
      </c>
      <c r="AD43" s="68" t="s">
        <v>34</v>
      </c>
      <c r="AE43" s="175" t="s">
        <v>122</v>
      </c>
      <c r="AF43" s="91" t="str">
        <f t="shared" si="0"/>
        <v>S</v>
      </c>
      <c r="AG43" s="91" cm="1">
        <f t="array" ref="AG43">_xlfn.SWITCH(D43,"PTA12",2,"PTD1",2,"PTD0",3,"PTC16",1,"PTD5",1,"PTA5",2,"PTD6",2,"PTE8",2,(LEN(N43)+LEN(N43)-LEN(SUBSTITUTE(N43,"ADC",))-LEN(SUBSTITUTE(N43,"CMP",)))/3)</f>
        <v>3</v>
      </c>
      <c r="AH43" s="180" t="str">
        <f t="shared" si="1"/>
        <v>ILKG_33/50_S3</v>
      </c>
    </row>
    <row r="44" spans="1:39" x14ac:dyDescent="0.3">
      <c r="A44" s="218">
        <v>65</v>
      </c>
      <c r="B44" s="135">
        <v>113</v>
      </c>
      <c r="C44" s="135" t="s">
        <v>805</v>
      </c>
      <c r="D44" s="135" t="s">
        <v>806</v>
      </c>
      <c r="E44" s="135" t="s">
        <v>807</v>
      </c>
      <c r="F44" s="135" t="s">
        <v>807</v>
      </c>
      <c r="G44" s="159"/>
      <c r="H44" s="135" t="s">
        <v>103</v>
      </c>
      <c r="I44" s="135" t="s">
        <v>51</v>
      </c>
      <c r="J44" s="159"/>
      <c r="K44" s="159"/>
      <c r="L44" s="135" t="s">
        <v>647</v>
      </c>
      <c r="M44" s="135" t="s">
        <v>747</v>
      </c>
      <c r="N44" s="135" t="s">
        <v>808</v>
      </c>
      <c r="O44" s="159"/>
      <c r="P44" s="159"/>
      <c r="Q44" s="135" t="s">
        <v>103</v>
      </c>
      <c r="R44" s="135" t="s">
        <v>51</v>
      </c>
      <c r="S44" s="159"/>
      <c r="T44" s="159"/>
      <c r="U44" s="135" t="s">
        <v>647</v>
      </c>
      <c r="V44" s="135" t="s">
        <v>747</v>
      </c>
      <c r="W44" s="135" t="s">
        <v>344</v>
      </c>
      <c r="X44" s="159"/>
      <c r="Y44" s="159"/>
      <c r="Z44" s="159"/>
      <c r="AA44" s="159"/>
      <c r="AB44" s="159"/>
      <c r="AC44" s="135" t="s">
        <v>809</v>
      </c>
      <c r="AD44" s="68" t="s">
        <v>34</v>
      </c>
      <c r="AE44" s="175" t="s">
        <v>35</v>
      </c>
      <c r="AF44" s="91" t="str">
        <f t="shared" si="0"/>
        <v>S</v>
      </c>
      <c r="AG44" s="91" cm="1">
        <f t="array" ref="AG44">_xlfn.SWITCH(D44,"PTA12",2,"PTD1",2,"PTD0",3,"PTC16",1,"PTD5",1,"PTA5",2,"PTD6",2,"PTE8",2,(LEN(N44)+LEN(N44)-LEN(SUBSTITUTE(N44,"ADC",))-LEN(SUBSTITUTE(N44,"CMP",)))/3)</f>
        <v>1</v>
      </c>
      <c r="AH44" s="180" t="str">
        <f t="shared" si="1"/>
        <v>ILKG_33/50_S1</v>
      </c>
    </row>
    <row r="45" spans="1:39" x14ac:dyDescent="0.3">
      <c r="A45" s="218">
        <v>64</v>
      </c>
      <c r="B45" s="135">
        <v>112</v>
      </c>
      <c r="C45" s="135" t="s">
        <v>800</v>
      </c>
      <c r="D45" s="135" t="s">
        <v>801</v>
      </c>
      <c r="E45" s="135" t="s">
        <v>802</v>
      </c>
      <c r="F45" s="135" t="s">
        <v>802</v>
      </c>
      <c r="G45" s="159"/>
      <c r="H45" s="135" t="s">
        <v>399</v>
      </c>
      <c r="I45" s="135" t="s">
        <v>27</v>
      </c>
      <c r="J45" s="135" t="s">
        <v>126</v>
      </c>
      <c r="K45" s="159"/>
      <c r="L45" s="159"/>
      <c r="M45" s="135" t="s">
        <v>730</v>
      </c>
      <c r="N45" s="135" t="s">
        <v>803</v>
      </c>
      <c r="O45" s="159"/>
      <c r="P45" s="159"/>
      <c r="Q45" s="135" t="s">
        <v>399</v>
      </c>
      <c r="R45" s="135" t="s">
        <v>27</v>
      </c>
      <c r="S45" s="135" t="s">
        <v>126</v>
      </c>
      <c r="T45" s="159"/>
      <c r="U45" s="159"/>
      <c r="V45" s="135" t="s">
        <v>730</v>
      </c>
      <c r="W45" s="135" t="s">
        <v>334</v>
      </c>
      <c r="X45" s="159"/>
      <c r="Y45" s="159"/>
      <c r="Z45" s="159"/>
      <c r="AA45" s="159"/>
      <c r="AB45" s="159"/>
      <c r="AC45" s="135" t="s">
        <v>804</v>
      </c>
      <c r="AD45" s="68" t="s">
        <v>34</v>
      </c>
      <c r="AE45" s="176"/>
      <c r="AF45" s="91" t="str">
        <f t="shared" si="0"/>
        <v>S</v>
      </c>
      <c r="AG45" s="91" cm="1">
        <f t="array" ref="AG45">_xlfn.SWITCH(D45,"PTA12",2,"PTD1",2,"PTD0",3,"PTC16",1,"PTD5",1,"PTA5",2,"PTD6",2,"PTE8",2,(LEN(N45)+LEN(N45)-LEN(SUBSTITUTE(N45,"ADC",))-LEN(SUBSTITUTE(N45,"CMP",)))/3)</f>
        <v>1</v>
      </c>
      <c r="AH45" s="180" t="str">
        <f t="shared" si="1"/>
        <v>ILKG_33/50_S1</v>
      </c>
    </row>
    <row r="46" spans="1:39" x14ac:dyDescent="0.3">
      <c r="A46" s="218">
        <v>63</v>
      </c>
      <c r="B46" s="135">
        <v>110</v>
      </c>
      <c r="C46" s="135" t="s">
        <v>787</v>
      </c>
      <c r="D46" s="135" t="s">
        <v>788</v>
      </c>
      <c r="E46" s="135" t="s">
        <v>789</v>
      </c>
      <c r="F46" s="135" t="s">
        <v>789</v>
      </c>
      <c r="G46" s="159"/>
      <c r="H46" s="135" t="s">
        <v>392</v>
      </c>
      <c r="I46" s="135" t="s">
        <v>790</v>
      </c>
      <c r="J46" s="135" t="s">
        <v>179</v>
      </c>
      <c r="K46" s="159"/>
      <c r="L46" s="135" t="s">
        <v>263</v>
      </c>
      <c r="M46" s="135" t="s">
        <v>709</v>
      </c>
      <c r="N46" s="135" t="s">
        <v>791</v>
      </c>
      <c r="O46" s="159"/>
      <c r="P46" s="159"/>
      <c r="Q46" s="135" t="s">
        <v>392</v>
      </c>
      <c r="R46" s="135" t="s">
        <v>790</v>
      </c>
      <c r="S46" s="135" t="s">
        <v>179</v>
      </c>
      <c r="T46" s="159"/>
      <c r="U46" s="135" t="s">
        <v>263</v>
      </c>
      <c r="V46" s="135" t="s">
        <v>709</v>
      </c>
      <c r="W46" s="135" t="s">
        <v>304</v>
      </c>
      <c r="X46" s="135" t="s">
        <v>145</v>
      </c>
      <c r="Y46" s="159"/>
      <c r="Z46" s="159"/>
      <c r="AA46" s="159"/>
      <c r="AB46" s="159"/>
      <c r="AC46" s="135" t="s">
        <v>792</v>
      </c>
      <c r="AD46" s="68" t="s">
        <v>34</v>
      </c>
      <c r="AE46" s="175" t="s">
        <v>35</v>
      </c>
      <c r="AF46" s="91" t="str">
        <f t="shared" si="0"/>
        <v>S</v>
      </c>
      <c r="AG46" s="91" cm="1">
        <f t="array" ref="AG46">_xlfn.SWITCH(D46,"PTA12",2,"PTD1",2,"PTD0",3,"PTC16",1,"PTD5",1,"PTA5",2,"PTD6",2,"PTE8",2,(LEN(N46)+LEN(N46)-LEN(SUBSTITUTE(N46,"ADC",))-LEN(SUBSTITUTE(N46,"CMP",)))/3)</f>
        <v>1</v>
      </c>
      <c r="AH46" s="180" t="str">
        <f t="shared" si="1"/>
        <v>ILKG_33/50_S1</v>
      </c>
    </row>
    <row r="47" spans="1:39" x14ac:dyDescent="0.3">
      <c r="A47" s="219"/>
      <c r="B47" s="135">
        <v>42</v>
      </c>
      <c r="C47" s="135" t="s">
        <v>346</v>
      </c>
      <c r="D47" s="135" t="s">
        <v>347</v>
      </c>
      <c r="E47" s="135" t="s">
        <v>348</v>
      </c>
      <c r="F47" s="135" t="s">
        <v>348</v>
      </c>
      <c r="G47" s="135" t="s">
        <v>349</v>
      </c>
      <c r="H47" s="135" t="s">
        <v>290</v>
      </c>
      <c r="I47" s="135" t="s">
        <v>106</v>
      </c>
      <c r="J47" s="135" t="s">
        <v>167</v>
      </c>
      <c r="K47" s="135" t="s">
        <v>350</v>
      </c>
      <c r="L47" s="159"/>
      <c r="M47" s="135" t="s">
        <v>351</v>
      </c>
      <c r="N47" s="159"/>
      <c r="O47" s="159"/>
      <c r="P47" s="135" t="s">
        <v>349</v>
      </c>
      <c r="Q47" s="135" t="s">
        <v>290</v>
      </c>
      <c r="R47" s="135" t="s">
        <v>106</v>
      </c>
      <c r="S47" s="135" t="s">
        <v>167</v>
      </c>
      <c r="T47" s="135" t="s">
        <v>350</v>
      </c>
      <c r="U47" s="159"/>
      <c r="V47" s="159"/>
      <c r="W47" s="159"/>
      <c r="X47" s="159"/>
      <c r="Y47" s="159"/>
      <c r="Z47" s="159"/>
      <c r="AA47" s="159"/>
      <c r="AB47" s="159"/>
      <c r="AC47" s="135" t="s">
        <v>352</v>
      </c>
      <c r="AD47" s="68" t="s">
        <v>34</v>
      </c>
      <c r="AE47" s="176"/>
      <c r="AF47" s="91" t="str">
        <f t="shared" si="0"/>
        <v>S</v>
      </c>
      <c r="AG47" s="91" cm="1">
        <f t="array" ref="AG47">_xlfn.SWITCH(D47,"PTA12",2,"PTD1",2,"PTD0",3,"PTC16",1,"PTD5",1,"PTA5",2,"PTD6",2,"PTE8",2,(LEN(N47)+LEN(N47)-LEN(SUBSTITUTE(N47,"ADC",))-LEN(SUBSTITUTE(N47,"CMP",)))/3)</f>
        <v>0</v>
      </c>
      <c r="AH47" s="180" t="str">
        <f t="shared" si="1"/>
        <v>ILKG_33/50_S0</v>
      </c>
    </row>
    <row r="48" spans="1:39" x14ac:dyDescent="0.3">
      <c r="A48" s="219"/>
      <c r="B48" s="135">
        <v>43</v>
      </c>
      <c r="C48" s="135" t="s">
        <v>353</v>
      </c>
      <c r="D48" s="135" t="s">
        <v>354</v>
      </c>
      <c r="E48" s="135" t="s">
        <v>355</v>
      </c>
      <c r="F48" s="135" t="s">
        <v>355</v>
      </c>
      <c r="G48" s="159"/>
      <c r="H48" s="135" t="s">
        <v>290</v>
      </c>
      <c r="I48" s="135" t="s">
        <v>79</v>
      </c>
      <c r="J48" s="159"/>
      <c r="K48" s="135" t="s">
        <v>356</v>
      </c>
      <c r="L48" s="159"/>
      <c r="M48" s="135" t="s">
        <v>357</v>
      </c>
      <c r="N48" s="135" t="s">
        <v>358</v>
      </c>
      <c r="O48" s="159"/>
      <c r="P48" s="159"/>
      <c r="Q48" s="135" t="s">
        <v>290</v>
      </c>
      <c r="R48" s="135" t="s">
        <v>79</v>
      </c>
      <c r="S48" s="159"/>
      <c r="T48" s="135" t="s">
        <v>356</v>
      </c>
      <c r="U48" s="159"/>
      <c r="V48" s="159"/>
      <c r="W48" s="135" t="s">
        <v>359</v>
      </c>
      <c r="X48" s="159"/>
      <c r="Y48" s="159"/>
      <c r="Z48" s="159"/>
      <c r="AA48" s="159"/>
      <c r="AB48" s="159"/>
      <c r="AC48" s="135" t="s">
        <v>360</v>
      </c>
      <c r="AD48" s="68" t="s">
        <v>34</v>
      </c>
      <c r="AE48" s="176"/>
      <c r="AF48" s="91" t="str">
        <f t="shared" si="0"/>
        <v>S</v>
      </c>
      <c r="AG48" s="91" cm="1">
        <f t="array" ref="AG48">_xlfn.SWITCH(D48,"PTA12",2,"PTD1",2,"PTD0",3,"PTC16",1,"PTD5",1,"PTA5",2,"PTD6",2,"PTE8",2,(LEN(N48)+LEN(N48)-LEN(SUBSTITUTE(N48,"ADC",))-LEN(SUBSTITUTE(N48,"CMP",)))/3)</f>
        <v>0</v>
      </c>
      <c r="AH48" s="180" t="str">
        <f t="shared" si="1"/>
        <v>ILKG_33/50_S0</v>
      </c>
    </row>
    <row r="49" spans="1:34" x14ac:dyDescent="0.3">
      <c r="A49" s="218">
        <v>48</v>
      </c>
      <c r="B49" s="135">
        <v>79</v>
      </c>
      <c r="C49" s="135" t="s">
        <v>603</v>
      </c>
      <c r="D49" s="135" t="s">
        <v>604</v>
      </c>
      <c r="E49" s="135" t="s">
        <v>605</v>
      </c>
      <c r="F49" s="135" t="s">
        <v>605</v>
      </c>
      <c r="G49" s="135" t="s">
        <v>536</v>
      </c>
      <c r="H49" s="135" t="s">
        <v>606</v>
      </c>
      <c r="I49" s="135" t="s">
        <v>62</v>
      </c>
      <c r="J49" s="159"/>
      <c r="K49" s="135" t="s">
        <v>607</v>
      </c>
      <c r="L49" s="135" t="s">
        <v>608</v>
      </c>
      <c r="M49" s="135" t="s">
        <v>609</v>
      </c>
      <c r="N49" s="135" t="s">
        <v>610</v>
      </c>
      <c r="O49" s="159"/>
      <c r="P49" s="159"/>
      <c r="Q49" s="135" t="s">
        <v>606</v>
      </c>
      <c r="R49" s="135" t="s">
        <v>62</v>
      </c>
      <c r="S49" s="159"/>
      <c r="T49" s="159"/>
      <c r="U49" s="135" t="s">
        <v>608</v>
      </c>
      <c r="V49" s="135" t="s">
        <v>609</v>
      </c>
      <c r="W49" s="135" t="s">
        <v>219</v>
      </c>
      <c r="X49" s="135" t="s">
        <v>133</v>
      </c>
      <c r="Y49" s="135" t="s">
        <v>611</v>
      </c>
      <c r="Z49" s="135" t="s">
        <v>612</v>
      </c>
      <c r="AA49" s="159"/>
      <c r="AB49" s="159"/>
      <c r="AC49" s="135" t="s">
        <v>613</v>
      </c>
      <c r="AD49" s="68" t="s">
        <v>231</v>
      </c>
      <c r="AE49" s="175" t="s">
        <v>35</v>
      </c>
      <c r="AF49" s="91" t="str">
        <f t="shared" si="0"/>
        <v>SP</v>
      </c>
      <c r="AG49" s="91" cm="1">
        <f t="array" ref="AG49">_xlfn.SWITCH(D49,"PTA12",2,"PTD1",2,"PTD0",3,"PTC16",1,"PTD5",1,"PTA5",2,"PTD6",2,"PTE8",2,(LEN(N49)+LEN(N49)-LEN(SUBSTITUTE(N49,"ADC",))-LEN(SUBSTITUTE(N49,"CMP",)))/3)</f>
        <v>0</v>
      </c>
      <c r="AH49" s="180" t="str">
        <f t="shared" si="1"/>
        <v>ILKG_33/50_SP0</v>
      </c>
    </row>
    <row r="50" spans="1:34" x14ac:dyDescent="0.3">
      <c r="A50" s="219"/>
      <c r="B50" s="135">
        <v>44</v>
      </c>
      <c r="C50" s="135" t="s">
        <v>361</v>
      </c>
      <c r="D50" s="135" t="s">
        <v>362</v>
      </c>
      <c r="E50" s="135" t="s">
        <v>363</v>
      </c>
      <c r="F50" s="135" t="s">
        <v>363</v>
      </c>
      <c r="G50" s="135" t="s">
        <v>364</v>
      </c>
      <c r="H50" s="135" t="s">
        <v>28</v>
      </c>
      <c r="I50" s="135" t="s">
        <v>65</v>
      </c>
      <c r="J50" s="159"/>
      <c r="K50" s="135" t="s">
        <v>365</v>
      </c>
      <c r="L50" s="159"/>
      <c r="M50" s="135" t="s">
        <v>366</v>
      </c>
      <c r="N50" s="159"/>
      <c r="O50" s="159"/>
      <c r="P50" s="135" t="s">
        <v>364</v>
      </c>
      <c r="Q50" s="135" t="s">
        <v>28</v>
      </c>
      <c r="R50" s="135" t="s">
        <v>65</v>
      </c>
      <c r="S50" s="159"/>
      <c r="T50" s="135" t="s">
        <v>365</v>
      </c>
      <c r="U50" s="159"/>
      <c r="V50" s="159"/>
      <c r="W50" s="159"/>
      <c r="X50" s="159"/>
      <c r="Y50" s="159"/>
      <c r="Z50" s="159"/>
      <c r="AA50" s="159"/>
      <c r="AB50" s="159"/>
      <c r="AC50" s="135" t="s">
        <v>367</v>
      </c>
      <c r="AD50" s="68" t="s">
        <v>34</v>
      </c>
      <c r="AE50" s="176"/>
      <c r="AF50" s="91" t="str">
        <f t="shared" si="0"/>
        <v>S</v>
      </c>
      <c r="AG50" s="91" cm="1">
        <f t="array" ref="AG50">_xlfn.SWITCH(D50,"PTA12",2,"PTD1",2,"PTD0",3,"PTC16",1,"PTD5",1,"PTA5",2,"PTD6",2,"PTE8",2,(LEN(N50)+LEN(N50)-LEN(SUBSTITUTE(N50,"ADC",))-LEN(SUBSTITUTE(N50,"CMP",)))/3)</f>
        <v>0</v>
      </c>
      <c r="AH50" s="180" t="str">
        <f t="shared" si="1"/>
        <v>ILKG_33/50_S0</v>
      </c>
    </row>
    <row r="51" spans="1:34" x14ac:dyDescent="0.3">
      <c r="A51" s="219"/>
      <c r="B51" s="135">
        <v>45</v>
      </c>
      <c r="C51" s="135" t="s">
        <v>368</v>
      </c>
      <c r="D51" s="135" t="s">
        <v>369</v>
      </c>
      <c r="E51" s="135" t="s">
        <v>370</v>
      </c>
      <c r="F51" s="135" t="s">
        <v>370</v>
      </c>
      <c r="G51" s="159"/>
      <c r="H51" s="135" t="s">
        <v>371</v>
      </c>
      <c r="I51" s="135" t="s">
        <v>142</v>
      </c>
      <c r="J51" s="159"/>
      <c r="K51" s="135" t="s">
        <v>372</v>
      </c>
      <c r="L51" s="159"/>
      <c r="M51" s="135" t="s">
        <v>373</v>
      </c>
      <c r="N51" s="135" t="s">
        <v>374</v>
      </c>
      <c r="O51" s="159"/>
      <c r="P51" s="159"/>
      <c r="Q51" s="135" t="s">
        <v>371</v>
      </c>
      <c r="R51" s="135" t="s">
        <v>142</v>
      </c>
      <c r="S51" s="159"/>
      <c r="T51" s="135" t="s">
        <v>372</v>
      </c>
      <c r="U51" s="159"/>
      <c r="V51" s="159"/>
      <c r="W51" s="135" t="s">
        <v>119</v>
      </c>
      <c r="X51" s="135" t="s">
        <v>375</v>
      </c>
      <c r="Y51" s="159"/>
      <c r="Z51" s="159"/>
      <c r="AA51" s="159"/>
      <c r="AB51" s="159"/>
      <c r="AC51" s="135" t="s">
        <v>376</v>
      </c>
      <c r="AD51" s="68" t="s">
        <v>34</v>
      </c>
      <c r="AE51" s="176"/>
      <c r="AF51" s="91" t="str">
        <f t="shared" si="0"/>
        <v>S</v>
      </c>
      <c r="AG51" s="91" cm="1">
        <f t="array" ref="AG51">_xlfn.SWITCH(D51,"PTA12",2,"PTD1",2,"PTD0",3,"PTC16",1,"PTD5",1,"PTA5",2,"PTD6",2,"PTE8",2,(LEN(N51)+LEN(N51)-LEN(SUBSTITUTE(N51,"ADC",))-LEN(SUBSTITUTE(N51,"CMP",)))/3)</f>
        <v>0</v>
      </c>
      <c r="AH51" s="180" t="str">
        <f t="shared" si="1"/>
        <v>ILKG_33/50_S0</v>
      </c>
    </row>
    <row r="52" spans="1:34" x14ac:dyDescent="0.3">
      <c r="A52" s="219"/>
      <c r="B52" s="135">
        <v>67</v>
      </c>
      <c r="C52" s="135" t="s">
        <v>515</v>
      </c>
      <c r="D52" s="135" t="s">
        <v>516</v>
      </c>
      <c r="E52" s="135" t="s">
        <v>517</v>
      </c>
      <c r="F52" s="135" t="s">
        <v>517</v>
      </c>
      <c r="G52" s="135" t="s">
        <v>518</v>
      </c>
      <c r="H52" s="135" t="s">
        <v>519</v>
      </c>
      <c r="I52" s="135" t="s">
        <v>380</v>
      </c>
      <c r="J52" s="135" t="s">
        <v>520</v>
      </c>
      <c r="K52" s="135" t="s">
        <v>26</v>
      </c>
      <c r="L52" s="135" t="s">
        <v>439</v>
      </c>
      <c r="M52" s="135" t="s">
        <v>521</v>
      </c>
      <c r="N52" s="159"/>
      <c r="O52" s="159"/>
      <c r="P52" s="159"/>
      <c r="Q52" s="135" t="s">
        <v>519</v>
      </c>
      <c r="R52" s="135" t="s">
        <v>380</v>
      </c>
      <c r="S52" s="135" t="s">
        <v>520</v>
      </c>
      <c r="T52" s="135" t="s">
        <v>26</v>
      </c>
      <c r="U52" s="135" t="s">
        <v>439</v>
      </c>
      <c r="V52" s="159"/>
      <c r="W52" s="135" t="s">
        <v>109</v>
      </c>
      <c r="X52" s="135" t="s">
        <v>522</v>
      </c>
      <c r="Y52" s="159"/>
      <c r="Z52" s="159"/>
      <c r="AA52" s="159"/>
      <c r="AB52" s="159"/>
      <c r="AC52" s="135" t="s">
        <v>523</v>
      </c>
      <c r="AD52" s="68" t="s">
        <v>231</v>
      </c>
      <c r="AE52" s="176"/>
      <c r="AF52" s="91" t="str">
        <f t="shared" si="0"/>
        <v>SP</v>
      </c>
      <c r="AG52" s="91" cm="1">
        <f t="array" ref="AG52">_xlfn.SWITCH(D52,"PTA12",2,"PTD1",2,"PTD0",3,"PTC16",1,"PTD5",1,"PTA5",2,"PTD6",2,"PTE8",2,(LEN(N52)+LEN(N52)-LEN(SUBSTITUTE(N52,"ADC",))-LEN(SUBSTITUTE(N52,"CMP",)))/3)</f>
        <v>0</v>
      </c>
      <c r="AH52" s="180" t="str">
        <f t="shared" si="1"/>
        <v>ILKG_33/50_SP0</v>
      </c>
    </row>
    <row r="53" spans="1:34" x14ac:dyDescent="0.3">
      <c r="A53" s="219"/>
      <c r="B53" s="135">
        <v>69</v>
      </c>
      <c r="C53" s="135" t="s">
        <v>533</v>
      </c>
      <c r="D53" s="135" t="s">
        <v>534</v>
      </c>
      <c r="E53" s="135" t="s">
        <v>535</v>
      </c>
      <c r="F53" s="135" t="s">
        <v>535</v>
      </c>
      <c r="G53" s="135" t="s">
        <v>536</v>
      </c>
      <c r="H53" s="135" t="s">
        <v>537</v>
      </c>
      <c r="I53" s="135" t="s">
        <v>142</v>
      </c>
      <c r="J53" s="135" t="s">
        <v>538</v>
      </c>
      <c r="K53" s="159"/>
      <c r="L53" s="159"/>
      <c r="M53" s="135" t="s">
        <v>539</v>
      </c>
      <c r="N53" s="135" t="s">
        <v>540</v>
      </c>
      <c r="O53" s="159"/>
      <c r="P53" s="159"/>
      <c r="Q53" s="135" t="s">
        <v>537</v>
      </c>
      <c r="R53" s="135" t="s">
        <v>142</v>
      </c>
      <c r="S53" s="135" t="s">
        <v>538</v>
      </c>
      <c r="T53" s="159"/>
      <c r="U53" s="159"/>
      <c r="V53" s="159"/>
      <c r="W53" s="135" t="s">
        <v>541</v>
      </c>
      <c r="X53" s="135" t="s">
        <v>133</v>
      </c>
      <c r="Y53" s="135" t="s">
        <v>542</v>
      </c>
      <c r="Z53" s="135" t="s">
        <v>44</v>
      </c>
      <c r="AA53" s="159"/>
      <c r="AB53" s="159"/>
      <c r="AC53" s="135" t="s">
        <v>543</v>
      </c>
      <c r="AD53" s="68" t="s">
        <v>34</v>
      </c>
      <c r="AE53" s="176"/>
      <c r="AF53" s="91" t="str">
        <f t="shared" si="0"/>
        <v>S</v>
      </c>
      <c r="AG53" s="91" cm="1">
        <f t="array" ref="AG53">_xlfn.SWITCH(D53,"PTA12",2,"PTD1",2,"PTD0",3,"PTC16",1,"PTD5",1,"PTA5",2,"PTD6",2,"PTE8",2,(LEN(N53)+LEN(N53)-LEN(SUBSTITUTE(N53,"ADC",))-LEN(SUBSTITUTE(N53,"CMP",)))/3)</f>
        <v>0</v>
      </c>
      <c r="AH53" s="180" t="str">
        <f t="shared" si="1"/>
        <v>ILKG_33/50_S0</v>
      </c>
    </row>
    <row r="54" spans="1:34" x14ac:dyDescent="0.3">
      <c r="A54" s="219"/>
      <c r="B54" s="135">
        <v>70</v>
      </c>
      <c r="C54" s="135" t="s">
        <v>544</v>
      </c>
      <c r="D54" s="135" t="s">
        <v>545</v>
      </c>
      <c r="E54" s="135" t="s">
        <v>546</v>
      </c>
      <c r="F54" s="135" t="s">
        <v>546</v>
      </c>
      <c r="G54" s="135" t="s">
        <v>547</v>
      </c>
      <c r="H54" s="135" t="s">
        <v>548</v>
      </c>
      <c r="I54" s="135" t="s">
        <v>130</v>
      </c>
      <c r="J54" s="135" t="s">
        <v>549</v>
      </c>
      <c r="K54" s="159"/>
      <c r="L54" s="159"/>
      <c r="M54" s="159"/>
      <c r="N54" s="159"/>
      <c r="O54" s="159"/>
      <c r="P54" s="159"/>
      <c r="Q54" s="135" t="s">
        <v>548</v>
      </c>
      <c r="R54" s="135" t="s">
        <v>130</v>
      </c>
      <c r="S54" s="135" t="s">
        <v>549</v>
      </c>
      <c r="T54" s="159"/>
      <c r="U54" s="159"/>
      <c r="V54" s="159"/>
      <c r="W54" s="135" t="s">
        <v>247</v>
      </c>
      <c r="X54" s="159"/>
      <c r="Y54" s="159"/>
      <c r="Z54" s="159"/>
      <c r="AA54" s="159"/>
      <c r="AB54" s="159"/>
      <c r="AC54" s="135" t="s">
        <v>550</v>
      </c>
      <c r="AD54" s="68" t="s">
        <v>34</v>
      </c>
      <c r="AE54" s="176"/>
      <c r="AF54" s="91" t="str">
        <f t="shared" si="0"/>
        <v>S</v>
      </c>
      <c r="AG54" s="91" cm="1">
        <f t="array" ref="AG54">_xlfn.SWITCH(D54,"PTA12",2,"PTD1",2,"PTD0",3,"PTC16",1,"PTD5",1,"PTA5",2,"PTD6",2,"PTE8",2,(LEN(N54)+LEN(N54)-LEN(SUBSTITUTE(N54,"ADC",))-LEN(SUBSTITUTE(N54,"CMP",)))/3)</f>
        <v>0</v>
      </c>
      <c r="AH54" s="180" t="str">
        <f t="shared" si="1"/>
        <v>ILKG_33/50_S0</v>
      </c>
    </row>
    <row r="55" spans="1:34" x14ac:dyDescent="0.3">
      <c r="A55" s="219"/>
      <c r="B55" s="135">
        <v>72</v>
      </c>
      <c r="C55" s="135" t="s">
        <v>561</v>
      </c>
      <c r="D55" s="135" t="s">
        <v>562</v>
      </c>
      <c r="E55" s="135" t="s">
        <v>563</v>
      </c>
      <c r="F55" s="135" t="s">
        <v>563</v>
      </c>
      <c r="G55" s="135" t="s">
        <v>564</v>
      </c>
      <c r="H55" s="135" t="s">
        <v>565</v>
      </c>
      <c r="I55" s="135" t="s">
        <v>171</v>
      </c>
      <c r="J55" s="135" t="s">
        <v>566</v>
      </c>
      <c r="K55" s="135" t="s">
        <v>127</v>
      </c>
      <c r="L55" s="159"/>
      <c r="M55" s="159"/>
      <c r="N55" s="159"/>
      <c r="O55" s="159"/>
      <c r="P55" s="135" t="s">
        <v>564</v>
      </c>
      <c r="Q55" s="135" t="s">
        <v>565</v>
      </c>
      <c r="R55" s="135" t="s">
        <v>171</v>
      </c>
      <c r="S55" s="135" t="s">
        <v>566</v>
      </c>
      <c r="T55" s="135" t="s">
        <v>127</v>
      </c>
      <c r="U55" s="159"/>
      <c r="V55" s="159"/>
      <c r="W55" s="135" t="s">
        <v>152</v>
      </c>
      <c r="X55" s="159"/>
      <c r="Y55" s="159"/>
      <c r="Z55" s="159"/>
      <c r="AA55" s="159"/>
      <c r="AB55" s="159"/>
      <c r="AC55" s="135" t="s">
        <v>567</v>
      </c>
      <c r="AD55" s="68" t="s">
        <v>34</v>
      </c>
      <c r="AE55" s="176"/>
      <c r="AF55" s="91" t="str">
        <f t="shared" si="0"/>
        <v>S</v>
      </c>
      <c r="AG55" s="91" cm="1">
        <f t="array" ref="AG55">_xlfn.SWITCH(D55,"PTA12",2,"PTD1",2,"PTD0",3,"PTC16",1,"PTD5",1,"PTA5",2,"PTD6",2,"PTE8",2,(LEN(N55)+LEN(N55)-LEN(SUBSTITUTE(N55,"ADC",))-LEN(SUBSTITUTE(N55,"CMP",)))/3)</f>
        <v>0</v>
      </c>
      <c r="AH55" s="180" t="str">
        <f t="shared" si="1"/>
        <v>ILKG_33/50_S0</v>
      </c>
    </row>
    <row r="56" spans="1:34" x14ac:dyDescent="0.3">
      <c r="A56" s="219"/>
      <c r="B56" s="135">
        <v>73</v>
      </c>
      <c r="C56" s="135" t="s">
        <v>568</v>
      </c>
      <c r="D56" s="135" t="s">
        <v>569</v>
      </c>
      <c r="E56" s="135" t="s">
        <v>570</v>
      </c>
      <c r="F56" s="135" t="s">
        <v>570</v>
      </c>
      <c r="G56" s="159"/>
      <c r="H56" s="135" t="s">
        <v>571</v>
      </c>
      <c r="I56" s="135" t="s">
        <v>158</v>
      </c>
      <c r="J56" s="135" t="s">
        <v>572</v>
      </c>
      <c r="K56" s="159"/>
      <c r="L56" s="159"/>
      <c r="M56" s="159"/>
      <c r="N56" s="135" t="s">
        <v>573</v>
      </c>
      <c r="O56" s="159"/>
      <c r="P56" s="159"/>
      <c r="Q56" s="135" t="s">
        <v>571</v>
      </c>
      <c r="R56" s="135" t="s">
        <v>158</v>
      </c>
      <c r="S56" s="135" t="s">
        <v>572</v>
      </c>
      <c r="T56" s="159"/>
      <c r="U56" s="159"/>
      <c r="V56" s="159"/>
      <c r="W56" s="135" t="s">
        <v>220</v>
      </c>
      <c r="X56" s="135" t="s">
        <v>574</v>
      </c>
      <c r="Y56" s="159"/>
      <c r="Z56" s="159"/>
      <c r="AA56" s="159"/>
      <c r="AB56" s="159"/>
      <c r="AC56" s="135" t="s">
        <v>575</v>
      </c>
      <c r="AD56" s="68" t="s">
        <v>34</v>
      </c>
      <c r="AE56" s="176"/>
      <c r="AF56" s="91" t="str">
        <f t="shared" si="0"/>
        <v>S</v>
      </c>
      <c r="AG56" s="91" cm="1">
        <f t="array" ref="AG56">_xlfn.SWITCH(D56,"PTA12",2,"PTD1",2,"PTD0",3,"PTC16",1,"PTD5",1,"PTA5",2,"PTD6",2,"PTE8",2,(LEN(N56)+LEN(N56)-LEN(SUBSTITUTE(N56,"ADC",))-LEN(SUBSTITUTE(N56,"CMP",)))/3)</f>
        <v>0</v>
      </c>
      <c r="AH56" s="180" t="str">
        <f t="shared" si="1"/>
        <v>ILKG_33/50_S0</v>
      </c>
    </row>
    <row r="57" spans="1:34" x14ac:dyDescent="0.3">
      <c r="A57" s="219"/>
      <c r="B57" s="135">
        <v>75</v>
      </c>
      <c r="C57" s="135" t="s">
        <v>588</v>
      </c>
      <c r="D57" s="135" t="s">
        <v>589</v>
      </c>
      <c r="E57" s="135" t="s">
        <v>590</v>
      </c>
      <c r="F57" s="135" t="s">
        <v>590</v>
      </c>
      <c r="G57" s="135" t="s">
        <v>102</v>
      </c>
      <c r="H57" s="135" t="s">
        <v>591</v>
      </c>
      <c r="I57" s="135" t="s">
        <v>246</v>
      </c>
      <c r="J57" s="135" t="s">
        <v>592</v>
      </c>
      <c r="K57" s="135" t="s">
        <v>581</v>
      </c>
      <c r="L57" s="159"/>
      <c r="M57" s="159"/>
      <c r="N57" s="159"/>
      <c r="O57" s="159"/>
      <c r="P57" s="135" t="s">
        <v>102</v>
      </c>
      <c r="Q57" s="135" t="s">
        <v>591</v>
      </c>
      <c r="R57" s="135" t="s">
        <v>246</v>
      </c>
      <c r="S57" s="135" t="s">
        <v>592</v>
      </c>
      <c r="T57" s="135" t="s">
        <v>581</v>
      </c>
      <c r="U57" s="159"/>
      <c r="V57" s="159"/>
      <c r="W57" s="159"/>
      <c r="X57" s="159"/>
      <c r="Y57" s="159"/>
      <c r="Z57" s="159"/>
      <c r="AA57" s="159"/>
      <c r="AB57" s="159"/>
      <c r="AC57" s="135" t="s">
        <v>593</v>
      </c>
      <c r="AD57" s="68" t="s">
        <v>34</v>
      </c>
      <c r="AE57" s="176"/>
      <c r="AF57" s="91" t="str">
        <f t="shared" si="0"/>
        <v>S</v>
      </c>
      <c r="AG57" s="91" cm="1">
        <f t="array" ref="AG57">_xlfn.SWITCH(D57,"PTA12",2,"PTD1",2,"PTD0",3,"PTC16",1,"PTD5",1,"PTA5",2,"PTD6",2,"PTE8",2,(LEN(N57)+LEN(N57)-LEN(SUBSTITUTE(N57,"ADC",))-LEN(SUBSTITUTE(N57,"CMP",)))/3)</f>
        <v>0</v>
      </c>
      <c r="AH57" s="180" t="str">
        <f t="shared" si="1"/>
        <v>ILKG_33/50_S0</v>
      </c>
    </row>
    <row r="58" spans="1:34" x14ac:dyDescent="0.3">
      <c r="A58" s="219"/>
      <c r="B58" s="135">
        <v>76</v>
      </c>
      <c r="C58" s="135" t="s">
        <v>594</v>
      </c>
      <c r="D58" s="135" t="s">
        <v>595</v>
      </c>
      <c r="E58" s="135" t="s">
        <v>596</v>
      </c>
      <c r="F58" s="135" t="s">
        <v>596</v>
      </c>
      <c r="G58" s="135" t="s">
        <v>597</v>
      </c>
      <c r="H58" s="159"/>
      <c r="I58" s="135" t="s">
        <v>264</v>
      </c>
      <c r="J58" s="135" t="s">
        <v>238</v>
      </c>
      <c r="K58" s="135" t="s">
        <v>62</v>
      </c>
      <c r="L58" s="135" t="s">
        <v>598</v>
      </c>
      <c r="M58" s="135" t="s">
        <v>245</v>
      </c>
      <c r="N58" s="135" t="s">
        <v>599</v>
      </c>
      <c r="O58" s="159"/>
      <c r="P58" s="159"/>
      <c r="Q58" s="159"/>
      <c r="R58" s="135" t="s">
        <v>264</v>
      </c>
      <c r="S58" s="135" t="s">
        <v>238</v>
      </c>
      <c r="T58" s="135" t="s">
        <v>62</v>
      </c>
      <c r="U58" s="159"/>
      <c r="V58" s="135" t="s">
        <v>245</v>
      </c>
      <c r="W58" s="135" t="s">
        <v>82</v>
      </c>
      <c r="X58" s="135" t="s">
        <v>120</v>
      </c>
      <c r="Y58" s="159"/>
      <c r="Z58" s="159"/>
      <c r="AA58" s="159"/>
      <c r="AB58" s="159"/>
      <c r="AC58" s="135" t="s">
        <v>600</v>
      </c>
      <c r="AD58" s="68" t="s">
        <v>34</v>
      </c>
      <c r="AE58" s="176"/>
      <c r="AF58" s="91" t="str">
        <f t="shared" si="0"/>
        <v>S</v>
      </c>
      <c r="AG58" s="91" cm="1">
        <f t="array" ref="AG58">_xlfn.SWITCH(D58,"PTA12",2,"PTD1",2,"PTD0",3,"PTC16",1,"PTD5",1,"PTA5",2,"PTD6",2,"PTE8",2,(LEN(N58)+LEN(N58)-LEN(SUBSTITUTE(N58,"ADC",))-LEN(SUBSTITUTE(N58,"CMP",)))/3)</f>
        <v>0</v>
      </c>
      <c r="AH58" s="180" t="str">
        <f t="shared" si="1"/>
        <v>ILKG_33/50_S0</v>
      </c>
    </row>
    <row r="59" spans="1:34" x14ac:dyDescent="0.3">
      <c r="A59" s="219"/>
      <c r="B59" s="135">
        <v>80</v>
      </c>
      <c r="C59" s="135" t="s">
        <v>614</v>
      </c>
      <c r="D59" s="135" t="s">
        <v>615</v>
      </c>
      <c r="E59" s="135" t="s">
        <v>616</v>
      </c>
      <c r="F59" s="135" t="s">
        <v>616</v>
      </c>
      <c r="G59" s="135" t="s">
        <v>485</v>
      </c>
      <c r="H59" s="159"/>
      <c r="I59" s="135" t="s">
        <v>301</v>
      </c>
      <c r="J59" s="135" t="s">
        <v>253</v>
      </c>
      <c r="K59" s="135" t="s">
        <v>76</v>
      </c>
      <c r="L59" s="135" t="s">
        <v>617</v>
      </c>
      <c r="M59" s="135" t="s">
        <v>618</v>
      </c>
      <c r="N59" s="159"/>
      <c r="O59" s="159"/>
      <c r="P59" s="135" t="s">
        <v>485</v>
      </c>
      <c r="Q59" s="159"/>
      <c r="R59" s="135" t="s">
        <v>301</v>
      </c>
      <c r="S59" s="135" t="s">
        <v>253</v>
      </c>
      <c r="T59" s="135" t="s">
        <v>76</v>
      </c>
      <c r="U59" s="159"/>
      <c r="V59" s="135" t="s">
        <v>618</v>
      </c>
      <c r="W59" s="159"/>
      <c r="X59" s="159"/>
      <c r="Y59" s="159"/>
      <c r="Z59" s="159"/>
      <c r="AA59" s="159"/>
      <c r="AB59" s="159"/>
      <c r="AC59" s="135" t="s">
        <v>619</v>
      </c>
      <c r="AD59" s="68" t="s">
        <v>231</v>
      </c>
      <c r="AE59" s="176"/>
      <c r="AF59" s="91" t="str">
        <f t="shared" si="0"/>
        <v>SP</v>
      </c>
      <c r="AG59" s="91" cm="1">
        <f t="array" ref="AG59">_xlfn.SWITCH(D59,"PTA12",2,"PTD1",2,"PTD0",3,"PTC16",1,"PTD5",1,"PTA5",2,"PTD6",2,"PTE8",2,(LEN(N59)+LEN(N59)-LEN(SUBSTITUTE(N59,"ADC",))-LEN(SUBSTITUTE(N59,"CMP",)))/3)</f>
        <v>0</v>
      </c>
      <c r="AH59" s="180" t="str">
        <f t="shared" si="1"/>
        <v>ILKG_33/50_SP0</v>
      </c>
    </row>
    <row r="60" spans="1:34" x14ac:dyDescent="0.3">
      <c r="A60" s="218">
        <v>47</v>
      </c>
      <c r="B60" s="135">
        <v>74</v>
      </c>
      <c r="C60" s="135" t="s">
        <v>576</v>
      </c>
      <c r="D60" s="135" t="s">
        <v>577</v>
      </c>
      <c r="E60" s="135" t="s">
        <v>578</v>
      </c>
      <c r="F60" s="135" t="s">
        <v>578</v>
      </c>
      <c r="G60" s="135" t="s">
        <v>579</v>
      </c>
      <c r="H60" s="135" t="s">
        <v>580</v>
      </c>
      <c r="I60" s="135" t="s">
        <v>581</v>
      </c>
      <c r="J60" s="135" t="s">
        <v>582</v>
      </c>
      <c r="K60" s="135" t="s">
        <v>225</v>
      </c>
      <c r="L60" s="135" t="s">
        <v>583</v>
      </c>
      <c r="M60" s="135" t="s">
        <v>584</v>
      </c>
      <c r="N60" s="159"/>
      <c r="O60" s="159"/>
      <c r="P60" s="135" t="s">
        <v>579</v>
      </c>
      <c r="Q60" s="135" t="s">
        <v>580</v>
      </c>
      <c r="R60" s="135" t="s">
        <v>581</v>
      </c>
      <c r="S60" s="159"/>
      <c r="T60" s="159"/>
      <c r="U60" s="159"/>
      <c r="V60" s="135" t="s">
        <v>584</v>
      </c>
      <c r="W60" s="135" t="s">
        <v>247</v>
      </c>
      <c r="X60" s="135" t="s">
        <v>585</v>
      </c>
      <c r="Y60" s="135" t="s">
        <v>586</v>
      </c>
      <c r="Z60" s="159"/>
      <c r="AA60" s="159"/>
      <c r="AB60" s="159"/>
      <c r="AC60" s="135" t="s">
        <v>587</v>
      </c>
      <c r="AD60" s="68" t="s">
        <v>231</v>
      </c>
      <c r="AE60" s="175" t="s">
        <v>35</v>
      </c>
      <c r="AF60" s="91" t="str">
        <f t="shared" si="0"/>
        <v>SP</v>
      </c>
      <c r="AG60" s="91" cm="1">
        <f t="array" ref="AG60">_xlfn.SWITCH(D60,"PTA12",2,"PTD1",2,"PTD0",3,"PTC16",1,"PTD5",1,"PTA5",2,"PTD6",2,"PTE8",2,(LEN(N60)+LEN(N60)-LEN(SUBSTITUTE(N60,"ADC",))-LEN(SUBSTITUTE(N60,"CMP",)))/3)</f>
        <v>0</v>
      </c>
      <c r="AH60" s="180" t="str">
        <f t="shared" si="1"/>
        <v>ILKG_33/50_SP0</v>
      </c>
    </row>
    <row r="61" spans="1:34" x14ac:dyDescent="0.3">
      <c r="A61" s="219"/>
      <c r="B61" s="159"/>
      <c r="C61" s="135" t="s">
        <v>1422</v>
      </c>
      <c r="D61" s="135" t="s">
        <v>1423</v>
      </c>
      <c r="E61" s="135" t="s">
        <v>1424</v>
      </c>
      <c r="F61" s="135" t="s">
        <v>1424</v>
      </c>
      <c r="G61" s="159"/>
      <c r="H61" s="159"/>
      <c r="I61" s="135" t="s">
        <v>315</v>
      </c>
      <c r="J61" s="159"/>
      <c r="K61" s="135" t="s">
        <v>724</v>
      </c>
      <c r="L61" s="159"/>
      <c r="M61" s="159"/>
      <c r="N61" s="159"/>
      <c r="O61" s="159"/>
      <c r="P61" s="159"/>
      <c r="Q61" s="159"/>
      <c r="R61" s="135" t="s">
        <v>315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35" t="s">
        <v>1425</v>
      </c>
      <c r="AD61" s="68" t="s">
        <v>34</v>
      </c>
      <c r="AE61" s="176"/>
      <c r="AF61" s="91" t="str">
        <f t="shared" si="0"/>
        <v>S</v>
      </c>
      <c r="AG61" s="91" cm="1">
        <f t="array" ref="AG61">_xlfn.SWITCH(D61,"PTA12",2,"PTD1",2,"PTD0",3,"PTC16",1,"PTD5",1,"PTA5",2,"PTD6",2,"PTE8",2,(LEN(N61)+LEN(N61)-LEN(SUBSTITUTE(N61,"ADC",))-LEN(SUBSTITUTE(N61,"CMP",)))/3)</f>
        <v>0</v>
      </c>
      <c r="AH61" s="180" t="str">
        <f t="shared" si="1"/>
        <v>ILKG_33/50_S0</v>
      </c>
    </row>
    <row r="62" spans="1:34" x14ac:dyDescent="0.3">
      <c r="A62" s="219"/>
      <c r="B62" s="159"/>
      <c r="C62" s="135" t="s">
        <v>1426</v>
      </c>
      <c r="D62" s="135" t="s">
        <v>1427</v>
      </c>
      <c r="E62" s="135" t="s">
        <v>1428</v>
      </c>
      <c r="F62" s="135" t="s">
        <v>1428</v>
      </c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35" t="s">
        <v>68</v>
      </c>
      <c r="X62" s="135" t="s">
        <v>717</v>
      </c>
      <c r="Y62" s="159"/>
      <c r="Z62" s="159"/>
      <c r="AA62" s="159"/>
      <c r="AB62" s="159"/>
      <c r="AC62" s="135" t="s">
        <v>1429</v>
      </c>
      <c r="AD62" s="68" t="s">
        <v>34</v>
      </c>
      <c r="AE62" s="176"/>
      <c r="AF62" s="91" t="str">
        <f t="shared" si="0"/>
        <v>S</v>
      </c>
      <c r="AG62" s="91" cm="1">
        <f t="array" ref="AG62">_xlfn.SWITCH(D62,"PTA12",2,"PTD1",2,"PTD0",3,"PTC16",1,"PTD5",1,"PTA5",2,"PTD6",2,"PTE8",2,(LEN(N62)+LEN(N62)-LEN(SUBSTITUTE(N62,"ADC",))-LEN(SUBSTITUTE(N62,"CMP",)))/3)</f>
        <v>0</v>
      </c>
      <c r="AH62" s="180" t="str">
        <f t="shared" si="1"/>
        <v>ILKG_33/50_S0</v>
      </c>
    </row>
    <row r="63" spans="1:34" x14ac:dyDescent="0.3">
      <c r="A63" s="218">
        <v>28</v>
      </c>
      <c r="B63" s="135">
        <v>48</v>
      </c>
      <c r="C63" s="135" t="s">
        <v>395</v>
      </c>
      <c r="D63" s="135" t="s">
        <v>396</v>
      </c>
      <c r="E63" s="135" t="s">
        <v>397</v>
      </c>
      <c r="F63" s="135" t="s">
        <v>397</v>
      </c>
      <c r="G63" s="135" t="s">
        <v>398</v>
      </c>
      <c r="H63" s="135" t="s">
        <v>399</v>
      </c>
      <c r="I63" s="135" t="s">
        <v>280</v>
      </c>
      <c r="J63" s="159"/>
      <c r="K63" s="135" t="s">
        <v>288</v>
      </c>
      <c r="L63" s="135" t="s">
        <v>235</v>
      </c>
      <c r="M63" s="159"/>
      <c r="N63" s="159"/>
      <c r="O63" s="159"/>
      <c r="P63" s="159"/>
      <c r="Q63" s="135" t="s">
        <v>399</v>
      </c>
      <c r="R63" s="135" t="s">
        <v>280</v>
      </c>
      <c r="S63" s="159"/>
      <c r="T63" s="135" t="s">
        <v>288</v>
      </c>
      <c r="U63" s="135" t="s">
        <v>235</v>
      </c>
      <c r="V63" s="159"/>
      <c r="W63" s="135" t="s">
        <v>152</v>
      </c>
      <c r="X63" s="135" t="s">
        <v>400</v>
      </c>
      <c r="Y63" s="159"/>
      <c r="Z63" s="159"/>
      <c r="AA63" s="159"/>
      <c r="AB63" s="159"/>
      <c r="AC63" s="135" t="s">
        <v>401</v>
      </c>
      <c r="AD63" s="68" t="s">
        <v>231</v>
      </c>
      <c r="AE63" s="176"/>
      <c r="AF63" s="91" t="str">
        <f t="shared" si="0"/>
        <v>SP</v>
      </c>
      <c r="AG63" s="91" cm="1">
        <f t="array" ref="AG63">_xlfn.SWITCH(D63,"PTA12",2,"PTD1",2,"PTD0",3,"PTC16",1,"PTD5",1,"PTA5",2,"PTD6",2,"PTE8",2,(LEN(N63)+LEN(N63)-LEN(SUBSTITUTE(N63,"ADC",))-LEN(SUBSTITUTE(N63,"CMP",)))/3)</f>
        <v>0</v>
      </c>
      <c r="AH63" s="180" t="str">
        <f t="shared" si="1"/>
        <v>ILKG_33/50_SP0</v>
      </c>
    </row>
    <row r="64" spans="1:34" s="205" customFormat="1" x14ac:dyDescent="0.3">
      <c r="A64" s="218">
        <v>27</v>
      </c>
      <c r="B64" s="135">
        <v>47</v>
      </c>
      <c r="C64" s="135" t="s">
        <v>388</v>
      </c>
      <c r="D64" s="135" t="s">
        <v>389</v>
      </c>
      <c r="E64" s="135" t="s">
        <v>390</v>
      </c>
      <c r="F64" s="135" t="s">
        <v>390</v>
      </c>
      <c r="G64" s="135" t="s">
        <v>391</v>
      </c>
      <c r="H64" s="135" t="s">
        <v>392</v>
      </c>
      <c r="I64" s="135" t="s">
        <v>324</v>
      </c>
      <c r="J64" s="135" t="s">
        <v>166</v>
      </c>
      <c r="K64" s="135" t="s">
        <v>333</v>
      </c>
      <c r="L64" s="135" t="s">
        <v>252</v>
      </c>
      <c r="M64" s="135" t="s">
        <v>262</v>
      </c>
      <c r="N64" s="159"/>
      <c r="O64" s="159"/>
      <c r="P64" s="159"/>
      <c r="Q64" s="135" t="s">
        <v>392</v>
      </c>
      <c r="R64" s="135" t="s">
        <v>324</v>
      </c>
      <c r="S64" s="135" t="s">
        <v>166</v>
      </c>
      <c r="T64" s="159"/>
      <c r="U64" s="135" t="s">
        <v>252</v>
      </c>
      <c r="V64" s="159"/>
      <c r="W64" s="135" t="s">
        <v>220</v>
      </c>
      <c r="X64" s="135" t="s">
        <v>393</v>
      </c>
      <c r="Y64" s="159"/>
      <c r="Z64" s="159"/>
      <c r="AA64" s="159"/>
      <c r="AB64" s="159"/>
      <c r="AC64" s="135" t="s">
        <v>394</v>
      </c>
      <c r="AD64" s="68" t="s">
        <v>231</v>
      </c>
      <c r="AE64" s="176"/>
      <c r="AF64" s="91" t="str">
        <f t="shared" si="0"/>
        <v>SP</v>
      </c>
      <c r="AG64" s="91" cm="1">
        <f t="array" ref="AG64">_xlfn.SWITCH(D64,"PTA12",2,"PTD1",2,"PTD0",3,"PTC16",1,"PTD5",1,"PTA5",2,"PTD6",2,"PTE8",2,(LEN(N64)+LEN(N64)-LEN(SUBSTITUTE(N64,"ADC",))-LEN(SUBSTITUTE(N64,"CMP",)))/3)</f>
        <v>0</v>
      </c>
      <c r="AH64" s="180" t="str">
        <f t="shared" si="1"/>
        <v>ILKG_33/50_SP0</v>
      </c>
    </row>
    <row r="65" spans="1:34" x14ac:dyDescent="0.3">
      <c r="A65" s="218">
        <v>77</v>
      </c>
      <c r="B65" s="135">
        <v>133</v>
      </c>
      <c r="C65" s="135" t="s">
        <v>921</v>
      </c>
      <c r="D65" s="135" t="s">
        <v>922</v>
      </c>
      <c r="E65" s="135" t="s">
        <v>923</v>
      </c>
      <c r="F65" s="135" t="s">
        <v>923</v>
      </c>
      <c r="G65" s="135" t="s">
        <v>702</v>
      </c>
      <c r="H65" s="135" t="s">
        <v>290</v>
      </c>
      <c r="I65" s="159"/>
      <c r="J65" s="159"/>
      <c r="K65" s="135" t="s">
        <v>885</v>
      </c>
      <c r="L65" s="135" t="s">
        <v>924</v>
      </c>
      <c r="M65" s="135" t="s">
        <v>884</v>
      </c>
      <c r="N65" s="135" t="s">
        <v>925</v>
      </c>
      <c r="O65" s="159"/>
      <c r="P65" s="135" t="s">
        <v>702</v>
      </c>
      <c r="Q65" s="135" t="s">
        <v>290</v>
      </c>
      <c r="R65" s="159"/>
      <c r="S65" s="159"/>
      <c r="T65" s="159"/>
      <c r="U65" s="135" t="s">
        <v>924</v>
      </c>
      <c r="V65" s="135" t="s">
        <v>884</v>
      </c>
      <c r="W65" s="135" t="s">
        <v>82</v>
      </c>
      <c r="X65" s="159"/>
      <c r="Y65" s="159"/>
      <c r="Z65" s="159"/>
      <c r="AA65" s="159"/>
      <c r="AB65" s="159"/>
      <c r="AC65" s="135" t="s">
        <v>926</v>
      </c>
      <c r="AD65" s="68" t="s">
        <v>34</v>
      </c>
      <c r="AE65" s="175" t="s">
        <v>869</v>
      </c>
      <c r="AF65" s="91" t="str">
        <f t="shared" si="0"/>
        <v>S</v>
      </c>
      <c r="AG65" s="91" cm="1">
        <f t="array" ref="AG65">_xlfn.SWITCH(D65,"PTA12",2,"PTD1",2,"PTD0",3,"PTC16",1,"PTD5",1,"PTA5",2,"PTD6",2,"PTE8",2,(LEN(N65)+LEN(N65)-LEN(SUBSTITUTE(N65,"ADC",))-LEN(SUBSTITUTE(N65,"CMP",)))/3)</f>
        <v>2</v>
      </c>
      <c r="AH65" s="180" t="str">
        <f t="shared" si="1"/>
        <v>ILKG_33/50_S2</v>
      </c>
    </row>
    <row r="66" spans="1:34" x14ac:dyDescent="0.3">
      <c r="A66" s="218">
        <v>76</v>
      </c>
      <c r="B66" s="135">
        <v>130</v>
      </c>
      <c r="C66" s="135" t="s">
        <v>903</v>
      </c>
      <c r="D66" s="135" t="s">
        <v>904</v>
      </c>
      <c r="E66" s="135" t="s">
        <v>905</v>
      </c>
      <c r="F66" s="135" t="s">
        <v>905</v>
      </c>
      <c r="G66" s="135" t="s">
        <v>687</v>
      </c>
      <c r="H66" s="135" t="s">
        <v>28</v>
      </c>
      <c r="I66" s="159"/>
      <c r="J66" s="159"/>
      <c r="K66" s="159"/>
      <c r="L66" s="135" t="s">
        <v>866</v>
      </c>
      <c r="M66" s="135" t="s">
        <v>865</v>
      </c>
      <c r="N66" s="135" t="s">
        <v>906</v>
      </c>
      <c r="O66" s="159"/>
      <c r="P66" s="135" t="s">
        <v>687</v>
      </c>
      <c r="Q66" s="135" t="s">
        <v>28</v>
      </c>
      <c r="R66" s="159"/>
      <c r="S66" s="159"/>
      <c r="T66" s="159"/>
      <c r="U66" s="159"/>
      <c r="V66" s="135" t="s">
        <v>865</v>
      </c>
      <c r="W66" s="135" t="s">
        <v>68</v>
      </c>
      <c r="X66" s="135" t="s">
        <v>611</v>
      </c>
      <c r="Y66" s="159"/>
      <c r="Z66" s="159"/>
      <c r="AA66" s="159"/>
      <c r="AB66" s="159"/>
      <c r="AC66" s="135" t="s">
        <v>907</v>
      </c>
      <c r="AD66" s="68" t="s">
        <v>34</v>
      </c>
      <c r="AE66" s="175" t="s">
        <v>869</v>
      </c>
      <c r="AF66" s="91" t="str">
        <f t="shared" si="0"/>
        <v>S</v>
      </c>
      <c r="AG66" s="91" cm="1">
        <f t="array" ref="AG66">_xlfn.SWITCH(D66,"PTA12",2,"PTD1",2,"PTD0",3,"PTC16",1,"PTD5",1,"PTA5",2,"PTD6",2,"PTE8",2,(LEN(N66)+LEN(N66)-LEN(SUBSTITUTE(N66,"ADC",))-LEN(SUBSTITUTE(N66,"CMP",)))/3)</f>
        <v>2</v>
      </c>
      <c r="AH66" s="180" t="str">
        <f t="shared" si="1"/>
        <v>ILKG_33/50_S2</v>
      </c>
    </row>
    <row r="67" spans="1:34" x14ac:dyDescent="0.3">
      <c r="A67" s="218">
        <v>40</v>
      </c>
      <c r="B67" s="206">
        <v>62</v>
      </c>
      <c r="C67" s="206" t="s">
        <v>476</v>
      </c>
      <c r="D67" s="206" t="s">
        <v>477</v>
      </c>
      <c r="E67" s="206" t="s">
        <v>478</v>
      </c>
      <c r="F67" s="206" t="s">
        <v>478</v>
      </c>
      <c r="G67" s="206" t="s">
        <v>313</v>
      </c>
      <c r="H67" s="206" t="s">
        <v>297</v>
      </c>
      <c r="I67" s="206"/>
      <c r="J67" s="206"/>
      <c r="K67" s="206"/>
      <c r="L67" s="206" t="s">
        <v>479</v>
      </c>
      <c r="M67" s="211"/>
      <c r="N67" s="206"/>
      <c r="O67" s="206"/>
      <c r="P67" s="206"/>
      <c r="Q67" s="206" t="s">
        <v>297</v>
      </c>
      <c r="R67" s="206"/>
      <c r="S67" s="206"/>
      <c r="T67" s="206" t="s">
        <v>474</v>
      </c>
      <c r="U67" s="206" t="s">
        <v>479</v>
      </c>
      <c r="V67" s="206" t="s">
        <v>434</v>
      </c>
      <c r="W67" s="206" t="s">
        <v>31</v>
      </c>
      <c r="X67" s="206" t="s">
        <v>473</v>
      </c>
      <c r="Y67" s="206"/>
      <c r="Z67" s="206"/>
      <c r="AA67" s="206"/>
      <c r="AB67" s="206"/>
      <c r="AC67" s="206" t="s">
        <v>480</v>
      </c>
      <c r="AD67" s="207" t="s">
        <v>231</v>
      </c>
      <c r="AE67" s="208"/>
      <c r="AF67" s="209" t="str">
        <f t="shared" ref="AF67:AF130" si="2">IF(ISNUMBER(SEARCH("plus",AD67)),"SP",IF(ISNUMBER(SEARCH("standard",AD67)),"S",IF(ISNUMBER(SEARCH("medium",AD67)),"M",IF(ISNUMBER(SEARCH("fast",AD67)),"F",IF(ISNUMBER(SEARCH("input",AD67)),"I",IF(ISNUMBER(SEARCH("rst",AD67)),"SP"))))))</f>
        <v>SP</v>
      </c>
      <c r="AG67" s="209" cm="1">
        <f t="array" ref="AG67">_xlfn.SWITCH(D67,"PTA12",2,"PTD1",2,"PTD0",3,"PTC16",1,"PTD5",1,"PTA5",2,"PTD6",2,"PTE8",2,(LEN(N67)+LEN(N67)-LEN(SUBSTITUTE(N67,"ADC",))-LEN(SUBSTITUTE(N67,"CMP",)))/3)</f>
        <v>0</v>
      </c>
      <c r="AH67" s="210" t="str">
        <f t="shared" ref="AH67:AH130" si="3">IF(ISTEXT(AF67),_xlfn.CONCAT("ILKG_33/50_",AF67,AG67),"")</f>
        <v>ILKG_33/50_SP0</v>
      </c>
    </row>
    <row r="68" spans="1:34" x14ac:dyDescent="0.3">
      <c r="A68" s="218">
        <v>39</v>
      </c>
      <c r="B68" s="135">
        <v>61</v>
      </c>
      <c r="C68" s="135" t="s">
        <v>469</v>
      </c>
      <c r="D68" s="135" t="s">
        <v>470</v>
      </c>
      <c r="E68" s="135" t="s">
        <v>471</v>
      </c>
      <c r="F68" s="135" t="s">
        <v>471</v>
      </c>
      <c r="G68" s="159"/>
      <c r="H68" s="135" t="s">
        <v>128</v>
      </c>
      <c r="I68" s="159"/>
      <c r="J68" s="135" t="s">
        <v>130</v>
      </c>
      <c r="K68" s="159"/>
      <c r="L68" s="135" t="s">
        <v>472</v>
      </c>
      <c r="M68" s="159"/>
      <c r="N68" s="159"/>
      <c r="O68" s="159"/>
      <c r="P68" s="159"/>
      <c r="Q68" s="135" t="s">
        <v>128</v>
      </c>
      <c r="R68" s="159"/>
      <c r="S68" s="135" t="s">
        <v>130</v>
      </c>
      <c r="T68" s="135" t="s">
        <v>473</v>
      </c>
      <c r="U68" s="135" t="s">
        <v>472</v>
      </c>
      <c r="V68" s="159"/>
      <c r="W68" s="135" t="s">
        <v>303</v>
      </c>
      <c r="X68" s="135" t="s">
        <v>43</v>
      </c>
      <c r="Y68" s="135" t="s">
        <v>474</v>
      </c>
      <c r="Z68" s="135" t="s">
        <v>440</v>
      </c>
      <c r="AA68" s="159"/>
      <c r="AB68" s="159"/>
      <c r="AC68" s="135" t="s">
        <v>475</v>
      </c>
      <c r="AD68" s="68" t="s">
        <v>231</v>
      </c>
      <c r="AE68" s="176"/>
      <c r="AF68" s="91" t="str">
        <f t="shared" si="2"/>
        <v>SP</v>
      </c>
      <c r="AG68" s="91" cm="1">
        <f t="array" ref="AG68">_xlfn.SWITCH(D68,"PTA12",2,"PTD1",2,"PTD0",3,"PTC16",1,"PTD5",1,"PTA5",2,"PTD6",2,"PTE8",2,(LEN(N68)+LEN(N68)-LEN(SUBSTITUTE(N68,"ADC",))-LEN(SUBSTITUTE(N68,"CMP",)))/3)</f>
        <v>0</v>
      </c>
      <c r="AH68" s="180" t="str">
        <f t="shared" si="3"/>
        <v>ILKG_33/50_SP0</v>
      </c>
    </row>
    <row r="69" spans="1:34" x14ac:dyDescent="0.3">
      <c r="A69" s="218">
        <v>52</v>
      </c>
      <c r="B69" s="135">
        <v>92</v>
      </c>
      <c r="C69" s="135" t="s">
        <v>698</v>
      </c>
      <c r="D69" s="135" t="s">
        <v>699</v>
      </c>
      <c r="E69" s="135" t="s">
        <v>700</v>
      </c>
      <c r="F69" s="135" t="s">
        <v>700</v>
      </c>
      <c r="G69" s="135" t="s">
        <v>381</v>
      </c>
      <c r="H69" s="135" t="s">
        <v>701</v>
      </c>
      <c r="I69" s="135" t="s">
        <v>243</v>
      </c>
      <c r="J69" s="135" t="s">
        <v>139</v>
      </c>
      <c r="K69" s="135" t="s">
        <v>702</v>
      </c>
      <c r="L69" s="135" t="s">
        <v>598</v>
      </c>
      <c r="M69" s="135" t="s">
        <v>25</v>
      </c>
      <c r="N69" s="135" t="s">
        <v>703</v>
      </c>
      <c r="O69" s="159"/>
      <c r="P69" s="135" t="s">
        <v>381</v>
      </c>
      <c r="Q69" s="135" t="s">
        <v>701</v>
      </c>
      <c r="R69" s="159"/>
      <c r="S69" s="135" t="s">
        <v>139</v>
      </c>
      <c r="T69" s="135" t="s">
        <v>702</v>
      </c>
      <c r="U69" s="159"/>
      <c r="V69" s="135" t="s">
        <v>25</v>
      </c>
      <c r="W69" s="135" t="s">
        <v>669</v>
      </c>
      <c r="X69" s="135" t="s">
        <v>704</v>
      </c>
      <c r="Y69" s="159"/>
      <c r="Z69" s="159"/>
      <c r="AA69" s="159"/>
      <c r="AB69" s="159"/>
      <c r="AC69" s="135" t="s">
        <v>705</v>
      </c>
      <c r="AD69" s="68" t="s">
        <v>231</v>
      </c>
      <c r="AE69" s="175" t="s">
        <v>35</v>
      </c>
      <c r="AF69" s="91" t="str">
        <f t="shared" si="2"/>
        <v>SP</v>
      </c>
      <c r="AG69" s="91" cm="1">
        <f t="array" ref="AG69">_xlfn.SWITCH(D69,"PTA12",2,"PTD1",2,"PTD0",3,"PTC16",1,"PTD5",1,"PTA5",2,"PTD6",2,"PTE8",2,(LEN(N69)+LEN(N69)-LEN(SUBSTITUTE(N69,"ADC",))-LEN(SUBSTITUTE(N69,"CMP",)))/3)</f>
        <v>1</v>
      </c>
      <c r="AH69" s="180" t="str">
        <f t="shared" si="3"/>
        <v>ILKG_33/50_SP1</v>
      </c>
    </row>
    <row r="70" spans="1:34" x14ac:dyDescent="0.3">
      <c r="A70" s="218">
        <v>51</v>
      </c>
      <c r="B70" s="135">
        <v>90</v>
      </c>
      <c r="C70" s="135" t="s">
        <v>684</v>
      </c>
      <c r="D70" s="135" t="s">
        <v>685</v>
      </c>
      <c r="E70" s="135" t="s">
        <v>686</v>
      </c>
      <c r="F70" s="135" t="s">
        <v>686</v>
      </c>
      <c r="G70" s="159"/>
      <c r="H70" s="159"/>
      <c r="I70" s="135" t="s">
        <v>39</v>
      </c>
      <c r="J70" s="135" t="s">
        <v>439</v>
      </c>
      <c r="K70" s="135" t="s">
        <v>687</v>
      </c>
      <c r="L70" s="135" t="s">
        <v>638</v>
      </c>
      <c r="M70" s="135" t="s">
        <v>617</v>
      </c>
      <c r="N70" s="135" t="s">
        <v>688</v>
      </c>
      <c r="O70" s="159"/>
      <c r="P70" s="159"/>
      <c r="Q70" s="159"/>
      <c r="R70" s="135" t="s">
        <v>39</v>
      </c>
      <c r="S70" s="135" t="s">
        <v>439</v>
      </c>
      <c r="T70" s="135" t="s">
        <v>687</v>
      </c>
      <c r="U70" s="135" t="s">
        <v>638</v>
      </c>
      <c r="V70" s="159"/>
      <c r="W70" s="135" t="s">
        <v>266</v>
      </c>
      <c r="X70" s="135" t="s">
        <v>676</v>
      </c>
      <c r="Y70" s="135" t="s">
        <v>689</v>
      </c>
      <c r="Z70" s="135" t="s">
        <v>690</v>
      </c>
      <c r="AA70" s="159"/>
      <c r="AB70" s="159"/>
      <c r="AC70" s="135" t="s">
        <v>691</v>
      </c>
      <c r="AD70" s="68" t="s">
        <v>34</v>
      </c>
      <c r="AE70" s="175" t="s">
        <v>122</v>
      </c>
      <c r="AF70" s="91" t="str">
        <f t="shared" si="2"/>
        <v>S</v>
      </c>
      <c r="AG70" s="91" cm="1">
        <f t="array" ref="AG70">_xlfn.SWITCH(D70,"PTA12",2,"PTD1",2,"PTD0",3,"PTC16",1,"PTD5",1,"PTA5",2,"PTD6",2,"PTE8",2,(LEN(N70)+LEN(N70)-LEN(SUBSTITUTE(N70,"ADC",))-LEN(SUBSTITUTE(N70,"CMP",)))/3)</f>
        <v>1</v>
      </c>
      <c r="AH70" s="180" t="str">
        <f t="shared" si="3"/>
        <v>ILKG_33/50_S1</v>
      </c>
    </row>
    <row r="71" spans="1:34" x14ac:dyDescent="0.3">
      <c r="A71" s="218">
        <v>50</v>
      </c>
      <c r="B71" s="135">
        <v>83</v>
      </c>
      <c r="C71" s="135" t="s">
        <v>635</v>
      </c>
      <c r="D71" s="135" t="s">
        <v>636</v>
      </c>
      <c r="E71" s="135" t="s">
        <v>637</v>
      </c>
      <c r="F71" s="135" t="s">
        <v>637</v>
      </c>
      <c r="G71" s="135" t="s">
        <v>597</v>
      </c>
      <c r="H71" s="135" t="s">
        <v>50</v>
      </c>
      <c r="I71" s="135" t="s">
        <v>77</v>
      </c>
      <c r="J71" s="135" t="s">
        <v>139</v>
      </c>
      <c r="K71" s="135" t="s">
        <v>638</v>
      </c>
      <c r="L71" s="135" t="s">
        <v>639</v>
      </c>
      <c r="M71" s="135" t="s">
        <v>640</v>
      </c>
      <c r="N71" s="159"/>
      <c r="O71" s="159"/>
      <c r="P71" s="159"/>
      <c r="Q71" s="135" t="s">
        <v>50</v>
      </c>
      <c r="R71" s="135" t="s">
        <v>77</v>
      </c>
      <c r="S71" s="135" t="s">
        <v>139</v>
      </c>
      <c r="T71" s="135" t="s">
        <v>638</v>
      </c>
      <c r="U71" s="159"/>
      <c r="V71" s="135" t="s">
        <v>640</v>
      </c>
      <c r="W71" s="135" t="s">
        <v>641</v>
      </c>
      <c r="X71" s="135" t="s">
        <v>642</v>
      </c>
      <c r="Y71" s="159"/>
      <c r="Z71" s="159"/>
      <c r="AA71" s="159"/>
      <c r="AB71" s="159"/>
      <c r="AC71" s="135" t="s">
        <v>643</v>
      </c>
      <c r="AD71" s="68" t="s">
        <v>387</v>
      </c>
      <c r="AE71" s="175" t="s">
        <v>35</v>
      </c>
      <c r="AF71" s="91" t="str">
        <f t="shared" si="2"/>
        <v>M</v>
      </c>
      <c r="AG71" s="91" cm="1">
        <f t="array" ref="AG71">_xlfn.SWITCH(D71,"PTA12",2,"PTD1",2,"PTD0",3,"PTC16",1,"PTD5",1,"PTA5",2,"PTD6",2,"PTE8",2,(LEN(N71)+LEN(N71)-LEN(SUBSTITUTE(N71,"ADC",))-LEN(SUBSTITUTE(N71,"CMP",)))/3)</f>
        <v>0</v>
      </c>
      <c r="AH71" s="180" t="str">
        <f t="shared" si="3"/>
        <v>ILKG_33/50_M0</v>
      </c>
    </row>
    <row r="72" spans="1:34" x14ac:dyDescent="0.3">
      <c r="A72" s="218">
        <v>49</v>
      </c>
      <c r="B72" s="135">
        <v>81</v>
      </c>
      <c r="C72" s="135" t="s">
        <v>620</v>
      </c>
      <c r="D72" s="135" t="s">
        <v>621</v>
      </c>
      <c r="E72" s="135" t="s">
        <v>622</v>
      </c>
      <c r="F72" s="135" t="s">
        <v>622</v>
      </c>
      <c r="G72" s="135" t="s">
        <v>623</v>
      </c>
      <c r="H72" s="135" t="s">
        <v>91</v>
      </c>
      <c r="I72" s="135" t="s">
        <v>63</v>
      </c>
      <c r="J72" s="135" t="s">
        <v>547</v>
      </c>
      <c r="K72" s="135" t="s">
        <v>557</v>
      </c>
      <c r="L72" s="135" t="s">
        <v>624</v>
      </c>
      <c r="M72" s="135" t="s">
        <v>625</v>
      </c>
      <c r="N72" s="159"/>
      <c r="O72" s="159"/>
      <c r="P72" s="135" t="s">
        <v>623</v>
      </c>
      <c r="Q72" s="135" t="s">
        <v>91</v>
      </c>
      <c r="R72" s="135" t="s">
        <v>63</v>
      </c>
      <c r="S72" s="159"/>
      <c r="T72" s="135" t="s">
        <v>557</v>
      </c>
      <c r="U72" s="159"/>
      <c r="V72" s="135" t="s">
        <v>625</v>
      </c>
      <c r="W72" s="135" t="s">
        <v>626</v>
      </c>
      <c r="X72" s="159"/>
      <c r="Y72" s="159"/>
      <c r="Z72" s="159"/>
      <c r="AA72" s="159"/>
      <c r="AB72" s="159"/>
      <c r="AC72" s="135" t="s">
        <v>627</v>
      </c>
      <c r="AD72" s="68" t="s">
        <v>231</v>
      </c>
      <c r="AE72" s="176"/>
      <c r="AF72" s="91" t="str">
        <f t="shared" si="2"/>
        <v>SP</v>
      </c>
      <c r="AG72" s="91" cm="1">
        <f t="array" ref="AG72">_xlfn.SWITCH(D72,"PTA12",2,"PTD1",2,"PTD0",3,"PTC16",1,"PTD5",1,"PTA5",2,"PTD6",2,"PTE8",2,(LEN(N72)+LEN(N72)-LEN(SUBSTITUTE(N72,"ADC",))-LEN(SUBSTITUTE(N72,"CMP",)))/3)</f>
        <v>0</v>
      </c>
      <c r="AH72" s="180" t="str">
        <f t="shared" si="3"/>
        <v>ILKG_33/50_SP0</v>
      </c>
    </row>
    <row r="73" spans="1:34" x14ac:dyDescent="0.3">
      <c r="A73" s="218">
        <v>46</v>
      </c>
      <c r="B73" s="135">
        <v>71</v>
      </c>
      <c r="C73" s="135" t="s">
        <v>551</v>
      </c>
      <c r="D73" s="135" t="s">
        <v>552</v>
      </c>
      <c r="E73" s="135" t="s">
        <v>553</v>
      </c>
      <c r="F73" s="135" t="s">
        <v>553</v>
      </c>
      <c r="G73" s="159"/>
      <c r="H73" s="135" t="s">
        <v>554</v>
      </c>
      <c r="I73" s="135" t="s">
        <v>127</v>
      </c>
      <c r="J73" s="135" t="s">
        <v>555</v>
      </c>
      <c r="K73" s="135" t="s">
        <v>168</v>
      </c>
      <c r="L73" s="135" t="s">
        <v>556</v>
      </c>
      <c r="M73" s="135" t="s">
        <v>557</v>
      </c>
      <c r="N73" s="159"/>
      <c r="O73" s="159"/>
      <c r="P73" s="159"/>
      <c r="Q73" s="135" t="s">
        <v>554</v>
      </c>
      <c r="R73" s="135" t="s">
        <v>127</v>
      </c>
      <c r="S73" s="159"/>
      <c r="T73" s="135" t="s">
        <v>168</v>
      </c>
      <c r="U73" s="159"/>
      <c r="V73" s="135" t="s">
        <v>557</v>
      </c>
      <c r="W73" s="135" t="s">
        <v>512</v>
      </c>
      <c r="X73" s="135" t="s">
        <v>558</v>
      </c>
      <c r="Y73" s="135" t="s">
        <v>542</v>
      </c>
      <c r="Z73" s="135" t="s">
        <v>513</v>
      </c>
      <c r="AA73" s="135" t="s">
        <v>495</v>
      </c>
      <c r="AB73" s="135" t="s">
        <v>559</v>
      </c>
      <c r="AC73" s="135" t="s">
        <v>560</v>
      </c>
      <c r="AD73" s="68" t="s">
        <v>34</v>
      </c>
      <c r="AE73" s="175"/>
      <c r="AF73" s="91" t="str">
        <f t="shared" si="2"/>
        <v>S</v>
      </c>
      <c r="AG73" s="91" cm="1">
        <f t="array" ref="AG73">_xlfn.SWITCH(D73,"PTA12",2,"PTD1",2,"PTD0",3,"PTC16",1,"PTD5",1,"PTA5",2,"PTD6",2,"PTE8",2,(LEN(N73)+LEN(N73)-LEN(SUBSTITUTE(N73,"ADC",))-LEN(SUBSTITUTE(N73,"CMP",)))/3)</f>
        <v>0</v>
      </c>
      <c r="AH73" s="180" t="str">
        <f t="shared" si="3"/>
        <v>ILKG_33/50_S0</v>
      </c>
    </row>
    <row r="74" spans="1:34" x14ac:dyDescent="0.3">
      <c r="A74" s="218">
        <v>45</v>
      </c>
      <c r="B74" s="135">
        <v>68</v>
      </c>
      <c r="C74" s="135" t="s">
        <v>524</v>
      </c>
      <c r="D74" s="135" t="s">
        <v>525</v>
      </c>
      <c r="E74" s="135" t="s">
        <v>526</v>
      </c>
      <c r="F74" s="135" t="s">
        <v>526</v>
      </c>
      <c r="G74" s="135" t="s">
        <v>501</v>
      </c>
      <c r="H74" s="135" t="s">
        <v>527</v>
      </c>
      <c r="I74" s="135" t="s">
        <v>76</v>
      </c>
      <c r="J74" s="135" t="s">
        <v>528</v>
      </c>
      <c r="K74" s="135" t="s">
        <v>244</v>
      </c>
      <c r="L74" s="135" t="s">
        <v>529</v>
      </c>
      <c r="M74" s="135" t="s">
        <v>484</v>
      </c>
      <c r="N74" s="159"/>
      <c r="O74" s="159"/>
      <c r="P74" s="159"/>
      <c r="Q74" s="135" t="s">
        <v>527</v>
      </c>
      <c r="R74" s="135" t="s">
        <v>76</v>
      </c>
      <c r="S74" s="159"/>
      <c r="T74" s="135" t="s">
        <v>244</v>
      </c>
      <c r="U74" s="159"/>
      <c r="V74" s="135" t="s">
        <v>484</v>
      </c>
      <c r="W74" s="135" t="s">
        <v>530</v>
      </c>
      <c r="X74" s="135" t="s">
        <v>522</v>
      </c>
      <c r="Y74" s="135" t="s">
        <v>504</v>
      </c>
      <c r="Z74" s="135" t="s">
        <v>487</v>
      </c>
      <c r="AA74" s="135" t="s">
        <v>531</v>
      </c>
      <c r="AB74" s="159"/>
      <c r="AC74" s="135" t="s">
        <v>532</v>
      </c>
      <c r="AD74" s="68" t="s">
        <v>231</v>
      </c>
      <c r="AE74" s="176"/>
      <c r="AF74" s="91" t="str">
        <f t="shared" si="2"/>
        <v>SP</v>
      </c>
      <c r="AG74" s="91" cm="1">
        <f t="array" ref="AG74">_xlfn.SWITCH(D74,"PTA12",2,"PTD1",2,"PTD0",3,"PTC16",1,"PTD5",1,"PTA5",2,"PTD6",2,"PTE8",2,(LEN(N74)+LEN(N74)-LEN(SUBSTITUTE(N74,"ADC",))-LEN(SUBSTITUTE(N74,"CMP",)))/3)</f>
        <v>0</v>
      </c>
      <c r="AH74" s="180" t="str">
        <f t="shared" si="3"/>
        <v>ILKG_33/50_SP0</v>
      </c>
    </row>
    <row r="75" spans="1:34" x14ac:dyDescent="0.3">
      <c r="A75" s="218">
        <v>44</v>
      </c>
      <c r="B75" s="135">
        <v>66</v>
      </c>
      <c r="C75" s="135" t="s">
        <v>506</v>
      </c>
      <c r="D75" s="135" t="s">
        <v>507</v>
      </c>
      <c r="E75" s="135" t="s">
        <v>508</v>
      </c>
      <c r="F75" s="135" t="s">
        <v>508</v>
      </c>
      <c r="G75" s="135" t="s">
        <v>138</v>
      </c>
      <c r="H75" s="135" t="s">
        <v>509</v>
      </c>
      <c r="I75" s="135" t="s">
        <v>510</v>
      </c>
      <c r="J75" s="135" t="s">
        <v>511</v>
      </c>
      <c r="K75" s="159"/>
      <c r="L75" s="135" t="s">
        <v>439</v>
      </c>
      <c r="M75" s="135" t="s">
        <v>493</v>
      </c>
      <c r="N75" s="159"/>
      <c r="O75" s="159"/>
      <c r="P75" s="135" t="s">
        <v>138</v>
      </c>
      <c r="Q75" s="135" t="s">
        <v>509</v>
      </c>
      <c r="R75" s="135" t="s">
        <v>510</v>
      </c>
      <c r="S75" s="135" t="s">
        <v>511</v>
      </c>
      <c r="T75" s="159"/>
      <c r="U75" s="135" t="s">
        <v>439</v>
      </c>
      <c r="V75" s="135" t="s">
        <v>493</v>
      </c>
      <c r="W75" s="135" t="s">
        <v>512</v>
      </c>
      <c r="X75" s="135" t="s">
        <v>513</v>
      </c>
      <c r="Y75" s="135" t="s">
        <v>268</v>
      </c>
      <c r="Z75" s="159"/>
      <c r="AA75" s="159"/>
      <c r="AB75" s="159"/>
      <c r="AC75" s="135" t="s">
        <v>514</v>
      </c>
      <c r="AD75" s="68" t="s">
        <v>387</v>
      </c>
      <c r="AE75" s="176"/>
      <c r="AF75" s="91" t="str">
        <f t="shared" si="2"/>
        <v>M</v>
      </c>
      <c r="AG75" s="91" cm="1">
        <f t="array" ref="AG75">_xlfn.SWITCH(D75,"PTA12",2,"PTD1",2,"PTD0",3,"PTC16",1,"PTD5",1,"PTA5",2,"PTD6",2,"PTE8",2,(LEN(N75)+LEN(N75)-LEN(SUBSTITUTE(N75,"ADC",))-LEN(SUBSTITUTE(N75,"CMP",)))/3)</f>
        <v>1</v>
      </c>
      <c r="AH75" s="180" t="str">
        <f t="shared" si="3"/>
        <v>ILKG_33/50_M1</v>
      </c>
    </row>
    <row r="76" spans="1:34" x14ac:dyDescent="0.3">
      <c r="A76" s="218">
        <v>43</v>
      </c>
      <c r="B76" s="135">
        <v>65</v>
      </c>
      <c r="C76" s="135" t="s">
        <v>498</v>
      </c>
      <c r="D76" s="135" t="s">
        <v>499</v>
      </c>
      <c r="E76" s="135" t="s">
        <v>500</v>
      </c>
      <c r="F76" s="135" t="s">
        <v>500</v>
      </c>
      <c r="G76" s="135" t="s">
        <v>104</v>
      </c>
      <c r="H76" s="159"/>
      <c r="I76" s="135" t="s">
        <v>501</v>
      </c>
      <c r="J76" s="135" t="s">
        <v>502</v>
      </c>
      <c r="K76" s="159"/>
      <c r="L76" s="135" t="s">
        <v>503</v>
      </c>
      <c r="M76" s="159"/>
      <c r="N76" s="159"/>
      <c r="O76" s="159"/>
      <c r="P76" s="135" t="s">
        <v>104</v>
      </c>
      <c r="Q76" s="159"/>
      <c r="R76" s="159"/>
      <c r="S76" s="135" t="s">
        <v>502</v>
      </c>
      <c r="T76" s="135" t="s">
        <v>504</v>
      </c>
      <c r="U76" s="135" t="s">
        <v>503</v>
      </c>
      <c r="V76" s="159"/>
      <c r="W76" s="159"/>
      <c r="X76" s="159"/>
      <c r="Y76" s="159"/>
      <c r="Z76" s="159"/>
      <c r="AA76" s="159"/>
      <c r="AB76" s="159"/>
      <c r="AC76" s="135" t="s">
        <v>505</v>
      </c>
      <c r="AD76" s="68" t="s">
        <v>231</v>
      </c>
      <c r="AE76" s="176"/>
      <c r="AF76" s="91" t="str">
        <f t="shared" si="2"/>
        <v>SP</v>
      </c>
      <c r="AG76" s="91" cm="1">
        <f t="array" ref="AG76">_xlfn.SWITCH(D76,"PTA12",2,"PTD1",2,"PTD0",3,"PTC16",1,"PTD5",1,"PTA5",2,"PTD6",2,"PTE8",2,(LEN(N76)+LEN(N76)-LEN(SUBSTITUTE(N76,"ADC",))-LEN(SUBSTITUTE(N76,"CMP",)))/3)</f>
        <v>0</v>
      </c>
      <c r="AH76" s="180" t="str">
        <f t="shared" si="3"/>
        <v>ILKG_33/50_SP0</v>
      </c>
    </row>
    <row r="77" spans="1:34" x14ac:dyDescent="0.3">
      <c r="A77" s="219"/>
      <c r="B77" s="135">
        <v>82</v>
      </c>
      <c r="C77" s="135" t="s">
        <v>628</v>
      </c>
      <c r="D77" s="135" t="s">
        <v>629</v>
      </c>
      <c r="E77" s="135" t="s">
        <v>630</v>
      </c>
      <c r="F77" s="135" t="s">
        <v>630</v>
      </c>
      <c r="G77" s="159"/>
      <c r="H77" s="135" t="s">
        <v>171</v>
      </c>
      <c r="I77" s="135" t="s">
        <v>383</v>
      </c>
      <c r="J77" s="135" t="s">
        <v>274</v>
      </c>
      <c r="K77" s="159"/>
      <c r="L77" s="135" t="s">
        <v>631</v>
      </c>
      <c r="M77" s="135" t="s">
        <v>632</v>
      </c>
      <c r="N77" s="135" t="s">
        <v>633</v>
      </c>
      <c r="O77" s="159"/>
      <c r="P77" s="159"/>
      <c r="Q77" s="135" t="s">
        <v>171</v>
      </c>
      <c r="R77" s="135" t="s">
        <v>383</v>
      </c>
      <c r="S77" s="135" t="s">
        <v>274</v>
      </c>
      <c r="T77" s="159"/>
      <c r="U77" s="159"/>
      <c r="V77" s="135" t="s">
        <v>632</v>
      </c>
      <c r="W77" s="135" t="s">
        <v>496</v>
      </c>
      <c r="X77" s="159"/>
      <c r="Y77" s="159"/>
      <c r="Z77" s="159"/>
      <c r="AA77" s="159"/>
      <c r="AB77" s="159"/>
      <c r="AC77" s="135" t="s">
        <v>634</v>
      </c>
      <c r="AD77" s="68" t="s">
        <v>231</v>
      </c>
      <c r="AE77" s="176"/>
      <c r="AF77" s="91" t="str">
        <f t="shared" si="2"/>
        <v>SP</v>
      </c>
      <c r="AG77" s="91" cm="1">
        <f t="array" ref="AG77">_xlfn.SWITCH(D77,"PTA12",2,"PTD1",2,"PTD0",3,"PTC16",1,"PTD5",1,"PTA5",2,"PTD6",2,"PTE8",2,(LEN(N77)+LEN(N77)-LEN(SUBSTITUTE(N77,"ADC",))-LEN(SUBSTITUTE(N77,"CMP",)))/3)</f>
        <v>0</v>
      </c>
      <c r="AH77" s="180" t="str">
        <f t="shared" si="3"/>
        <v>ILKG_33/50_SP0</v>
      </c>
    </row>
    <row r="78" spans="1:34" x14ac:dyDescent="0.3">
      <c r="A78" s="219"/>
      <c r="B78" s="135">
        <v>84</v>
      </c>
      <c r="C78" s="135" t="s">
        <v>644</v>
      </c>
      <c r="D78" s="135" t="s">
        <v>645</v>
      </c>
      <c r="E78" s="135" t="s">
        <v>646</v>
      </c>
      <c r="F78" s="135" t="s">
        <v>646</v>
      </c>
      <c r="G78" s="135" t="s">
        <v>647</v>
      </c>
      <c r="H78" s="159"/>
      <c r="I78" s="135" t="s">
        <v>432</v>
      </c>
      <c r="J78" s="135" t="s">
        <v>281</v>
      </c>
      <c r="K78" s="135" t="s">
        <v>139</v>
      </c>
      <c r="L78" s="135" t="s">
        <v>648</v>
      </c>
      <c r="M78" s="135" t="s">
        <v>649</v>
      </c>
      <c r="N78" s="159"/>
      <c r="O78" s="159"/>
      <c r="P78" s="135" t="s">
        <v>647</v>
      </c>
      <c r="Q78" s="159"/>
      <c r="R78" s="135" t="s">
        <v>432</v>
      </c>
      <c r="S78" s="135" t="s">
        <v>281</v>
      </c>
      <c r="T78" s="135" t="s">
        <v>139</v>
      </c>
      <c r="U78" s="159"/>
      <c r="V78" s="135" t="s">
        <v>649</v>
      </c>
      <c r="W78" s="159"/>
      <c r="X78" s="159"/>
      <c r="Y78" s="159"/>
      <c r="Z78" s="159"/>
      <c r="AA78" s="159"/>
      <c r="AB78" s="159"/>
      <c r="AC78" s="135" t="s">
        <v>650</v>
      </c>
      <c r="AD78" s="68" t="s">
        <v>231</v>
      </c>
      <c r="AE78" s="176"/>
      <c r="AF78" s="91" t="str">
        <f t="shared" si="2"/>
        <v>SP</v>
      </c>
      <c r="AG78" s="91" cm="1">
        <f t="array" ref="AG78">_xlfn.SWITCH(D78,"PTA12",2,"PTD1",2,"PTD0",3,"PTC16",1,"PTD5",1,"PTA5",2,"PTD6",2,"PTE8",2,(LEN(N78)+LEN(N78)-LEN(SUBSTITUTE(N78,"ADC",))-LEN(SUBSTITUTE(N78,"CMP",)))/3)</f>
        <v>0</v>
      </c>
      <c r="AH78" s="180" t="str">
        <f t="shared" si="3"/>
        <v>ILKG_33/50_SP0</v>
      </c>
    </row>
    <row r="79" spans="1:34" x14ac:dyDescent="0.3">
      <c r="A79" s="218">
        <v>30</v>
      </c>
      <c r="B79" s="135">
        <v>50</v>
      </c>
      <c r="C79" s="135" t="s">
        <v>408</v>
      </c>
      <c r="D79" s="135" t="s">
        <v>409</v>
      </c>
      <c r="E79" s="135" t="s">
        <v>410</v>
      </c>
      <c r="F79" s="135" t="s">
        <v>410</v>
      </c>
      <c r="G79" s="135" t="s">
        <v>398</v>
      </c>
      <c r="H79" s="135" t="s">
        <v>114</v>
      </c>
      <c r="I79" s="135" t="s">
        <v>411</v>
      </c>
      <c r="J79" s="135" t="s">
        <v>412</v>
      </c>
      <c r="K79" s="135" t="s">
        <v>391</v>
      </c>
      <c r="L79" s="135" t="s">
        <v>413</v>
      </c>
      <c r="M79" s="135" t="s">
        <v>414</v>
      </c>
      <c r="N79" s="135" t="s">
        <v>415</v>
      </c>
      <c r="O79" s="159"/>
      <c r="P79" s="159"/>
      <c r="Q79" s="135" t="s">
        <v>114</v>
      </c>
      <c r="R79" s="135" t="s">
        <v>411</v>
      </c>
      <c r="S79" s="135" t="s">
        <v>412</v>
      </c>
      <c r="T79" s="159"/>
      <c r="U79" s="159"/>
      <c r="V79" s="135" t="s">
        <v>414</v>
      </c>
      <c r="W79" s="135" t="s">
        <v>254</v>
      </c>
      <c r="X79" s="135" t="s">
        <v>54</v>
      </c>
      <c r="Y79" s="135" t="s">
        <v>256</v>
      </c>
      <c r="Z79" s="159"/>
      <c r="AA79" s="159"/>
      <c r="AB79" s="159"/>
      <c r="AC79" s="135" t="s">
        <v>416</v>
      </c>
      <c r="AD79" s="68" t="s">
        <v>417</v>
      </c>
      <c r="AE79" s="176"/>
      <c r="AF79" s="91" t="str">
        <f t="shared" si="2"/>
        <v>F</v>
      </c>
      <c r="AG79" s="91" cm="1">
        <f t="array" ref="AG79">_xlfn.SWITCH(D79,"PTA12",2,"PTD1",2,"PTD0",3,"PTC16",1,"PTD5",1,"PTA5",2,"PTD6",2,"PTE8",2,(LEN(N79)+LEN(N79)-LEN(SUBSTITUTE(N79,"ADC",))-LEN(SUBSTITUTE(N79,"CMP",)))/3)</f>
        <v>1</v>
      </c>
      <c r="AH79" s="180" t="str">
        <f t="shared" si="3"/>
        <v>ILKG_33/50_F1</v>
      </c>
    </row>
    <row r="80" spans="1:34" x14ac:dyDescent="0.3">
      <c r="A80" s="219"/>
      <c r="B80" s="135">
        <v>85</v>
      </c>
      <c r="C80" s="135" t="s">
        <v>651</v>
      </c>
      <c r="D80" s="135" t="s">
        <v>652</v>
      </c>
      <c r="E80" s="135" t="s">
        <v>653</v>
      </c>
      <c r="F80" s="135" t="s">
        <v>653</v>
      </c>
      <c r="G80" s="159"/>
      <c r="H80" s="159"/>
      <c r="I80" s="135" t="s">
        <v>503</v>
      </c>
      <c r="J80" s="135" t="s">
        <v>350</v>
      </c>
      <c r="K80" s="135" t="s">
        <v>597</v>
      </c>
      <c r="L80" s="135" t="s">
        <v>654</v>
      </c>
      <c r="M80" s="159"/>
      <c r="N80" s="135" t="s">
        <v>655</v>
      </c>
      <c r="O80" s="159"/>
      <c r="P80" s="159"/>
      <c r="Q80" s="159"/>
      <c r="R80" s="135" t="s">
        <v>503</v>
      </c>
      <c r="S80" s="135" t="s">
        <v>350</v>
      </c>
      <c r="T80" s="159"/>
      <c r="U80" s="159"/>
      <c r="V80" s="159"/>
      <c r="W80" s="135" t="s">
        <v>656</v>
      </c>
      <c r="X80" s="135" t="s">
        <v>657</v>
      </c>
      <c r="Y80" s="159"/>
      <c r="Z80" s="159"/>
      <c r="AA80" s="159"/>
      <c r="AB80" s="159"/>
      <c r="AC80" s="135" t="s">
        <v>658</v>
      </c>
      <c r="AD80" s="68" t="s">
        <v>34</v>
      </c>
      <c r="AE80" s="176"/>
      <c r="AF80" s="91" t="str">
        <f t="shared" si="2"/>
        <v>S</v>
      </c>
      <c r="AG80" s="91" cm="1">
        <f t="array" ref="AG80">_xlfn.SWITCH(D80,"PTA12",2,"PTD1",2,"PTD0",3,"PTC16",1,"PTD5",1,"PTA5",2,"PTD6",2,"PTE8",2,(LEN(N80)+LEN(N80)-LEN(SUBSTITUTE(N80,"ADC",))-LEN(SUBSTITUTE(N80,"CMP",)))/3)</f>
        <v>0</v>
      </c>
      <c r="AH80" s="180" t="str">
        <f t="shared" si="3"/>
        <v>ILKG_33/50_S0</v>
      </c>
    </row>
    <row r="81" spans="1:34" x14ac:dyDescent="0.3">
      <c r="A81" s="219"/>
      <c r="B81" s="135">
        <v>86</v>
      </c>
      <c r="C81" s="135" t="s">
        <v>659</v>
      </c>
      <c r="D81" s="135" t="s">
        <v>660</v>
      </c>
      <c r="E81" s="135" t="s">
        <v>661</v>
      </c>
      <c r="F81" s="135" t="s">
        <v>661</v>
      </c>
      <c r="G81" s="159"/>
      <c r="H81" s="159"/>
      <c r="I81" s="135" t="s">
        <v>439</v>
      </c>
      <c r="J81" s="135" t="s">
        <v>356</v>
      </c>
      <c r="K81" s="135" t="s">
        <v>547</v>
      </c>
      <c r="L81" s="135" t="s">
        <v>662</v>
      </c>
      <c r="M81" s="159"/>
      <c r="N81" s="159"/>
      <c r="O81" s="159"/>
      <c r="P81" s="159"/>
      <c r="Q81" s="159"/>
      <c r="R81" s="135" t="s">
        <v>439</v>
      </c>
      <c r="S81" s="135" t="s">
        <v>356</v>
      </c>
      <c r="T81" s="159"/>
      <c r="U81" s="159"/>
      <c r="V81" s="159"/>
      <c r="W81" s="135" t="s">
        <v>663</v>
      </c>
      <c r="X81" s="159"/>
      <c r="Y81" s="159"/>
      <c r="Z81" s="159"/>
      <c r="AA81" s="159"/>
      <c r="AB81" s="159"/>
      <c r="AC81" s="135" t="s">
        <v>664</v>
      </c>
      <c r="AD81" s="68" t="s">
        <v>34</v>
      </c>
      <c r="AE81" s="175" t="s">
        <v>35</v>
      </c>
      <c r="AF81" s="91" t="str">
        <f t="shared" si="2"/>
        <v>S</v>
      </c>
      <c r="AG81" s="91" cm="1">
        <f t="array" ref="AG81">_xlfn.SWITCH(D81,"PTA12",2,"PTD1",2,"PTD0",3,"PTC16",1,"PTD5",1,"PTA5",2,"PTD6",2,"PTE8",2,(LEN(N81)+LEN(N81)-LEN(SUBSTITUTE(N81,"ADC",))-LEN(SUBSTITUTE(N81,"CMP",)))/3)</f>
        <v>0</v>
      </c>
      <c r="AH81" s="180" t="str">
        <f t="shared" si="3"/>
        <v>ILKG_33/50_S0</v>
      </c>
    </row>
    <row r="82" spans="1:34" x14ac:dyDescent="0.3">
      <c r="A82" s="219"/>
      <c r="B82" s="159"/>
      <c r="C82" s="135" t="s">
        <v>1430</v>
      </c>
      <c r="D82" s="135" t="s">
        <v>1431</v>
      </c>
      <c r="E82" s="135" t="s">
        <v>1432</v>
      </c>
      <c r="F82" s="135" t="s">
        <v>1432</v>
      </c>
      <c r="G82" s="135" t="s">
        <v>606</v>
      </c>
      <c r="H82" s="159"/>
      <c r="I82" s="159"/>
      <c r="J82" s="159"/>
      <c r="K82" s="159"/>
      <c r="L82" s="159"/>
      <c r="M82" s="159"/>
      <c r="N82" s="159"/>
      <c r="O82" s="159"/>
      <c r="P82" s="135" t="s">
        <v>606</v>
      </c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35" t="s">
        <v>1433</v>
      </c>
      <c r="AD82" s="68" t="s">
        <v>34</v>
      </c>
      <c r="AE82" s="176"/>
      <c r="AF82" s="91" t="str">
        <f t="shared" si="2"/>
        <v>S</v>
      </c>
      <c r="AG82" s="91" cm="1">
        <f t="array" ref="AG82">_xlfn.SWITCH(D82,"PTA12",2,"PTD1",2,"PTD0",3,"PTC16",1,"PTD5",1,"PTA5",2,"PTD6",2,"PTE8",2,(LEN(N82)+LEN(N82)-LEN(SUBSTITUTE(N82,"ADC",))-LEN(SUBSTITUTE(N82,"CMP",)))/3)</f>
        <v>0</v>
      </c>
      <c r="AH82" s="180" t="str">
        <f t="shared" si="3"/>
        <v>ILKG_33/50_S0</v>
      </c>
    </row>
    <row r="83" spans="1:34" x14ac:dyDescent="0.3">
      <c r="A83" s="219"/>
      <c r="B83" s="135">
        <v>87</v>
      </c>
      <c r="C83" s="135" t="s">
        <v>665</v>
      </c>
      <c r="D83" s="135" t="s">
        <v>666</v>
      </c>
      <c r="E83" s="135" t="s">
        <v>667</v>
      </c>
      <c r="F83" s="135" t="s">
        <v>667</v>
      </c>
      <c r="G83" s="159"/>
      <c r="H83" s="159"/>
      <c r="I83" s="135" t="s">
        <v>557</v>
      </c>
      <c r="J83" s="159"/>
      <c r="K83" s="159"/>
      <c r="L83" s="135" t="s">
        <v>529</v>
      </c>
      <c r="M83" s="159"/>
      <c r="N83" s="135" t="s">
        <v>668</v>
      </c>
      <c r="O83" s="159"/>
      <c r="P83" s="159"/>
      <c r="Q83" s="159"/>
      <c r="R83" s="135" t="s">
        <v>557</v>
      </c>
      <c r="S83" s="159"/>
      <c r="T83" s="159"/>
      <c r="U83" s="159"/>
      <c r="V83" s="159"/>
      <c r="W83" s="135" t="s">
        <v>669</v>
      </c>
      <c r="X83" s="159"/>
      <c r="Y83" s="159"/>
      <c r="Z83" s="159"/>
      <c r="AA83" s="159"/>
      <c r="AB83" s="159"/>
      <c r="AC83" s="135" t="s">
        <v>670</v>
      </c>
      <c r="AD83" s="68" t="s">
        <v>34</v>
      </c>
      <c r="AE83" s="175" t="s">
        <v>35</v>
      </c>
      <c r="AF83" s="91" t="str">
        <f t="shared" si="2"/>
        <v>S</v>
      </c>
      <c r="AG83" s="91" cm="1">
        <f t="array" ref="AG83">_xlfn.SWITCH(D83,"PTA12",2,"PTD1",2,"PTD0",3,"PTC16",1,"PTD5",1,"PTA5",2,"PTD6",2,"PTE8",2,(LEN(N83)+LEN(N83)-LEN(SUBSTITUTE(N83,"ADC",))-LEN(SUBSTITUTE(N83,"CMP",)))/3)</f>
        <v>1</v>
      </c>
      <c r="AH83" s="180" t="str">
        <f t="shared" si="3"/>
        <v>ILKG_33/50_S1</v>
      </c>
    </row>
    <row r="84" spans="1:34" x14ac:dyDescent="0.3">
      <c r="A84" s="219"/>
      <c r="B84" s="135">
        <v>88</v>
      </c>
      <c r="C84" s="135" t="s">
        <v>671</v>
      </c>
      <c r="D84" s="135" t="s">
        <v>672</v>
      </c>
      <c r="E84" s="135" t="s">
        <v>673</v>
      </c>
      <c r="F84" s="135" t="s">
        <v>673</v>
      </c>
      <c r="G84" s="135" t="s">
        <v>170</v>
      </c>
      <c r="H84" s="135" t="s">
        <v>25</v>
      </c>
      <c r="I84" s="135" t="s">
        <v>584</v>
      </c>
      <c r="J84" s="135" t="s">
        <v>29</v>
      </c>
      <c r="K84" s="159"/>
      <c r="L84" s="135" t="s">
        <v>556</v>
      </c>
      <c r="M84" s="135" t="s">
        <v>674</v>
      </c>
      <c r="N84" s="135" t="s">
        <v>675</v>
      </c>
      <c r="O84" s="159"/>
      <c r="P84" s="135" t="s">
        <v>170</v>
      </c>
      <c r="Q84" s="135" t="s">
        <v>25</v>
      </c>
      <c r="R84" s="135" t="s">
        <v>584</v>
      </c>
      <c r="S84" s="135" t="s">
        <v>29</v>
      </c>
      <c r="T84" s="159"/>
      <c r="U84" s="159"/>
      <c r="V84" s="159"/>
      <c r="W84" s="135" t="s">
        <v>676</v>
      </c>
      <c r="X84" s="159"/>
      <c r="Y84" s="159"/>
      <c r="Z84" s="159"/>
      <c r="AA84" s="159"/>
      <c r="AB84" s="159"/>
      <c r="AC84" s="135" t="s">
        <v>677</v>
      </c>
      <c r="AD84" s="68" t="s">
        <v>34</v>
      </c>
      <c r="AE84" s="175" t="s">
        <v>35</v>
      </c>
      <c r="AF84" s="91" t="str">
        <f t="shared" si="2"/>
        <v>S</v>
      </c>
      <c r="AG84" s="91" cm="1">
        <f t="array" ref="AG84">_xlfn.SWITCH(D84,"PTA12",2,"PTD1",2,"PTD0",3,"PTC16",1,"PTD5",1,"PTA5",2,"PTD6",2,"PTE8",2,(LEN(N84)+LEN(N84)-LEN(SUBSTITUTE(N84,"ADC",))-LEN(SUBSTITUTE(N84,"CMP",)))/3)</f>
        <v>1</v>
      </c>
      <c r="AH84" s="180" t="str">
        <f t="shared" si="3"/>
        <v>ILKG_33/50_S1</v>
      </c>
    </row>
    <row r="85" spans="1:34" x14ac:dyDescent="0.3">
      <c r="A85" s="219"/>
      <c r="B85" s="135">
        <v>89</v>
      </c>
      <c r="C85" s="135" t="s">
        <v>678</v>
      </c>
      <c r="D85" s="135" t="s">
        <v>679</v>
      </c>
      <c r="E85" s="135" t="s">
        <v>680</v>
      </c>
      <c r="F85" s="135" t="s">
        <v>680</v>
      </c>
      <c r="G85" s="159"/>
      <c r="H85" s="135" t="s">
        <v>39</v>
      </c>
      <c r="I85" s="135" t="s">
        <v>609</v>
      </c>
      <c r="J85" s="135" t="s">
        <v>41</v>
      </c>
      <c r="K85" s="135" t="s">
        <v>681</v>
      </c>
      <c r="L85" s="135" t="s">
        <v>583</v>
      </c>
      <c r="M85" s="159"/>
      <c r="N85" s="135" t="s">
        <v>682</v>
      </c>
      <c r="O85" s="159"/>
      <c r="P85" s="159"/>
      <c r="Q85" s="135" t="s">
        <v>39</v>
      </c>
      <c r="R85" s="135" t="s">
        <v>609</v>
      </c>
      <c r="S85" s="135" t="s">
        <v>41</v>
      </c>
      <c r="T85" s="135" t="s">
        <v>681</v>
      </c>
      <c r="U85" s="159"/>
      <c r="V85" s="159"/>
      <c r="W85" s="135" t="s">
        <v>641</v>
      </c>
      <c r="X85" s="135" t="s">
        <v>161</v>
      </c>
      <c r="Y85" s="159"/>
      <c r="Z85" s="159"/>
      <c r="AA85" s="159"/>
      <c r="AB85" s="159"/>
      <c r="AC85" s="135" t="s">
        <v>683</v>
      </c>
      <c r="AD85" s="68" t="s">
        <v>34</v>
      </c>
      <c r="AE85" s="175" t="s">
        <v>122</v>
      </c>
      <c r="AF85" s="91" t="str">
        <f t="shared" si="2"/>
        <v>S</v>
      </c>
      <c r="AG85" s="91" cm="1">
        <f t="array" ref="AG85">_xlfn.SWITCH(D85,"PTA12",2,"PTD1",2,"PTD0",3,"PTC16",1,"PTD5",1,"PTA5",2,"PTD6",2,"PTE8",2,(LEN(N85)+LEN(N85)-LEN(SUBSTITUTE(N85,"ADC",))-LEN(SUBSTITUTE(N85,"CMP",)))/3)</f>
        <v>1</v>
      </c>
      <c r="AH85" s="180" t="str">
        <f t="shared" si="3"/>
        <v>ILKG_33/50_S1</v>
      </c>
    </row>
    <row r="86" spans="1:34" x14ac:dyDescent="0.3">
      <c r="A86" s="219"/>
      <c r="B86" s="135">
        <v>91</v>
      </c>
      <c r="C86" s="135" t="s">
        <v>692</v>
      </c>
      <c r="D86" s="135" t="s">
        <v>693</v>
      </c>
      <c r="E86" s="135" t="s">
        <v>694</v>
      </c>
      <c r="F86" s="135" t="s">
        <v>694</v>
      </c>
      <c r="G86" s="135" t="s">
        <v>349</v>
      </c>
      <c r="H86" s="135" t="s">
        <v>91</v>
      </c>
      <c r="I86" s="135" t="s">
        <v>638</v>
      </c>
      <c r="J86" s="135" t="s">
        <v>52</v>
      </c>
      <c r="K86" s="159"/>
      <c r="L86" s="135" t="s">
        <v>639</v>
      </c>
      <c r="M86" s="135" t="s">
        <v>695</v>
      </c>
      <c r="N86" s="135" t="s">
        <v>696</v>
      </c>
      <c r="O86" s="159"/>
      <c r="P86" s="135" t="s">
        <v>349</v>
      </c>
      <c r="Q86" s="135" t="s">
        <v>91</v>
      </c>
      <c r="R86" s="135" t="s">
        <v>638</v>
      </c>
      <c r="S86" s="135" t="s">
        <v>52</v>
      </c>
      <c r="T86" s="159"/>
      <c r="U86" s="159"/>
      <c r="V86" s="135" t="s">
        <v>695</v>
      </c>
      <c r="W86" s="135" t="s">
        <v>266</v>
      </c>
      <c r="X86" s="135" t="s">
        <v>626</v>
      </c>
      <c r="Y86" s="159"/>
      <c r="Z86" s="159"/>
      <c r="AA86" s="159"/>
      <c r="AB86" s="159"/>
      <c r="AC86" s="135" t="s">
        <v>697</v>
      </c>
      <c r="AD86" s="68" t="s">
        <v>34</v>
      </c>
      <c r="AE86" s="175" t="s">
        <v>122</v>
      </c>
      <c r="AF86" s="91" t="str">
        <f t="shared" si="2"/>
        <v>S</v>
      </c>
      <c r="AG86" s="91" cm="1">
        <f t="array" ref="AG86">_xlfn.SWITCH(D86,"PTA12",2,"PTD1",2,"PTD0",3,"PTC16",1,"PTD5",1,"PTA5",2,"PTD6",2,"PTE8",2,(LEN(N86)+LEN(N86)-LEN(SUBSTITUTE(N86,"ADC",))-LEN(SUBSTITUTE(N86,"CMP",)))/3)</f>
        <v>1</v>
      </c>
      <c r="AH86" s="180" t="str">
        <f t="shared" si="3"/>
        <v>ILKG_33/50_S1</v>
      </c>
    </row>
    <row r="87" spans="1:34" x14ac:dyDescent="0.3">
      <c r="A87" s="219"/>
      <c r="B87" s="135">
        <v>93</v>
      </c>
      <c r="C87" s="135" t="s">
        <v>706</v>
      </c>
      <c r="D87" s="135" t="s">
        <v>707</v>
      </c>
      <c r="E87" s="135" t="s">
        <v>708</v>
      </c>
      <c r="F87" s="135" t="s">
        <v>708</v>
      </c>
      <c r="G87" s="135" t="s">
        <v>243</v>
      </c>
      <c r="H87" s="135" t="s">
        <v>168</v>
      </c>
      <c r="I87" s="135" t="s">
        <v>709</v>
      </c>
      <c r="J87" s="135" t="s">
        <v>94</v>
      </c>
      <c r="K87" s="135" t="s">
        <v>536</v>
      </c>
      <c r="L87" s="135" t="s">
        <v>607</v>
      </c>
      <c r="M87" s="135" t="s">
        <v>710</v>
      </c>
      <c r="N87" s="159"/>
      <c r="O87" s="159"/>
      <c r="P87" s="159"/>
      <c r="Q87" s="135" t="s">
        <v>168</v>
      </c>
      <c r="R87" s="135" t="s">
        <v>709</v>
      </c>
      <c r="S87" s="135" t="s">
        <v>94</v>
      </c>
      <c r="T87" s="159"/>
      <c r="U87" s="159"/>
      <c r="V87" s="135" t="s">
        <v>710</v>
      </c>
      <c r="W87" s="135" t="s">
        <v>558</v>
      </c>
      <c r="X87" s="135" t="s">
        <v>359</v>
      </c>
      <c r="Y87" s="159"/>
      <c r="Z87" s="159"/>
      <c r="AA87" s="159"/>
      <c r="AB87" s="159"/>
      <c r="AC87" s="135" t="s">
        <v>711</v>
      </c>
      <c r="AD87" s="68" t="s">
        <v>231</v>
      </c>
      <c r="AE87" s="175" t="s">
        <v>35</v>
      </c>
      <c r="AF87" s="91" t="str">
        <f t="shared" si="2"/>
        <v>SP</v>
      </c>
      <c r="AG87" s="91" cm="1">
        <f t="array" ref="AG87">_xlfn.SWITCH(D87,"PTA12",2,"PTD1",2,"PTD0",3,"PTC16",1,"PTD5",1,"PTA5",2,"PTD6",2,"PTE8",2,(LEN(N87)+LEN(N87)-LEN(SUBSTITUTE(N87,"ADC",))-LEN(SUBSTITUTE(N87,"CMP",)))/3)</f>
        <v>0</v>
      </c>
      <c r="AH87" s="180" t="str">
        <f t="shared" si="3"/>
        <v>ILKG_33/50_SP0</v>
      </c>
    </row>
    <row r="88" spans="1:34" x14ac:dyDescent="0.3">
      <c r="A88" s="219"/>
      <c r="B88" s="135">
        <v>96</v>
      </c>
      <c r="C88" s="135" t="s">
        <v>727</v>
      </c>
      <c r="D88" s="135" t="s">
        <v>728</v>
      </c>
      <c r="E88" s="135" t="s">
        <v>729</v>
      </c>
      <c r="F88" s="135" t="s">
        <v>729</v>
      </c>
      <c r="G88" s="135" t="s">
        <v>313</v>
      </c>
      <c r="H88" s="135" t="s">
        <v>179</v>
      </c>
      <c r="I88" s="135" t="s">
        <v>730</v>
      </c>
      <c r="J88" s="135" t="s">
        <v>79</v>
      </c>
      <c r="K88" s="135" t="s">
        <v>484</v>
      </c>
      <c r="L88" s="135" t="s">
        <v>624</v>
      </c>
      <c r="M88" s="159"/>
      <c r="N88" s="159"/>
      <c r="O88" s="159"/>
      <c r="P88" s="159"/>
      <c r="Q88" s="135" t="s">
        <v>179</v>
      </c>
      <c r="R88" s="135" t="s">
        <v>730</v>
      </c>
      <c r="S88" s="135" t="s">
        <v>79</v>
      </c>
      <c r="T88" s="135" t="s">
        <v>484</v>
      </c>
      <c r="U88" s="159"/>
      <c r="V88" s="159"/>
      <c r="W88" s="159"/>
      <c r="X88" s="159"/>
      <c r="Y88" s="159"/>
      <c r="Z88" s="159"/>
      <c r="AA88" s="159"/>
      <c r="AB88" s="159"/>
      <c r="AC88" s="135" t="s">
        <v>731</v>
      </c>
      <c r="AD88" s="68" t="s">
        <v>231</v>
      </c>
      <c r="AE88" s="175" t="s">
        <v>35</v>
      </c>
      <c r="AF88" s="91" t="str">
        <f t="shared" si="2"/>
        <v>SP</v>
      </c>
      <c r="AG88" s="91" cm="1">
        <f t="array" ref="AG88">_xlfn.SWITCH(D88,"PTA12",2,"PTD1",2,"PTD0",3,"PTC16",1,"PTD5",1,"PTA5",2,"PTD6",2,"PTE8",2,(LEN(N88)+LEN(N88)-LEN(SUBSTITUTE(N88,"ADC",))-LEN(SUBSTITUTE(N88,"CMP",)))/3)</f>
        <v>0</v>
      </c>
      <c r="AH88" s="180" t="str">
        <f t="shared" si="3"/>
        <v>ILKG_33/50_SP0</v>
      </c>
    </row>
    <row r="89" spans="1:34" x14ac:dyDescent="0.3">
      <c r="A89" s="219"/>
      <c r="B89" s="135">
        <v>99</v>
      </c>
      <c r="C89" s="135" t="s">
        <v>744</v>
      </c>
      <c r="D89" s="135" t="s">
        <v>745</v>
      </c>
      <c r="E89" s="135" t="s">
        <v>746</v>
      </c>
      <c r="F89" s="135" t="s">
        <v>746</v>
      </c>
      <c r="G89" s="159"/>
      <c r="H89" s="135" t="s">
        <v>235</v>
      </c>
      <c r="I89" s="135" t="s">
        <v>747</v>
      </c>
      <c r="J89" s="135" t="s">
        <v>748</v>
      </c>
      <c r="K89" s="135" t="s">
        <v>493</v>
      </c>
      <c r="L89" s="159"/>
      <c r="M89" s="135" t="s">
        <v>65</v>
      </c>
      <c r="N89" s="135" t="s">
        <v>749</v>
      </c>
      <c r="O89" s="159"/>
      <c r="P89" s="159"/>
      <c r="Q89" s="135" t="s">
        <v>235</v>
      </c>
      <c r="R89" s="135" t="s">
        <v>747</v>
      </c>
      <c r="S89" s="135" t="s">
        <v>748</v>
      </c>
      <c r="T89" s="135" t="s">
        <v>493</v>
      </c>
      <c r="U89" s="159"/>
      <c r="V89" s="135" t="s">
        <v>65</v>
      </c>
      <c r="W89" s="135" t="s">
        <v>303</v>
      </c>
      <c r="X89" s="135" t="s">
        <v>530</v>
      </c>
      <c r="Y89" s="159"/>
      <c r="Z89" s="159"/>
      <c r="AA89" s="159"/>
      <c r="AB89" s="159"/>
      <c r="AC89" s="135" t="s">
        <v>750</v>
      </c>
      <c r="AD89" s="68" t="s">
        <v>231</v>
      </c>
      <c r="AE89" s="175" t="s">
        <v>35</v>
      </c>
      <c r="AF89" s="91" t="str">
        <f t="shared" si="2"/>
        <v>SP</v>
      </c>
      <c r="AG89" s="91" cm="1">
        <f t="array" ref="AG89">_xlfn.SWITCH(D89,"PTA12",2,"PTD1",2,"PTD0",3,"PTC16",1,"PTD5",1,"PTA5",2,"PTD6",2,"PTE8",2,(LEN(N89)+LEN(N89)-LEN(SUBSTITUTE(N89,"ADC",))-LEN(SUBSTITUTE(N89,"CMP",)))/3)</f>
        <v>0</v>
      </c>
      <c r="AH89" s="180" t="str">
        <f t="shared" si="3"/>
        <v>ILKG_33/50_SP0</v>
      </c>
    </row>
    <row r="90" spans="1:34" x14ac:dyDescent="0.3">
      <c r="A90" s="218">
        <v>29</v>
      </c>
      <c r="B90" s="135">
        <v>49</v>
      </c>
      <c r="C90" s="135" t="s">
        <v>402</v>
      </c>
      <c r="D90" s="135" t="s">
        <v>403</v>
      </c>
      <c r="E90" s="135" t="s">
        <v>404</v>
      </c>
      <c r="F90" s="135" t="s">
        <v>404</v>
      </c>
      <c r="G90" s="159"/>
      <c r="H90" s="135" t="s">
        <v>103</v>
      </c>
      <c r="I90" s="135" t="s">
        <v>237</v>
      </c>
      <c r="J90" s="135" t="s">
        <v>236</v>
      </c>
      <c r="K90" s="159"/>
      <c r="L90" s="135" t="s">
        <v>405</v>
      </c>
      <c r="M90" s="159"/>
      <c r="N90" s="135" t="s">
        <v>406</v>
      </c>
      <c r="O90" s="159"/>
      <c r="P90" s="159"/>
      <c r="Q90" s="135" t="s">
        <v>103</v>
      </c>
      <c r="R90" s="159"/>
      <c r="S90" s="135" t="s">
        <v>236</v>
      </c>
      <c r="T90" s="159"/>
      <c r="U90" s="159"/>
      <c r="V90" s="159"/>
      <c r="W90" s="135" t="s">
        <v>96</v>
      </c>
      <c r="X90" s="159"/>
      <c r="Y90" s="159"/>
      <c r="Z90" s="159"/>
      <c r="AA90" s="159"/>
      <c r="AB90" s="159"/>
      <c r="AC90" s="135" t="s">
        <v>407</v>
      </c>
      <c r="AD90" s="68" t="s">
        <v>387</v>
      </c>
      <c r="AE90" s="176"/>
      <c r="AF90" s="91" t="str">
        <f t="shared" si="2"/>
        <v>M</v>
      </c>
      <c r="AG90" s="91" cm="1">
        <f t="array" ref="AG90">_xlfn.SWITCH(D90,"PTA12",2,"PTD1",2,"PTD0",3,"PTC16",1,"PTD5",1,"PTA5",2,"PTD6",2,"PTE8",2,(LEN(N90)+LEN(N90)-LEN(SUBSTITUTE(N90,"ADC",))-LEN(SUBSTITUTE(N90,"CMP",)))/3)</f>
        <v>1</v>
      </c>
      <c r="AH90" s="180" t="str">
        <f t="shared" si="3"/>
        <v>ILKG_33/50_M1</v>
      </c>
    </row>
    <row r="91" spans="1:34" x14ac:dyDescent="0.3">
      <c r="A91" s="219"/>
      <c r="B91" s="135">
        <v>101</v>
      </c>
      <c r="C91" s="135" t="s">
        <v>756</v>
      </c>
      <c r="D91" s="135" t="s">
        <v>757</v>
      </c>
      <c r="E91" s="135" t="s">
        <v>758</v>
      </c>
      <c r="F91" s="135" t="s">
        <v>758</v>
      </c>
      <c r="G91" s="135" t="s">
        <v>225</v>
      </c>
      <c r="H91" s="135" t="s">
        <v>273</v>
      </c>
      <c r="I91" s="135" t="s">
        <v>92</v>
      </c>
      <c r="J91" s="135" t="s">
        <v>759</v>
      </c>
      <c r="K91" s="159"/>
      <c r="L91" s="159"/>
      <c r="M91" s="135" t="s">
        <v>760</v>
      </c>
      <c r="N91" s="159"/>
      <c r="O91" s="159"/>
      <c r="P91" s="159"/>
      <c r="Q91" s="135" t="s">
        <v>273</v>
      </c>
      <c r="R91" s="135" t="s">
        <v>92</v>
      </c>
      <c r="S91" s="135" t="s">
        <v>759</v>
      </c>
      <c r="T91" s="159"/>
      <c r="U91" s="159"/>
      <c r="V91" s="135" t="s">
        <v>760</v>
      </c>
      <c r="W91" s="159"/>
      <c r="X91" s="159"/>
      <c r="Y91" s="159"/>
      <c r="Z91" s="159"/>
      <c r="AA91" s="159"/>
      <c r="AB91" s="159"/>
      <c r="AC91" s="135" t="s">
        <v>761</v>
      </c>
      <c r="AD91" s="68" t="s">
        <v>231</v>
      </c>
      <c r="AE91" s="175" t="s">
        <v>35</v>
      </c>
      <c r="AF91" s="91" t="str">
        <f t="shared" si="2"/>
        <v>SP</v>
      </c>
      <c r="AG91" s="91" cm="1">
        <f t="array" ref="AG91">_xlfn.SWITCH(D91,"PTA12",2,"PTD1",2,"PTD0",3,"PTC16",1,"PTD5",1,"PTA5",2,"PTD6",2,"PTE8",2,(LEN(N91)+LEN(N91)-LEN(SUBSTITUTE(N91,"ADC",))-LEN(SUBSTITUTE(N91,"CMP",)))/3)</f>
        <v>0</v>
      </c>
      <c r="AH91" s="180" t="str">
        <f t="shared" si="3"/>
        <v>ILKG_33/50_SP0</v>
      </c>
    </row>
    <row r="92" spans="1:34" x14ac:dyDescent="0.3">
      <c r="A92" s="219"/>
      <c r="B92" s="135">
        <v>103</v>
      </c>
      <c r="C92" s="135" t="s">
        <v>767</v>
      </c>
      <c r="D92" s="135" t="s">
        <v>768</v>
      </c>
      <c r="E92" s="135" t="s">
        <v>769</v>
      </c>
      <c r="F92" s="135" t="s">
        <v>769</v>
      </c>
      <c r="G92" s="159"/>
      <c r="H92" s="135" t="s">
        <v>298</v>
      </c>
      <c r="I92" s="135" t="s">
        <v>106</v>
      </c>
      <c r="J92" s="159"/>
      <c r="K92" s="135" t="s">
        <v>770</v>
      </c>
      <c r="L92" s="159"/>
      <c r="M92" s="135" t="s">
        <v>771</v>
      </c>
      <c r="N92" s="135" t="s">
        <v>772</v>
      </c>
      <c r="O92" s="159"/>
      <c r="P92" s="159"/>
      <c r="Q92" s="135" t="s">
        <v>298</v>
      </c>
      <c r="R92" s="135" t="s">
        <v>106</v>
      </c>
      <c r="S92" s="159"/>
      <c r="T92" s="135" t="s">
        <v>770</v>
      </c>
      <c r="U92" s="159"/>
      <c r="V92" s="135" t="s">
        <v>771</v>
      </c>
      <c r="W92" s="135" t="s">
        <v>219</v>
      </c>
      <c r="X92" s="159"/>
      <c r="Y92" s="159"/>
      <c r="Z92" s="159"/>
      <c r="AA92" s="159"/>
      <c r="AB92" s="159"/>
      <c r="AC92" s="135" t="s">
        <v>773</v>
      </c>
      <c r="AD92" s="68" t="s">
        <v>34</v>
      </c>
      <c r="AE92" s="175" t="s">
        <v>35</v>
      </c>
      <c r="AF92" s="91" t="str">
        <f t="shared" si="2"/>
        <v>S</v>
      </c>
      <c r="AG92" s="91" cm="1">
        <f t="array" ref="AG92">_xlfn.SWITCH(D92,"PTA12",2,"PTD1",2,"PTD0",3,"PTC16",1,"PTD5",1,"PTA5",2,"PTD6",2,"PTE8",2,(LEN(N92)+LEN(N92)-LEN(SUBSTITUTE(N92,"ADC",))-LEN(SUBSTITUTE(N92,"CMP",)))/3)</f>
        <v>1</v>
      </c>
      <c r="AH92" s="180" t="str">
        <f t="shared" si="3"/>
        <v>ILKG_33/50_S1</v>
      </c>
    </row>
    <row r="93" spans="1:34" x14ac:dyDescent="0.3">
      <c r="A93" s="218">
        <v>96</v>
      </c>
      <c r="B93" s="135">
        <v>166</v>
      </c>
      <c r="C93" s="135" t="s">
        <v>1087</v>
      </c>
      <c r="D93" s="135" t="s">
        <v>1088</v>
      </c>
      <c r="E93" s="135" t="s">
        <v>1089</v>
      </c>
      <c r="F93" s="135" t="s">
        <v>1090</v>
      </c>
      <c r="G93" s="159"/>
      <c r="H93" s="135" t="s">
        <v>606</v>
      </c>
      <c r="I93" s="159"/>
      <c r="J93" s="135" t="s">
        <v>130</v>
      </c>
      <c r="K93" s="159"/>
      <c r="L93" s="159"/>
      <c r="M93" s="159"/>
      <c r="N93" s="135" t="s">
        <v>1091</v>
      </c>
      <c r="O93" s="159"/>
      <c r="P93" s="159"/>
      <c r="Q93" s="135" t="s">
        <v>606</v>
      </c>
      <c r="R93" s="159"/>
      <c r="S93" s="135" t="s">
        <v>130</v>
      </c>
      <c r="T93" s="159"/>
      <c r="U93" s="159"/>
      <c r="V93" s="159"/>
      <c r="W93" s="135" t="s">
        <v>173</v>
      </c>
      <c r="X93" s="135" t="s">
        <v>1089</v>
      </c>
      <c r="Y93" s="159"/>
      <c r="Z93" s="159"/>
      <c r="AA93" s="159"/>
      <c r="AB93" s="159"/>
      <c r="AC93" s="135" t="s">
        <v>1092</v>
      </c>
      <c r="AD93" s="68" t="s">
        <v>231</v>
      </c>
      <c r="AE93" s="176"/>
      <c r="AF93" s="91" t="str">
        <f t="shared" si="2"/>
        <v>SP</v>
      </c>
      <c r="AG93" s="91" cm="1">
        <f t="array" ref="AG93">_xlfn.SWITCH(D93,"PTA12",2,"PTD1",2,"PTD0",3,"PTC16",1,"PTD5",1,"PTA5",2,"PTD6",2,"PTE8",2,(LEN(N93)+LEN(N93)-LEN(SUBSTITUTE(N93,"ADC",))-LEN(SUBSTITUTE(N93,"CMP",)))/3)</f>
        <v>1</v>
      </c>
      <c r="AH93" s="180" t="str">
        <f t="shared" si="3"/>
        <v>ILKG_33/50_SP1</v>
      </c>
    </row>
    <row r="94" spans="1:34" x14ac:dyDescent="0.3">
      <c r="A94" s="218">
        <v>95</v>
      </c>
      <c r="B94" s="135">
        <v>165</v>
      </c>
      <c r="C94" s="135" t="s">
        <v>1080</v>
      </c>
      <c r="D94" s="135" t="s">
        <v>1081</v>
      </c>
      <c r="E94" s="135" t="s">
        <v>1082</v>
      </c>
      <c r="F94" s="135" t="s">
        <v>1083</v>
      </c>
      <c r="G94" s="159"/>
      <c r="H94" s="135" t="s">
        <v>116</v>
      </c>
      <c r="I94" s="159"/>
      <c r="J94" s="135" t="s">
        <v>142</v>
      </c>
      <c r="K94" s="135" t="s">
        <v>1084</v>
      </c>
      <c r="L94" s="159"/>
      <c r="M94" s="159"/>
      <c r="N94" s="135" t="s">
        <v>1085</v>
      </c>
      <c r="O94" s="159"/>
      <c r="P94" s="159"/>
      <c r="Q94" s="135" t="s">
        <v>116</v>
      </c>
      <c r="R94" s="159"/>
      <c r="S94" s="135" t="s">
        <v>142</v>
      </c>
      <c r="T94" s="159"/>
      <c r="U94" s="159"/>
      <c r="V94" s="159"/>
      <c r="W94" s="135" t="s">
        <v>160</v>
      </c>
      <c r="X94" s="135" t="s">
        <v>1082</v>
      </c>
      <c r="Y94" s="135" t="s">
        <v>449</v>
      </c>
      <c r="Z94" s="159"/>
      <c r="AA94" s="159"/>
      <c r="AB94" s="159"/>
      <c r="AC94" s="135" t="s">
        <v>1086</v>
      </c>
      <c r="AD94" s="68" t="s">
        <v>231</v>
      </c>
      <c r="AE94" s="175" t="s">
        <v>875</v>
      </c>
      <c r="AF94" s="91" t="str">
        <f t="shared" si="2"/>
        <v>SP</v>
      </c>
      <c r="AG94" s="91" cm="1">
        <f t="array" ref="AG94">_xlfn.SWITCH(D94,"PTA12",2,"PTD1",2,"PTD0",3,"PTC16",1,"PTD5",1,"PTA5",2,"PTD6",2,"PTE8",2,(LEN(N94)+LEN(N94)-LEN(SUBSTITUTE(N94,"ADC",))-LEN(SUBSTITUTE(N94,"CMP",)))/3)</f>
        <v>1</v>
      </c>
      <c r="AH94" s="180" t="str">
        <f t="shared" si="3"/>
        <v>ILKG_33/50_SP1</v>
      </c>
    </row>
    <row r="95" spans="1:34" x14ac:dyDescent="0.3">
      <c r="A95" s="218">
        <v>81</v>
      </c>
      <c r="B95" s="135">
        <v>141</v>
      </c>
      <c r="C95" s="135" t="s">
        <v>970</v>
      </c>
      <c r="D95" s="135" t="s">
        <v>971</v>
      </c>
      <c r="E95" s="135" t="s">
        <v>972</v>
      </c>
      <c r="F95" s="135" t="s">
        <v>972</v>
      </c>
      <c r="G95" s="135" t="s">
        <v>493</v>
      </c>
      <c r="H95" s="135" t="s">
        <v>315</v>
      </c>
      <c r="I95" s="135" t="s">
        <v>167</v>
      </c>
      <c r="J95" s="135" t="s">
        <v>813</v>
      </c>
      <c r="K95" s="135" t="s">
        <v>723</v>
      </c>
      <c r="L95" s="135" t="s">
        <v>324</v>
      </c>
      <c r="M95" s="135" t="s">
        <v>528</v>
      </c>
      <c r="N95" s="135" t="s">
        <v>973</v>
      </c>
      <c r="O95" s="159"/>
      <c r="P95" s="135" t="s">
        <v>493</v>
      </c>
      <c r="Q95" s="135" t="s">
        <v>315</v>
      </c>
      <c r="R95" s="135" t="s">
        <v>167</v>
      </c>
      <c r="S95" s="159"/>
      <c r="T95" s="135" t="s">
        <v>723</v>
      </c>
      <c r="U95" s="135" t="s">
        <v>324</v>
      </c>
      <c r="V95" s="159"/>
      <c r="W95" s="135" t="s">
        <v>512</v>
      </c>
      <c r="X95" s="135" t="s">
        <v>255</v>
      </c>
      <c r="Y95" s="135" t="s">
        <v>44</v>
      </c>
      <c r="Z95" s="159"/>
      <c r="AA95" s="159"/>
      <c r="AB95" s="159"/>
      <c r="AC95" s="135" t="s">
        <v>974</v>
      </c>
      <c r="AD95" s="68" t="s">
        <v>231</v>
      </c>
      <c r="AE95" s="176"/>
      <c r="AF95" s="91" t="str">
        <f t="shared" si="2"/>
        <v>SP</v>
      </c>
      <c r="AG95" s="91" cm="1">
        <f t="array" ref="AG95">_xlfn.SWITCH(D95,"PTA12",2,"PTD1",2,"PTD0",3,"PTC16",1,"PTD5",1,"PTA5",2,"PTD6",2,"PTE8",2,(LEN(N95)+LEN(N95)-LEN(SUBSTITUTE(N95,"ADC",))-LEN(SUBSTITUTE(N95,"CMP",)))/3)</f>
        <v>1</v>
      </c>
      <c r="AH95" s="180" t="str">
        <f t="shared" si="3"/>
        <v>ILKG_33/50_SP1</v>
      </c>
    </row>
    <row r="96" spans="1:34" x14ac:dyDescent="0.3">
      <c r="A96" s="218">
        <v>80</v>
      </c>
      <c r="B96" s="135">
        <v>140</v>
      </c>
      <c r="C96" s="135" t="s">
        <v>964</v>
      </c>
      <c r="D96" s="135" t="s">
        <v>965</v>
      </c>
      <c r="E96" s="135" t="s">
        <v>966</v>
      </c>
      <c r="F96" s="135" t="s">
        <v>966</v>
      </c>
      <c r="G96" s="135" t="s">
        <v>301</v>
      </c>
      <c r="H96" s="135" t="s">
        <v>26</v>
      </c>
      <c r="I96" s="135" t="s">
        <v>484</v>
      </c>
      <c r="J96" s="135" t="s">
        <v>845</v>
      </c>
      <c r="K96" s="135" t="s">
        <v>179</v>
      </c>
      <c r="L96" s="135" t="s">
        <v>166</v>
      </c>
      <c r="M96" s="135" t="s">
        <v>501</v>
      </c>
      <c r="N96" s="135" t="s">
        <v>967</v>
      </c>
      <c r="O96" s="159"/>
      <c r="P96" s="135" t="s">
        <v>301</v>
      </c>
      <c r="Q96" s="135" t="s">
        <v>26</v>
      </c>
      <c r="R96" s="135" t="s">
        <v>484</v>
      </c>
      <c r="S96" s="159"/>
      <c r="T96" s="135" t="s">
        <v>179</v>
      </c>
      <c r="U96" s="135" t="s">
        <v>166</v>
      </c>
      <c r="V96" s="159"/>
      <c r="W96" s="135" t="s">
        <v>283</v>
      </c>
      <c r="X96" s="135" t="s">
        <v>893</v>
      </c>
      <c r="Y96" s="159"/>
      <c r="Z96" s="159"/>
      <c r="AA96" s="159"/>
      <c r="AB96" s="159"/>
      <c r="AC96" s="135" t="s">
        <v>968</v>
      </c>
      <c r="AD96" s="68" t="s">
        <v>231</v>
      </c>
      <c r="AE96" s="175" t="s">
        <v>969</v>
      </c>
      <c r="AF96" s="91" t="str">
        <f t="shared" si="2"/>
        <v>SP</v>
      </c>
      <c r="AG96" s="91" cm="1">
        <f t="array" ref="AG96">_xlfn.SWITCH(D96,"PTA12",2,"PTD1",2,"PTD0",3,"PTC16",1,"PTD5",1,"PTA5",2,"PTD6",2,"PTE8",2,(LEN(N96)+LEN(N96)-LEN(SUBSTITUTE(N96,"ADC",))-LEN(SUBSTITUTE(N96,"CMP",)))/3)</f>
        <v>1</v>
      </c>
      <c r="AH96" s="180" t="str">
        <f t="shared" si="3"/>
        <v>ILKG_33/50_SP1</v>
      </c>
    </row>
    <row r="97" spans="1:34" x14ac:dyDescent="0.3">
      <c r="A97" s="218">
        <v>56</v>
      </c>
      <c r="B97" s="135">
        <v>98</v>
      </c>
      <c r="C97" s="135" t="s">
        <v>738</v>
      </c>
      <c r="D97" s="135" t="s">
        <v>739</v>
      </c>
      <c r="E97" s="135" t="s">
        <v>740</v>
      </c>
      <c r="F97" s="135" t="s">
        <v>740</v>
      </c>
      <c r="G97" s="135" t="s">
        <v>331</v>
      </c>
      <c r="H97" s="159"/>
      <c r="I97" s="135" t="s">
        <v>518</v>
      </c>
      <c r="J97" s="135" t="s">
        <v>509</v>
      </c>
      <c r="K97" s="135" t="s">
        <v>631</v>
      </c>
      <c r="L97" s="135" t="s">
        <v>299</v>
      </c>
      <c r="M97" s="135" t="s">
        <v>383</v>
      </c>
      <c r="N97" s="135" t="s">
        <v>741</v>
      </c>
      <c r="O97" s="159"/>
      <c r="P97" s="135" t="s">
        <v>331</v>
      </c>
      <c r="Q97" s="159"/>
      <c r="R97" s="159"/>
      <c r="S97" s="135" t="s">
        <v>509</v>
      </c>
      <c r="T97" s="159"/>
      <c r="U97" s="135" t="s">
        <v>299</v>
      </c>
      <c r="V97" s="135" t="s">
        <v>383</v>
      </c>
      <c r="W97" s="135" t="s">
        <v>656</v>
      </c>
      <c r="X97" s="135" t="s">
        <v>742</v>
      </c>
      <c r="Y97" s="135" t="s">
        <v>44</v>
      </c>
      <c r="Z97" s="159"/>
      <c r="AA97" s="159"/>
      <c r="AB97" s="159"/>
      <c r="AC97" s="135" t="s">
        <v>743</v>
      </c>
      <c r="AD97" s="68" t="s">
        <v>231</v>
      </c>
      <c r="AE97" s="175" t="s">
        <v>71</v>
      </c>
      <c r="AF97" s="91" t="str">
        <f t="shared" si="2"/>
        <v>SP</v>
      </c>
      <c r="AG97" s="91" cm="1">
        <f t="array" ref="AG97">_xlfn.SWITCH(D97,"PTA12",2,"PTD1",2,"PTD0",3,"PTC16",1,"PTD5",1,"PTA5",2,"PTD6",2,"PTE8",2,(LEN(N97)+LEN(N97)-LEN(SUBSTITUTE(N97,"ADC",))-LEN(SUBSTITUTE(N97,"CMP",)))/3)</f>
        <v>1</v>
      </c>
      <c r="AH97" s="180" t="str">
        <f t="shared" si="3"/>
        <v>ILKG_33/50_SP1</v>
      </c>
    </row>
    <row r="98" spans="1:34" x14ac:dyDescent="0.3">
      <c r="A98" s="218">
        <v>55</v>
      </c>
      <c r="B98" s="135">
        <v>97</v>
      </c>
      <c r="C98" s="135" t="s">
        <v>732</v>
      </c>
      <c r="D98" s="135" t="s">
        <v>733</v>
      </c>
      <c r="E98" s="135" t="s">
        <v>734</v>
      </c>
      <c r="F98" s="135" t="s">
        <v>734</v>
      </c>
      <c r="G98" s="135" t="s">
        <v>341</v>
      </c>
      <c r="H98" s="135" t="s">
        <v>26</v>
      </c>
      <c r="I98" s="135" t="s">
        <v>735</v>
      </c>
      <c r="J98" s="135" t="s">
        <v>186</v>
      </c>
      <c r="K98" s="135" t="s">
        <v>648</v>
      </c>
      <c r="L98" s="135" t="s">
        <v>289</v>
      </c>
      <c r="M98" s="135" t="s">
        <v>432</v>
      </c>
      <c r="N98" s="135" t="s">
        <v>736</v>
      </c>
      <c r="O98" s="159"/>
      <c r="P98" s="135" t="s">
        <v>341</v>
      </c>
      <c r="Q98" s="135" t="s">
        <v>26</v>
      </c>
      <c r="R98" s="159"/>
      <c r="S98" s="135" t="s">
        <v>186</v>
      </c>
      <c r="T98" s="159"/>
      <c r="U98" s="135" t="s">
        <v>289</v>
      </c>
      <c r="V98" s="135" t="s">
        <v>432</v>
      </c>
      <c r="W98" s="135" t="s">
        <v>541</v>
      </c>
      <c r="X98" s="135" t="s">
        <v>663</v>
      </c>
      <c r="Y98" s="159"/>
      <c r="Z98" s="159"/>
      <c r="AA98" s="159"/>
      <c r="AB98" s="159"/>
      <c r="AC98" s="135" t="s">
        <v>737</v>
      </c>
      <c r="AD98" s="68" t="s">
        <v>231</v>
      </c>
      <c r="AE98" s="175" t="s">
        <v>122</v>
      </c>
      <c r="AF98" s="91" t="str">
        <f t="shared" si="2"/>
        <v>SP</v>
      </c>
      <c r="AG98" s="91" cm="1">
        <f t="array" ref="AG98">_xlfn.SWITCH(D98,"PTA12",2,"PTD1",2,"PTD0",3,"PTC16",1,"PTD5",1,"PTA5",2,"PTD6",2,"PTE8",2,(LEN(N98)+LEN(N98)-LEN(SUBSTITUTE(N98,"ADC",))-LEN(SUBSTITUTE(N98,"CMP",)))/3)</f>
        <v>1</v>
      </c>
      <c r="AH98" s="180" t="str">
        <f t="shared" si="3"/>
        <v>ILKG_33/50_SP1</v>
      </c>
    </row>
    <row r="99" spans="1:34" x14ac:dyDescent="0.3">
      <c r="A99" s="218">
        <v>4</v>
      </c>
      <c r="B99" s="135">
        <v>8</v>
      </c>
      <c r="C99" s="135" t="s">
        <v>111</v>
      </c>
      <c r="D99" s="135" t="s">
        <v>112</v>
      </c>
      <c r="E99" s="135" t="s">
        <v>113</v>
      </c>
      <c r="F99" s="135" t="s">
        <v>113</v>
      </c>
      <c r="G99" s="159"/>
      <c r="H99" s="135" t="s">
        <v>114</v>
      </c>
      <c r="I99" s="135" t="s">
        <v>115</v>
      </c>
      <c r="J99" s="135" t="s">
        <v>116</v>
      </c>
      <c r="K99" s="159"/>
      <c r="L99" s="135" t="s">
        <v>92</v>
      </c>
      <c r="M99" s="135" t="s">
        <v>117</v>
      </c>
      <c r="N99" s="135" t="s">
        <v>118</v>
      </c>
      <c r="O99" s="159"/>
      <c r="P99" s="159"/>
      <c r="Q99" s="135" t="s">
        <v>114</v>
      </c>
      <c r="R99" s="135" t="s">
        <v>115</v>
      </c>
      <c r="S99" s="135" t="s">
        <v>116</v>
      </c>
      <c r="T99" s="159"/>
      <c r="U99" s="135" t="s">
        <v>92</v>
      </c>
      <c r="V99" s="159"/>
      <c r="W99" s="135" t="s">
        <v>119</v>
      </c>
      <c r="X99" s="135" t="s">
        <v>120</v>
      </c>
      <c r="Y99" s="159"/>
      <c r="Z99" s="159"/>
      <c r="AA99" s="159"/>
      <c r="AB99" s="159"/>
      <c r="AC99" s="135" t="s">
        <v>121</v>
      </c>
      <c r="AD99" s="68" t="s">
        <v>34</v>
      </c>
      <c r="AE99" s="175" t="s">
        <v>122</v>
      </c>
      <c r="AF99" s="91" t="str">
        <f t="shared" si="2"/>
        <v>S</v>
      </c>
      <c r="AG99" s="91" cm="1">
        <f t="array" ref="AG99">_xlfn.SWITCH(D99,"PTA12",2,"PTD1",2,"PTD0",3,"PTC16",1,"PTD5",1,"PTA5",2,"PTD6",2,"PTE8",2,(LEN(N99)+LEN(N99)-LEN(SUBSTITUTE(N99,"ADC",))-LEN(SUBSTITUTE(N99,"CMP",)))/3)</f>
        <v>3</v>
      </c>
      <c r="AH99" s="180" t="str">
        <f t="shared" si="3"/>
        <v>ILKG_33/50_S3</v>
      </c>
    </row>
    <row r="100" spans="1:34" x14ac:dyDescent="0.3">
      <c r="A100" s="218">
        <v>3</v>
      </c>
      <c r="B100" s="135">
        <v>7</v>
      </c>
      <c r="C100" s="135" t="s">
        <v>99</v>
      </c>
      <c r="D100" s="135" t="s">
        <v>100</v>
      </c>
      <c r="E100" s="135" t="s">
        <v>101</v>
      </c>
      <c r="F100" s="135" t="s">
        <v>101</v>
      </c>
      <c r="G100" s="135" t="s">
        <v>102</v>
      </c>
      <c r="H100" s="135" t="s">
        <v>103</v>
      </c>
      <c r="I100" s="135" t="s">
        <v>104</v>
      </c>
      <c r="J100" s="135" t="s">
        <v>105</v>
      </c>
      <c r="K100" s="159"/>
      <c r="L100" s="135" t="s">
        <v>106</v>
      </c>
      <c r="M100" s="135" t="s">
        <v>107</v>
      </c>
      <c r="N100" s="135" t="s">
        <v>108</v>
      </c>
      <c r="O100" s="159"/>
      <c r="P100" s="135" t="s">
        <v>102</v>
      </c>
      <c r="Q100" s="135" t="s">
        <v>103</v>
      </c>
      <c r="R100" s="135" t="s">
        <v>104</v>
      </c>
      <c r="S100" s="135" t="s">
        <v>105</v>
      </c>
      <c r="T100" s="159"/>
      <c r="U100" s="135" t="s">
        <v>106</v>
      </c>
      <c r="V100" s="159"/>
      <c r="W100" s="135" t="s">
        <v>109</v>
      </c>
      <c r="X100" s="159"/>
      <c r="Y100" s="159"/>
      <c r="Z100" s="159"/>
      <c r="AA100" s="159"/>
      <c r="AB100" s="159"/>
      <c r="AC100" s="135" t="s">
        <v>110</v>
      </c>
      <c r="AD100" s="68" t="s">
        <v>34</v>
      </c>
      <c r="AE100" s="175" t="s">
        <v>71</v>
      </c>
      <c r="AF100" s="91" t="str">
        <f t="shared" si="2"/>
        <v>S</v>
      </c>
      <c r="AG100" s="91" cm="1">
        <f t="array" ref="AG100">_xlfn.SWITCH(D100,"PTA12",2,"PTD1",2,"PTD0",3,"PTC16",1,"PTD5",1,"PTA5",2,"PTD6",2,"PTE8",2,(LEN(N100)+LEN(N100)-LEN(SUBSTITUTE(N100,"ADC",))-LEN(SUBSTITUTE(N100,"CMP",)))/3)</f>
        <v>2</v>
      </c>
      <c r="AH100" s="180" t="str">
        <f t="shared" si="3"/>
        <v>ILKG_33/50_S2</v>
      </c>
    </row>
    <row r="101" spans="1:34" x14ac:dyDescent="0.3">
      <c r="A101" s="218">
        <v>36</v>
      </c>
      <c r="B101" s="135">
        <v>56</v>
      </c>
      <c r="C101" s="135" t="s">
        <v>458</v>
      </c>
      <c r="D101" s="135" t="s">
        <v>459</v>
      </c>
      <c r="E101" s="135" t="s">
        <v>460</v>
      </c>
      <c r="F101" s="135" t="s">
        <v>460</v>
      </c>
      <c r="G101" s="135" t="s">
        <v>430</v>
      </c>
      <c r="H101" s="135" t="s">
        <v>116</v>
      </c>
      <c r="I101" s="135" t="s">
        <v>235</v>
      </c>
      <c r="J101" s="135" t="s">
        <v>461</v>
      </c>
      <c r="K101" s="135" t="s">
        <v>289</v>
      </c>
      <c r="L101" s="135" t="s">
        <v>333</v>
      </c>
      <c r="M101" s="135" t="s">
        <v>462</v>
      </c>
      <c r="N101" s="159"/>
      <c r="O101" s="159"/>
      <c r="P101" s="159"/>
      <c r="Q101" s="135" t="s">
        <v>116</v>
      </c>
      <c r="R101" s="135" t="s">
        <v>235</v>
      </c>
      <c r="S101" s="159"/>
      <c r="T101" s="135" t="s">
        <v>289</v>
      </c>
      <c r="U101" s="159"/>
      <c r="V101" s="135" t="s">
        <v>462</v>
      </c>
      <c r="W101" s="135" t="s">
        <v>463</v>
      </c>
      <c r="X101" s="135" t="s">
        <v>440</v>
      </c>
      <c r="Y101" s="159"/>
      <c r="Z101" s="159"/>
      <c r="AA101" s="159"/>
      <c r="AB101" s="159"/>
      <c r="AC101" s="135" t="s">
        <v>464</v>
      </c>
      <c r="AD101" s="68" t="s">
        <v>417</v>
      </c>
      <c r="AE101" s="176"/>
      <c r="AF101" s="91" t="str">
        <f t="shared" si="2"/>
        <v>F</v>
      </c>
      <c r="AG101" s="91" cm="1">
        <f t="array" ref="AG101">_xlfn.SWITCH(D101,"PTA12",2,"PTD1",2,"PTD0",3,"PTC16",1,"PTD5",1,"PTA5",2,"PTD6",2,"PTE8",2,(LEN(N101)+LEN(N101)-LEN(SUBSTITUTE(N101,"ADC",))-LEN(SUBSTITUTE(N101,"CMP",)))/3)</f>
        <v>0</v>
      </c>
      <c r="AH101" s="180" t="str">
        <f t="shared" si="3"/>
        <v>ILKG_33/50_F0</v>
      </c>
    </row>
    <row r="102" spans="1:34" x14ac:dyDescent="0.3">
      <c r="A102" s="218">
        <v>35</v>
      </c>
      <c r="B102" s="135">
        <v>55</v>
      </c>
      <c r="C102" s="135" t="s">
        <v>451</v>
      </c>
      <c r="D102" s="135" t="s">
        <v>452</v>
      </c>
      <c r="E102" s="135" t="s">
        <v>453</v>
      </c>
      <c r="F102" s="135" t="s">
        <v>453</v>
      </c>
      <c r="G102" s="135" t="s">
        <v>431</v>
      </c>
      <c r="H102" s="135" t="s">
        <v>105</v>
      </c>
      <c r="I102" s="135" t="s">
        <v>314</v>
      </c>
      <c r="J102" s="135" t="s">
        <v>454</v>
      </c>
      <c r="K102" s="159"/>
      <c r="L102" s="135" t="s">
        <v>299</v>
      </c>
      <c r="M102" s="135" t="s">
        <v>455</v>
      </c>
      <c r="N102" s="159"/>
      <c r="O102" s="159"/>
      <c r="P102" s="159"/>
      <c r="Q102" s="135" t="s">
        <v>105</v>
      </c>
      <c r="R102" s="159"/>
      <c r="S102" s="159"/>
      <c r="T102" s="135" t="s">
        <v>434</v>
      </c>
      <c r="U102" s="135" t="s">
        <v>299</v>
      </c>
      <c r="V102" s="135" t="s">
        <v>455</v>
      </c>
      <c r="W102" s="135" t="s">
        <v>456</v>
      </c>
      <c r="X102" s="135" t="s">
        <v>305</v>
      </c>
      <c r="Y102" s="159"/>
      <c r="Z102" s="159"/>
      <c r="AA102" s="159"/>
      <c r="AB102" s="159"/>
      <c r="AC102" s="135" t="s">
        <v>457</v>
      </c>
      <c r="AD102" s="68" t="s">
        <v>417</v>
      </c>
      <c r="AE102" s="176"/>
      <c r="AF102" s="91" t="str">
        <f t="shared" si="2"/>
        <v>F</v>
      </c>
      <c r="AG102" s="91" cm="1">
        <f t="array" ref="AG102">_xlfn.SWITCH(D102,"PTA12",2,"PTD1",2,"PTD0",3,"PTC16",1,"PTD5",1,"PTA5",2,"PTD6",2,"PTE8",2,(LEN(N102)+LEN(N102)-LEN(SUBSTITUTE(N102,"ADC",))-LEN(SUBSTITUTE(N102,"CMP",)))/3)</f>
        <v>0</v>
      </c>
      <c r="AH102" s="180" t="str">
        <f t="shared" si="3"/>
        <v>ILKG_33/50_F0</v>
      </c>
    </row>
    <row r="103" spans="1:34" x14ac:dyDescent="0.3">
      <c r="A103" s="218">
        <v>34</v>
      </c>
      <c r="B103" s="135">
        <v>54</v>
      </c>
      <c r="C103" s="135" t="s">
        <v>443</v>
      </c>
      <c r="D103" s="135" t="s">
        <v>444</v>
      </c>
      <c r="E103" s="135" t="s">
        <v>445</v>
      </c>
      <c r="F103" s="135" t="s">
        <v>445</v>
      </c>
      <c r="G103" s="159"/>
      <c r="H103" s="135" t="s">
        <v>169</v>
      </c>
      <c r="I103" s="135" t="s">
        <v>226</v>
      </c>
      <c r="J103" s="135" t="s">
        <v>446</v>
      </c>
      <c r="K103" s="135" t="s">
        <v>314</v>
      </c>
      <c r="L103" s="135" t="s">
        <v>280</v>
      </c>
      <c r="M103" s="135" t="s">
        <v>447</v>
      </c>
      <c r="N103" s="159"/>
      <c r="O103" s="159"/>
      <c r="P103" s="135" t="s">
        <v>434</v>
      </c>
      <c r="Q103" s="135" t="s">
        <v>169</v>
      </c>
      <c r="R103" s="159"/>
      <c r="S103" s="159"/>
      <c r="T103" s="159"/>
      <c r="U103" s="135" t="s">
        <v>280</v>
      </c>
      <c r="V103" s="135" t="s">
        <v>447</v>
      </c>
      <c r="W103" s="135" t="s">
        <v>448</v>
      </c>
      <c r="X103" s="135" t="s">
        <v>449</v>
      </c>
      <c r="Y103" s="159"/>
      <c r="Z103" s="159"/>
      <c r="AA103" s="159"/>
      <c r="AB103" s="159"/>
      <c r="AC103" s="135" t="s">
        <v>450</v>
      </c>
      <c r="AD103" s="68" t="s">
        <v>417</v>
      </c>
      <c r="AE103" s="176"/>
      <c r="AF103" s="91" t="str">
        <f t="shared" si="2"/>
        <v>F</v>
      </c>
      <c r="AG103" s="91" cm="1">
        <f t="array" ref="AG103">_xlfn.SWITCH(D103,"PTA12",2,"PTD1",2,"PTD0",3,"PTC16",1,"PTD5",1,"PTA5",2,"PTD6",2,"PTE8",2,(LEN(N103)+LEN(N103)-LEN(SUBSTITUTE(N103,"ADC",))-LEN(SUBSTITUTE(N103,"CMP",)))/3)</f>
        <v>0</v>
      </c>
      <c r="AH103" s="180" t="str">
        <f t="shared" si="3"/>
        <v>ILKG_33/50_F0</v>
      </c>
    </row>
    <row r="104" spans="1:34" x14ac:dyDescent="0.3">
      <c r="A104" s="219"/>
      <c r="B104" s="135">
        <v>41</v>
      </c>
      <c r="C104" s="135" t="s">
        <v>337</v>
      </c>
      <c r="D104" s="135" t="s">
        <v>338</v>
      </c>
      <c r="E104" s="135" t="s">
        <v>339</v>
      </c>
      <c r="F104" s="135" t="s">
        <v>339</v>
      </c>
      <c r="G104" s="135" t="s">
        <v>340</v>
      </c>
      <c r="H104" s="135" t="s">
        <v>140</v>
      </c>
      <c r="I104" s="135" t="s">
        <v>158</v>
      </c>
      <c r="J104" s="135" t="s">
        <v>341</v>
      </c>
      <c r="K104" s="135" t="s">
        <v>217</v>
      </c>
      <c r="L104" s="135" t="s">
        <v>342</v>
      </c>
      <c r="M104" s="159"/>
      <c r="N104" s="135" t="s">
        <v>343</v>
      </c>
      <c r="O104" s="159"/>
      <c r="P104" s="135" t="s">
        <v>340</v>
      </c>
      <c r="Q104" s="135" t="s">
        <v>140</v>
      </c>
      <c r="R104" s="135" t="s">
        <v>158</v>
      </c>
      <c r="S104" s="135" t="s">
        <v>341</v>
      </c>
      <c r="T104" s="135" t="s">
        <v>217</v>
      </c>
      <c r="U104" s="135" t="s">
        <v>342</v>
      </c>
      <c r="V104" s="159"/>
      <c r="W104" s="135" t="s">
        <v>344</v>
      </c>
      <c r="X104" s="135" t="s">
        <v>44</v>
      </c>
      <c r="Y104" s="159"/>
      <c r="Z104" s="159"/>
      <c r="AA104" s="159"/>
      <c r="AB104" s="159"/>
      <c r="AC104" s="135" t="s">
        <v>345</v>
      </c>
      <c r="AD104" s="68" t="s">
        <v>231</v>
      </c>
      <c r="AE104" s="176"/>
      <c r="AF104" s="91" t="str">
        <f t="shared" si="2"/>
        <v>SP</v>
      </c>
      <c r="AG104" s="91" cm="1">
        <f t="array" ref="AG104">_xlfn.SWITCH(D104,"PTA12",2,"PTD1",2,"PTD0",3,"PTC16",1,"PTD5",1,"PTA5",2,"PTD6",2,"PTE8",2,(LEN(N104)+LEN(N104)-LEN(SUBSTITUTE(N104,"ADC",))-LEN(SUBSTITUTE(N104,"CMP",)))/3)</f>
        <v>0</v>
      </c>
      <c r="AH104" s="180" t="str">
        <f t="shared" si="3"/>
        <v>ILKG_33/50_SP0</v>
      </c>
    </row>
    <row r="105" spans="1:34" x14ac:dyDescent="0.3">
      <c r="A105" s="219"/>
      <c r="B105" s="135">
        <v>40</v>
      </c>
      <c r="C105" s="135" t="s">
        <v>327</v>
      </c>
      <c r="D105" s="135" t="s">
        <v>328</v>
      </c>
      <c r="E105" s="135" t="s">
        <v>329</v>
      </c>
      <c r="F105" s="135" t="s">
        <v>329</v>
      </c>
      <c r="G105" s="135" t="s">
        <v>330</v>
      </c>
      <c r="H105" s="135" t="s">
        <v>129</v>
      </c>
      <c r="I105" s="135" t="s">
        <v>26</v>
      </c>
      <c r="J105" s="135" t="s">
        <v>331</v>
      </c>
      <c r="K105" s="135" t="s">
        <v>227</v>
      </c>
      <c r="L105" s="135" t="s">
        <v>332</v>
      </c>
      <c r="M105" s="135" t="s">
        <v>333</v>
      </c>
      <c r="N105" s="159"/>
      <c r="O105" s="159"/>
      <c r="P105" s="135" t="s">
        <v>330</v>
      </c>
      <c r="Q105" s="135" t="s">
        <v>129</v>
      </c>
      <c r="R105" s="135" t="s">
        <v>26</v>
      </c>
      <c r="S105" s="135" t="s">
        <v>331</v>
      </c>
      <c r="T105" s="135" t="s">
        <v>227</v>
      </c>
      <c r="U105" s="159"/>
      <c r="V105" s="159"/>
      <c r="W105" s="135" t="s">
        <v>334</v>
      </c>
      <c r="X105" s="135" t="s">
        <v>335</v>
      </c>
      <c r="Y105" s="159"/>
      <c r="Z105" s="159"/>
      <c r="AA105" s="159"/>
      <c r="AB105" s="159"/>
      <c r="AC105" s="135" t="s">
        <v>336</v>
      </c>
      <c r="AD105" s="68" t="s">
        <v>231</v>
      </c>
      <c r="AE105" s="176"/>
      <c r="AF105" s="91" t="str">
        <f t="shared" si="2"/>
        <v>SP</v>
      </c>
      <c r="AG105" s="91" cm="1">
        <f t="array" ref="AG105">_xlfn.SWITCH(D105,"PTA12",2,"PTD1",2,"PTD0",3,"PTC16",1,"PTD5",1,"PTA5",2,"PTD6",2,"PTE8",2,(LEN(N105)+LEN(N105)-LEN(SUBSTITUTE(N105,"ADC",))-LEN(SUBSTITUTE(N105,"CMP",)))/3)</f>
        <v>0</v>
      </c>
      <c r="AH105" s="180" t="str">
        <f t="shared" si="3"/>
        <v>ILKG_33/50_SP0</v>
      </c>
    </row>
    <row r="106" spans="1:34" x14ac:dyDescent="0.3">
      <c r="A106" s="218">
        <v>22</v>
      </c>
      <c r="B106" s="135">
        <v>35</v>
      </c>
      <c r="C106" s="135" t="s">
        <v>294</v>
      </c>
      <c r="D106" s="135" t="s">
        <v>295</v>
      </c>
      <c r="E106" s="135" t="s">
        <v>296</v>
      </c>
      <c r="F106" s="135" t="s">
        <v>296</v>
      </c>
      <c r="G106" s="135" t="s">
        <v>171</v>
      </c>
      <c r="H106" s="135" t="s">
        <v>297</v>
      </c>
      <c r="I106" s="135" t="s">
        <v>298</v>
      </c>
      <c r="J106" s="135" t="s">
        <v>299</v>
      </c>
      <c r="K106" s="135" t="s">
        <v>265</v>
      </c>
      <c r="L106" s="135" t="s">
        <v>300</v>
      </c>
      <c r="M106" s="135" t="s">
        <v>301</v>
      </c>
      <c r="N106" s="135" t="s">
        <v>302</v>
      </c>
      <c r="O106" s="159"/>
      <c r="P106" s="135" t="s">
        <v>171</v>
      </c>
      <c r="Q106" s="135" t="s">
        <v>297</v>
      </c>
      <c r="R106" s="135" t="s">
        <v>298</v>
      </c>
      <c r="S106" s="135" t="s">
        <v>299</v>
      </c>
      <c r="T106" s="135" t="s">
        <v>265</v>
      </c>
      <c r="U106" s="135" t="s">
        <v>300</v>
      </c>
      <c r="V106" s="135" t="s">
        <v>301</v>
      </c>
      <c r="W106" s="135" t="s">
        <v>303</v>
      </c>
      <c r="X106" s="135" t="s">
        <v>304</v>
      </c>
      <c r="Y106" s="135" t="s">
        <v>305</v>
      </c>
      <c r="Z106" s="135" t="s">
        <v>306</v>
      </c>
      <c r="AA106" s="159"/>
      <c r="AB106" s="159"/>
      <c r="AC106" s="135" t="s">
        <v>307</v>
      </c>
      <c r="AD106" s="68" t="s">
        <v>231</v>
      </c>
      <c r="AE106" s="176"/>
      <c r="AF106" s="91" t="str">
        <f t="shared" si="2"/>
        <v>SP</v>
      </c>
      <c r="AG106" s="91" cm="1">
        <f t="array" ref="AG106">_xlfn.SWITCH(D106,"PTA12",2,"PTD1",2,"PTD0",3,"PTC16",1,"PTD5",1,"PTA5",2,"PTD6",2,"PTE8",2,(LEN(N106)+LEN(N106)-LEN(SUBSTITUTE(N106,"ADC",))-LEN(SUBSTITUTE(N106,"CMP",)))/3)</f>
        <v>1</v>
      </c>
      <c r="AH106" s="180" t="str">
        <f t="shared" si="3"/>
        <v>ILKG_33/50_SP1</v>
      </c>
    </row>
    <row r="107" spans="1:34" x14ac:dyDescent="0.3">
      <c r="A107" s="218">
        <v>21</v>
      </c>
      <c r="B107" s="135">
        <v>34</v>
      </c>
      <c r="C107" s="135" t="s">
        <v>285</v>
      </c>
      <c r="D107" s="135" t="s">
        <v>286</v>
      </c>
      <c r="E107" s="135" t="s">
        <v>287</v>
      </c>
      <c r="F107" s="135" t="s">
        <v>287</v>
      </c>
      <c r="G107" s="159"/>
      <c r="H107" s="135" t="s">
        <v>128</v>
      </c>
      <c r="I107" s="135" t="s">
        <v>288</v>
      </c>
      <c r="J107" s="135" t="s">
        <v>289</v>
      </c>
      <c r="K107" s="135" t="s">
        <v>290</v>
      </c>
      <c r="L107" s="135" t="s">
        <v>226</v>
      </c>
      <c r="M107" s="135" t="s">
        <v>291</v>
      </c>
      <c r="N107" s="135" t="s">
        <v>292</v>
      </c>
      <c r="O107" s="159"/>
      <c r="P107" s="159"/>
      <c r="Q107" s="135" t="s">
        <v>128</v>
      </c>
      <c r="R107" s="135" t="s">
        <v>288</v>
      </c>
      <c r="S107" s="135" t="s">
        <v>289</v>
      </c>
      <c r="T107" s="135" t="s">
        <v>290</v>
      </c>
      <c r="U107" s="159"/>
      <c r="V107" s="135" t="s">
        <v>291</v>
      </c>
      <c r="W107" s="159"/>
      <c r="X107" s="159"/>
      <c r="Y107" s="159"/>
      <c r="Z107" s="159"/>
      <c r="AA107" s="159"/>
      <c r="AB107" s="159"/>
      <c r="AC107" s="135" t="s">
        <v>293</v>
      </c>
      <c r="AD107" s="68" t="s">
        <v>34</v>
      </c>
      <c r="AE107" s="176"/>
      <c r="AF107" s="91" t="str">
        <f t="shared" si="2"/>
        <v>S</v>
      </c>
      <c r="AG107" s="91" cm="1">
        <f t="array" ref="AG107">_xlfn.SWITCH(D107,"PTA12",2,"PTD1",2,"PTD0",3,"PTC16",1,"PTD5",1,"PTA5",2,"PTD6",2,"PTE8",2,(LEN(N107)+LEN(N107)-LEN(SUBSTITUTE(N107,"ADC",))-LEN(SUBSTITUTE(N107,"CMP",)))/3)</f>
        <v>1</v>
      </c>
      <c r="AH107" s="180" t="str">
        <f t="shared" si="3"/>
        <v>ILKG_33/50_S1</v>
      </c>
    </row>
    <row r="108" spans="1:34" x14ac:dyDescent="0.3">
      <c r="A108" s="218">
        <v>20</v>
      </c>
      <c r="B108" s="135">
        <v>31</v>
      </c>
      <c r="C108" s="135" t="s">
        <v>258</v>
      </c>
      <c r="D108" s="135" t="s">
        <v>259</v>
      </c>
      <c r="E108" s="135" t="s">
        <v>260</v>
      </c>
      <c r="F108" s="135" t="s">
        <v>260</v>
      </c>
      <c r="G108" s="135" t="s">
        <v>261</v>
      </c>
      <c r="H108" s="135" t="s">
        <v>169</v>
      </c>
      <c r="I108" s="135" t="s">
        <v>262</v>
      </c>
      <c r="J108" s="159"/>
      <c r="K108" s="135" t="s">
        <v>263</v>
      </c>
      <c r="L108" s="135" t="s">
        <v>264</v>
      </c>
      <c r="M108" s="135" t="s">
        <v>265</v>
      </c>
      <c r="N108" s="159"/>
      <c r="O108" s="159"/>
      <c r="P108" s="135" t="s">
        <v>261</v>
      </c>
      <c r="Q108" s="135" t="s">
        <v>169</v>
      </c>
      <c r="R108" s="159"/>
      <c r="S108" s="159"/>
      <c r="T108" s="135" t="s">
        <v>263</v>
      </c>
      <c r="U108" s="135" t="s">
        <v>264</v>
      </c>
      <c r="V108" s="135" t="s">
        <v>265</v>
      </c>
      <c r="W108" s="135" t="s">
        <v>266</v>
      </c>
      <c r="X108" s="135" t="s">
        <v>267</v>
      </c>
      <c r="Y108" s="135" t="s">
        <v>268</v>
      </c>
      <c r="Z108" s="159"/>
      <c r="AA108" s="159"/>
      <c r="AB108" s="159"/>
      <c r="AC108" s="135" t="s">
        <v>269</v>
      </c>
      <c r="AD108" s="68" t="s">
        <v>34</v>
      </c>
      <c r="AE108" s="176"/>
      <c r="AF108" s="91" t="str">
        <f t="shared" si="2"/>
        <v>S</v>
      </c>
      <c r="AG108" s="91" cm="1">
        <f t="array" ref="AG108">_xlfn.SWITCH(D108,"PTA12",2,"PTD1",2,"PTD0",3,"PTC16",1,"PTD5",1,"PTA5",2,"PTD6",2,"PTE8",2,(LEN(N108)+LEN(N108)-LEN(SUBSTITUTE(N108,"ADC",))-LEN(SUBSTITUTE(N108,"CMP",)))/3)</f>
        <v>0</v>
      </c>
      <c r="AH108" s="180" t="str">
        <f t="shared" si="3"/>
        <v>ILKG_33/50_S0</v>
      </c>
    </row>
    <row r="109" spans="1:34" x14ac:dyDescent="0.3">
      <c r="A109" s="219"/>
      <c r="B109" s="159"/>
      <c r="C109" s="135" t="s">
        <v>1117</v>
      </c>
      <c r="D109" s="135" t="s">
        <v>1118</v>
      </c>
      <c r="E109" s="135" t="s">
        <v>1119</v>
      </c>
      <c r="F109" s="135" t="s">
        <v>1119</v>
      </c>
      <c r="G109" s="135" t="s">
        <v>501</v>
      </c>
      <c r="H109" s="135" t="s">
        <v>290</v>
      </c>
      <c r="I109" s="135" t="s">
        <v>79</v>
      </c>
      <c r="J109" s="159"/>
      <c r="K109" s="159"/>
      <c r="L109" s="159"/>
      <c r="M109" s="159"/>
      <c r="N109" s="159"/>
      <c r="O109" s="159"/>
      <c r="P109" s="159"/>
      <c r="Q109" s="135" t="s">
        <v>290</v>
      </c>
      <c r="R109" s="135" t="s">
        <v>79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35" t="s">
        <v>1120</v>
      </c>
      <c r="AD109" s="68" t="s">
        <v>231</v>
      </c>
      <c r="AE109" s="176"/>
      <c r="AF109" s="91" t="str">
        <f t="shared" si="2"/>
        <v>SP</v>
      </c>
      <c r="AG109" s="91" cm="1">
        <f t="array" ref="AG109">_xlfn.SWITCH(D109,"PTA12",2,"PTD1",2,"PTD0",3,"PTC16",1,"PTD5",1,"PTA5",2,"PTD6",2,"PTE8",2,(LEN(N109)+LEN(N109)-LEN(SUBSTITUTE(N109,"ADC",))-LEN(SUBSTITUTE(N109,"CMP",)))/3)</f>
        <v>0</v>
      </c>
      <c r="AH109" s="180" t="str">
        <f t="shared" si="3"/>
        <v>ILKG_33/50_SP0</v>
      </c>
    </row>
    <row r="110" spans="1:34" x14ac:dyDescent="0.3">
      <c r="A110" s="219"/>
      <c r="B110" s="159"/>
      <c r="C110" s="135" t="s">
        <v>1121</v>
      </c>
      <c r="D110" s="135" t="s">
        <v>1122</v>
      </c>
      <c r="E110" s="135" t="s">
        <v>1123</v>
      </c>
      <c r="F110" s="135" t="s">
        <v>1123</v>
      </c>
      <c r="G110" s="159"/>
      <c r="H110" s="135" t="s">
        <v>28</v>
      </c>
      <c r="I110" s="135" t="s">
        <v>65</v>
      </c>
      <c r="J110" s="159"/>
      <c r="K110" s="159"/>
      <c r="L110" s="159"/>
      <c r="M110" s="159"/>
      <c r="N110" s="159"/>
      <c r="O110" s="159"/>
      <c r="P110" s="159"/>
      <c r="Q110" s="135" t="s">
        <v>28</v>
      </c>
      <c r="R110" s="135" t="s">
        <v>65</v>
      </c>
      <c r="S110" s="159"/>
      <c r="T110" s="159"/>
      <c r="U110" s="159"/>
      <c r="V110" s="159"/>
      <c r="W110" s="135" t="s">
        <v>512</v>
      </c>
      <c r="X110" s="159"/>
      <c r="Y110" s="159"/>
      <c r="Z110" s="159"/>
      <c r="AA110" s="159"/>
      <c r="AB110" s="159"/>
      <c r="AC110" s="135" t="s">
        <v>1124</v>
      </c>
      <c r="AD110" s="68" t="s">
        <v>34</v>
      </c>
      <c r="AE110" s="176"/>
      <c r="AF110" s="91" t="str">
        <f t="shared" si="2"/>
        <v>S</v>
      </c>
      <c r="AG110" s="91" cm="1">
        <f t="array" ref="AG110">_xlfn.SWITCH(D110,"PTA12",2,"PTD1",2,"PTD0",3,"PTC16",1,"PTD5",1,"PTA5",2,"PTD6",2,"PTE8",2,(LEN(N110)+LEN(N110)-LEN(SUBSTITUTE(N110,"ADC",))-LEN(SUBSTITUTE(N110,"CMP",)))/3)</f>
        <v>0</v>
      </c>
      <c r="AH110" s="180" t="str">
        <f t="shared" si="3"/>
        <v>ILKG_33/50_S0</v>
      </c>
    </row>
    <row r="111" spans="1:34" x14ac:dyDescent="0.3">
      <c r="A111" s="218">
        <v>71</v>
      </c>
      <c r="B111" s="135">
        <v>121</v>
      </c>
      <c r="C111" s="135" t="s">
        <v>855</v>
      </c>
      <c r="D111" s="135" t="s">
        <v>856</v>
      </c>
      <c r="E111" s="135" t="s">
        <v>857</v>
      </c>
      <c r="F111" s="135" t="s">
        <v>857</v>
      </c>
      <c r="G111" s="135" t="s">
        <v>858</v>
      </c>
      <c r="H111" s="135" t="s">
        <v>565</v>
      </c>
      <c r="I111" s="135" t="s">
        <v>27</v>
      </c>
      <c r="J111" s="135" t="s">
        <v>142</v>
      </c>
      <c r="K111" s="135" t="s">
        <v>171</v>
      </c>
      <c r="L111" s="135" t="s">
        <v>61</v>
      </c>
      <c r="M111" s="135" t="s">
        <v>311</v>
      </c>
      <c r="N111" s="135" t="s">
        <v>859</v>
      </c>
      <c r="O111" s="159"/>
      <c r="P111" s="159"/>
      <c r="Q111" s="135" t="s">
        <v>565</v>
      </c>
      <c r="R111" s="135" t="s">
        <v>27</v>
      </c>
      <c r="S111" s="135" t="s">
        <v>142</v>
      </c>
      <c r="T111" s="135" t="s">
        <v>171</v>
      </c>
      <c r="U111" s="135" t="s">
        <v>61</v>
      </c>
      <c r="V111" s="135" t="s">
        <v>311</v>
      </c>
      <c r="W111" s="135" t="s">
        <v>133</v>
      </c>
      <c r="X111" s="135" t="s">
        <v>860</v>
      </c>
      <c r="Y111" s="159"/>
      <c r="Z111" s="159"/>
      <c r="AA111" s="159"/>
      <c r="AB111" s="159"/>
      <c r="AC111" s="135" t="s">
        <v>861</v>
      </c>
      <c r="AD111" s="68" t="s">
        <v>34</v>
      </c>
      <c r="AE111" s="175" t="s">
        <v>122</v>
      </c>
      <c r="AF111" s="91" t="str">
        <f t="shared" si="2"/>
        <v>S</v>
      </c>
      <c r="AG111" s="91" cm="1">
        <f t="array" ref="AG111">_xlfn.SWITCH(D111,"PTA12",2,"PTD1",2,"PTD0",3,"PTC16",1,"PTD5",1,"PTA5",2,"PTD6",2,"PTE8",2,(LEN(N111)+LEN(N111)-LEN(SUBSTITUTE(N111,"ADC",))-LEN(SUBSTITUTE(N111,"CMP",)))/3)</f>
        <v>1</v>
      </c>
      <c r="AH111" s="180" t="str">
        <f t="shared" si="3"/>
        <v>ILKG_33/50_S1</v>
      </c>
    </row>
    <row r="112" spans="1:34" x14ac:dyDescent="0.3">
      <c r="A112" s="219"/>
      <c r="B112" s="135">
        <v>111</v>
      </c>
      <c r="C112" s="135" t="s">
        <v>793</v>
      </c>
      <c r="D112" s="135" t="s">
        <v>794</v>
      </c>
      <c r="E112" s="135" t="s">
        <v>795</v>
      </c>
      <c r="F112" s="135" t="s">
        <v>795</v>
      </c>
      <c r="G112" s="159"/>
      <c r="H112" s="135" t="s">
        <v>371</v>
      </c>
      <c r="I112" s="135" t="s">
        <v>796</v>
      </c>
      <c r="J112" s="135" t="s">
        <v>29</v>
      </c>
      <c r="K112" s="135" t="s">
        <v>797</v>
      </c>
      <c r="L112" s="135" t="s">
        <v>138</v>
      </c>
      <c r="M112" s="159"/>
      <c r="N112" s="135" t="s">
        <v>798</v>
      </c>
      <c r="O112" s="159"/>
      <c r="P112" s="159"/>
      <c r="Q112" s="135" t="s">
        <v>371</v>
      </c>
      <c r="R112" s="135" t="s">
        <v>796</v>
      </c>
      <c r="S112" s="135" t="s">
        <v>29</v>
      </c>
      <c r="T112" s="135" t="s">
        <v>797</v>
      </c>
      <c r="U112" s="135" t="s">
        <v>138</v>
      </c>
      <c r="V112" s="159"/>
      <c r="W112" s="135" t="s">
        <v>488</v>
      </c>
      <c r="X112" s="159"/>
      <c r="Y112" s="159"/>
      <c r="Z112" s="159"/>
      <c r="AA112" s="159"/>
      <c r="AB112" s="159"/>
      <c r="AC112" s="135" t="s">
        <v>799</v>
      </c>
      <c r="AD112" s="68" t="s">
        <v>34</v>
      </c>
      <c r="AE112" s="175" t="s">
        <v>122</v>
      </c>
      <c r="AF112" s="91" t="str">
        <f t="shared" si="2"/>
        <v>S</v>
      </c>
      <c r="AG112" s="91" cm="1">
        <f t="array" ref="AG112">_xlfn.SWITCH(D112,"PTA12",2,"PTD1",2,"PTD0",3,"PTC16",1,"PTD5",1,"PTA5",2,"PTD6",2,"PTE8",2,(LEN(N112)+LEN(N112)-LEN(SUBSTITUTE(N112,"ADC",))-LEN(SUBSTITUTE(N112,"CMP",)))/3)</f>
        <v>1</v>
      </c>
      <c r="AH112" s="180" t="str">
        <f t="shared" si="3"/>
        <v>ILKG_33/50_S1</v>
      </c>
    </row>
    <row r="113" spans="1:34" x14ac:dyDescent="0.3">
      <c r="A113" s="219"/>
      <c r="B113" s="135">
        <v>115</v>
      </c>
      <c r="C113" s="135" t="s">
        <v>816</v>
      </c>
      <c r="D113" s="135" t="s">
        <v>817</v>
      </c>
      <c r="E113" s="135" t="s">
        <v>818</v>
      </c>
      <c r="F113" s="135" t="s">
        <v>818</v>
      </c>
      <c r="G113" s="159"/>
      <c r="H113" s="135" t="s">
        <v>519</v>
      </c>
      <c r="I113" s="135" t="s">
        <v>819</v>
      </c>
      <c r="J113" s="135" t="s">
        <v>187</v>
      </c>
      <c r="K113" s="135" t="s">
        <v>820</v>
      </c>
      <c r="L113" s="159"/>
      <c r="M113" s="159"/>
      <c r="N113" s="135" t="s">
        <v>821</v>
      </c>
      <c r="O113" s="159"/>
      <c r="P113" s="159"/>
      <c r="Q113" s="135" t="s">
        <v>519</v>
      </c>
      <c r="R113" s="135" t="s">
        <v>819</v>
      </c>
      <c r="S113" s="135" t="s">
        <v>187</v>
      </c>
      <c r="T113" s="159"/>
      <c r="U113" s="159"/>
      <c r="V113" s="159"/>
      <c r="W113" s="135" t="s">
        <v>463</v>
      </c>
      <c r="X113" s="159"/>
      <c r="Y113" s="159"/>
      <c r="Z113" s="159"/>
      <c r="AA113" s="159"/>
      <c r="AB113" s="159"/>
      <c r="AC113" s="135" t="s">
        <v>822</v>
      </c>
      <c r="AD113" s="68" t="s">
        <v>34</v>
      </c>
      <c r="AE113" s="175" t="s">
        <v>35</v>
      </c>
      <c r="AF113" s="91" t="str">
        <f t="shared" si="2"/>
        <v>S</v>
      </c>
      <c r="AG113" s="91" cm="1">
        <f t="array" ref="AG113">_xlfn.SWITCH(D113,"PTA12",2,"PTD1",2,"PTD0",3,"PTC16",1,"PTD5",1,"PTA5",2,"PTD6",2,"PTE8",2,(LEN(N113)+LEN(N113)-LEN(SUBSTITUTE(N113,"ADC",))-LEN(SUBSTITUTE(N113,"CMP",)))/3)</f>
        <v>1</v>
      </c>
      <c r="AH113" s="180" t="str">
        <f t="shared" si="3"/>
        <v>ILKG_33/50_S1</v>
      </c>
    </row>
    <row r="114" spans="1:34" x14ac:dyDescent="0.3">
      <c r="A114" s="219"/>
      <c r="B114" s="135">
        <v>118</v>
      </c>
      <c r="C114" s="135" t="s">
        <v>835</v>
      </c>
      <c r="D114" s="135" t="s">
        <v>836</v>
      </c>
      <c r="E114" s="135" t="s">
        <v>837</v>
      </c>
      <c r="F114" s="135" t="s">
        <v>837</v>
      </c>
      <c r="G114" s="159"/>
      <c r="H114" s="135" t="s">
        <v>537</v>
      </c>
      <c r="I114" s="135" t="s">
        <v>838</v>
      </c>
      <c r="J114" s="135" t="s">
        <v>572</v>
      </c>
      <c r="K114" s="159"/>
      <c r="L114" s="135" t="s">
        <v>839</v>
      </c>
      <c r="M114" s="159"/>
      <c r="N114" s="135" t="s">
        <v>840</v>
      </c>
      <c r="O114" s="159"/>
      <c r="P114" s="159"/>
      <c r="Q114" s="135" t="s">
        <v>537</v>
      </c>
      <c r="R114" s="135" t="s">
        <v>838</v>
      </c>
      <c r="S114" s="135" t="s">
        <v>572</v>
      </c>
      <c r="T114" s="159"/>
      <c r="U114" s="159"/>
      <c r="V114" s="159"/>
      <c r="W114" s="135" t="s">
        <v>456</v>
      </c>
      <c r="X114" s="159"/>
      <c r="Y114" s="159"/>
      <c r="Z114" s="159"/>
      <c r="AA114" s="159"/>
      <c r="AB114" s="159"/>
      <c r="AC114" s="135" t="s">
        <v>841</v>
      </c>
      <c r="AD114" s="68" t="s">
        <v>34</v>
      </c>
      <c r="AE114" s="175" t="s">
        <v>35</v>
      </c>
      <c r="AF114" s="91" t="str">
        <f t="shared" si="2"/>
        <v>S</v>
      </c>
      <c r="AG114" s="91" cm="1">
        <f t="array" ref="AG114">_xlfn.SWITCH(D114,"PTA12",2,"PTD1",2,"PTD0",3,"PTC16",1,"PTD5",1,"PTA5",2,"PTD6",2,"PTE8",2,(LEN(N114)+LEN(N114)-LEN(SUBSTITUTE(N114,"ADC",))-LEN(SUBSTITUTE(N114,"CMP",)))/3)</f>
        <v>1</v>
      </c>
      <c r="AH114" s="180" t="str">
        <f t="shared" si="3"/>
        <v>ILKG_33/50_S1</v>
      </c>
    </row>
    <row r="115" spans="1:34" x14ac:dyDescent="0.3">
      <c r="A115" s="219"/>
      <c r="B115" s="135">
        <v>122</v>
      </c>
      <c r="C115" s="135" t="s">
        <v>862</v>
      </c>
      <c r="D115" s="135" t="s">
        <v>863</v>
      </c>
      <c r="E115" s="135" t="s">
        <v>864</v>
      </c>
      <c r="F115" s="135" t="s">
        <v>864</v>
      </c>
      <c r="G115" s="159"/>
      <c r="H115" s="135" t="s">
        <v>548</v>
      </c>
      <c r="I115" s="135" t="s">
        <v>865</v>
      </c>
      <c r="J115" s="135" t="s">
        <v>592</v>
      </c>
      <c r="K115" s="135" t="s">
        <v>724</v>
      </c>
      <c r="L115" s="135" t="s">
        <v>866</v>
      </c>
      <c r="M115" s="159"/>
      <c r="N115" s="135" t="s">
        <v>867</v>
      </c>
      <c r="O115" s="159"/>
      <c r="P115" s="159"/>
      <c r="Q115" s="135" t="s">
        <v>548</v>
      </c>
      <c r="R115" s="135" t="s">
        <v>865</v>
      </c>
      <c r="S115" s="135" t="s">
        <v>592</v>
      </c>
      <c r="T115" s="159"/>
      <c r="U115" s="159"/>
      <c r="V115" s="159"/>
      <c r="W115" s="135" t="s">
        <v>448</v>
      </c>
      <c r="X115" s="159"/>
      <c r="Y115" s="159"/>
      <c r="Z115" s="159"/>
      <c r="AA115" s="159"/>
      <c r="AB115" s="159"/>
      <c r="AC115" s="135" t="s">
        <v>868</v>
      </c>
      <c r="AD115" s="68" t="s">
        <v>34</v>
      </c>
      <c r="AE115" s="175" t="s">
        <v>869</v>
      </c>
      <c r="AF115" s="91" t="str">
        <f t="shared" si="2"/>
        <v>S</v>
      </c>
      <c r="AG115" s="91" cm="1">
        <f t="array" ref="AG115">_xlfn.SWITCH(D115,"PTA12",2,"PTD1",2,"PTD0",3,"PTC16",1,"PTD5",1,"PTA5",2,"PTD6",2,"PTE8",2,(LEN(N115)+LEN(N115)-LEN(SUBSTITUTE(N115,"ADC",))-LEN(SUBSTITUTE(N115,"CMP",)))/3)</f>
        <v>1</v>
      </c>
      <c r="AH115" s="180" t="str">
        <f t="shared" si="3"/>
        <v>ILKG_33/50_S1</v>
      </c>
    </row>
    <row r="116" spans="1:34" x14ac:dyDescent="0.3">
      <c r="A116" s="219"/>
      <c r="B116" s="135">
        <v>125</v>
      </c>
      <c r="C116" s="135" t="s">
        <v>881</v>
      </c>
      <c r="D116" s="135" t="s">
        <v>882</v>
      </c>
      <c r="E116" s="135" t="s">
        <v>883</v>
      </c>
      <c r="F116" s="135" t="s">
        <v>883</v>
      </c>
      <c r="G116" s="159"/>
      <c r="H116" s="135" t="s">
        <v>565</v>
      </c>
      <c r="I116" s="135" t="s">
        <v>884</v>
      </c>
      <c r="J116" s="159"/>
      <c r="K116" s="159"/>
      <c r="L116" s="135" t="s">
        <v>885</v>
      </c>
      <c r="M116" s="159"/>
      <c r="N116" s="135" t="s">
        <v>886</v>
      </c>
      <c r="O116" s="159"/>
      <c r="P116" s="159"/>
      <c r="Q116" s="135" t="s">
        <v>565</v>
      </c>
      <c r="R116" s="135" t="s">
        <v>884</v>
      </c>
      <c r="S116" s="159"/>
      <c r="T116" s="159"/>
      <c r="U116" s="159"/>
      <c r="V116" s="159"/>
      <c r="W116" s="135" t="s">
        <v>344</v>
      </c>
      <c r="X116" s="135" t="s">
        <v>717</v>
      </c>
      <c r="Y116" s="159"/>
      <c r="Z116" s="159"/>
      <c r="AA116" s="159"/>
      <c r="AB116" s="159"/>
      <c r="AC116" s="135" t="s">
        <v>887</v>
      </c>
      <c r="AD116" s="68" t="s">
        <v>34</v>
      </c>
      <c r="AE116" s="175" t="s">
        <v>875</v>
      </c>
      <c r="AF116" s="91" t="str">
        <f t="shared" si="2"/>
        <v>S</v>
      </c>
      <c r="AG116" s="91" cm="1">
        <f t="array" ref="AG116">_xlfn.SWITCH(D116,"PTA12",2,"PTD1",2,"PTD0",3,"PTC16",1,"PTD5",1,"PTA5",2,"PTD6",2,"PTE8",2,(LEN(N116)+LEN(N116)-LEN(SUBSTITUTE(N116,"ADC",))-LEN(SUBSTITUTE(N116,"CMP",)))/3)</f>
        <v>1</v>
      </c>
      <c r="AH116" s="180" t="str">
        <f t="shared" si="3"/>
        <v>ILKG_33/50_S1</v>
      </c>
    </row>
    <row r="117" spans="1:34" x14ac:dyDescent="0.3">
      <c r="A117" s="219"/>
      <c r="B117" s="159"/>
      <c r="C117" s="135" t="s">
        <v>1125</v>
      </c>
      <c r="D117" s="135" t="s">
        <v>1126</v>
      </c>
      <c r="E117" s="135" t="s">
        <v>1127</v>
      </c>
      <c r="F117" s="135" t="s">
        <v>1127</v>
      </c>
      <c r="G117" s="159"/>
      <c r="H117" s="135" t="s">
        <v>571</v>
      </c>
      <c r="I117" s="159"/>
      <c r="J117" s="159"/>
      <c r="K117" s="159"/>
      <c r="L117" s="159"/>
      <c r="M117" s="159"/>
      <c r="N117" s="159"/>
      <c r="O117" s="159"/>
      <c r="P117" s="159"/>
      <c r="Q117" s="135" t="s">
        <v>571</v>
      </c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35" t="s">
        <v>1128</v>
      </c>
      <c r="AD117" s="68" t="s">
        <v>34</v>
      </c>
      <c r="AE117" s="176"/>
      <c r="AF117" s="91" t="str">
        <f t="shared" si="2"/>
        <v>S</v>
      </c>
      <c r="AG117" s="91" cm="1">
        <f t="array" ref="AG117">_xlfn.SWITCH(D117,"PTA12",2,"PTD1",2,"PTD0",3,"PTC16",1,"PTD5",1,"PTA5",2,"PTD6",2,"PTE8",2,(LEN(N117)+LEN(N117)-LEN(SUBSTITUTE(N117,"ADC",))-LEN(SUBSTITUTE(N117,"CMP",)))/3)</f>
        <v>0</v>
      </c>
      <c r="AH117" s="180" t="str">
        <f t="shared" si="3"/>
        <v>ILKG_33/50_S0</v>
      </c>
    </row>
    <row r="118" spans="1:34" x14ac:dyDescent="0.3">
      <c r="A118" s="219"/>
      <c r="B118" s="135">
        <v>131</v>
      </c>
      <c r="C118" s="135" t="s">
        <v>908</v>
      </c>
      <c r="D118" s="135" t="s">
        <v>909</v>
      </c>
      <c r="E118" s="135" t="s">
        <v>910</v>
      </c>
      <c r="F118" s="135" t="s">
        <v>910</v>
      </c>
      <c r="G118" s="135" t="s">
        <v>364</v>
      </c>
      <c r="H118" s="135" t="s">
        <v>591</v>
      </c>
      <c r="I118" s="135" t="s">
        <v>158</v>
      </c>
      <c r="J118" s="135" t="s">
        <v>911</v>
      </c>
      <c r="K118" s="135" t="s">
        <v>912</v>
      </c>
      <c r="L118" s="135" t="s">
        <v>330</v>
      </c>
      <c r="M118" s="135" t="s">
        <v>851</v>
      </c>
      <c r="N118" s="135" t="s">
        <v>913</v>
      </c>
      <c r="O118" s="159"/>
      <c r="P118" s="135" t="s">
        <v>364</v>
      </c>
      <c r="Q118" s="135" t="s">
        <v>591</v>
      </c>
      <c r="R118" s="135" t="s">
        <v>158</v>
      </c>
      <c r="S118" s="135" t="s">
        <v>911</v>
      </c>
      <c r="T118" s="135" t="s">
        <v>912</v>
      </c>
      <c r="U118" s="135" t="s">
        <v>330</v>
      </c>
      <c r="V118" s="159"/>
      <c r="W118" s="159"/>
      <c r="X118" s="159"/>
      <c r="Y118" s="159"/>
      <c r="Z118" s="159"/>
      <c r="AA118" s="159"/>
      <c r="AB118" s="159"/>
      <c r="AC118" s="135" t="s">
        <v>914</v>
      </c>
      <c r="AD118" s="68" t="s">
        <v>34</v>
      </c>
      <c r="AE118" s="175" t="s">
        <v>869</v>
      </c>
      <c r="AF118" s="91" t="str">
        <f t="shared" si="2"/>
        <v>S</v>
      </c>
      <c r="AG118" s="91" cm="1">
        <f t="array" ref="AG118">_xlfn.SWITCH(D118,"PTA12",2,"PTD1",2,"PTD0",3,"PTC16",1,"PTD5",1,"PTA5",2,"PTD6",2,"PTE8",2,(LEN(N118)+LEN(N118)-LEN(SUBSTITUTE(N118,"ADC",))-LEN(SUBSTITUTE(N118,"CMP",)))/3)</f>
        <v>1</v>
      </c>
      <c r="AH118" s="180" t="str">
        <f t="shared" si="3"/>
        <v>ILKG_33/50_S1</v>
      </c>
    </row>
    <row r="119" spans="1:34" x14ac:dyDescent="0.3">
      <c r="A119" s="219"/>
      <c r="B119" s="135">
        <v>132</v>
      </c>
      <c r="C119" s="135" t="s">
        <v>915</v>
      </c>
      <c r="D119" s="135" t="s">
        <v>916</v>
      </c>
      <c r="E119" s="135" t="s">
        <v>917</v>
      </c>
      <c r="F119" s="135" t="s">
        <v>917</v>
      </c>
      <c r="G119" s="159"/>
      <c r="H119" s="159"/>
      <c r="I119" s="159"/>
      <c r="J119" s="135" t="s">
        <v>510</v>
      </c>
      <c r="K119" s="135" t="s">
        <v>918</v>
      </c>
      <c r="L119" s="135" t="s">
        <v>311</v>
      </c>
      <c r="M119" s="135" t="s">
        <v>858</v>
      </c>
      <c r="N119" s="135" t="s">
        <v>919</v>
      </c>
      <c r="O119" s="159"/>
      <c r="P119" s="159"/>
      <c r="Q119" s="159"/>
      <c r="R119" s="159"/>
      <c r="S119" s="135" t="s">
        <v>510</v>
      </c>
      <c r="T119" s="135" t="s">
        <v>918</v>
      </c>
      <c r="U119" s="135" t="s">
        <v>311</v>
      </c>
      <c r="V119" s="159"/>
      <c r="W119" s="135" t="s">
        <v>334</v>
      </c>
      <c r="X119" s="135" t="s">
        <v>375</v>
      </c>
      <c r="Y119" s="159"/>
      <c r="Z119" s="159"/>
      <c r="AA119" s="159"/>
      <c r="AB119" s="159"/>
      <c r="AC119" s="135" t="s">
        <v>920</v>
      </c>
      <c r="AD119" s="68" t="s">
        <v>34</v>
      </c>
      <c r="AE119" s="175" t="s">
        <v>875</v>
      </c>
      <c r="AF119" s="91" t="str">
        <f t="shared" si="2"/>
        <v>S</v>
      </c>
      <c r="AG119" s="91" cm="1">
        <f t="array" ref="AG119">_xlfn.SWITCH(D119,"PTA12",2,"PTD1",2,"PTD0",3,"PTC16",1,"PTD5",1,"PTA5",2,"PTD6",2,"PTE8",2,(LEN(N119)+LEN(N119)-LEN(SUBSTITUTE(N119,"ADC",))-LEN(SUBSTITUTE(N119,"CMP",)))/3)</f>
        <v>1</v>
      </c>
      <c r="AH119" s="180" t="str">
        <f t="shared" si="3"/>
        <v>ILKG_33/50_S1</v>
      </c>
    </row>
    <row r="120" spans="1:34" x14ac:dyDescent="0.3">
      <c r="A120" s="219"/>
      <c r="B120" s="135">
        <v>134</v>
      </c>
      <c r="C120" s="135" t="s">
        <v>927</v>
      </c>
      <c r="D120" s="135" t="s">
        <v>928</v>
      </c>
      <c r="E120" s="135" t="s">
        <v>929</v>
      </c>
      <c r="F120" s="135" t="s">
        <v>929</v>
      </c>
      <c r="G120" s="135" t="s">
        <v>564</v>
      </c>
      <c r="H120" s="159"/>
      <c r="I120" s="159"/>
      <c r="J120" s="135" t="s">
        <v>29</v>
      </c>
      <c r="K120" s="135" t="s">
        <v>832</v>
      </c>
      <c r="L120" s="135" t="s">
        <v>340</v>
      </c>
      <c r="M120" s="159"/>
      <c r="N120" s="135" t="s">
        <v>930</v>
      </c>
      <c r="O120" s="159"/>
      <c r="P120" s="135" t="s">
        <v>564</v>
      </c>
      <c r="Q120" s="159"/>
      <c r="R120" s="159"/>
      <c r="S120" s="135" t="s">
        <v>29</v>
      </c>
      <c r="T120" s="159"/>
      <c r="U120" s="135" t="s">
        <v>340</v>
      </c>
      <c r="V120" s="159"/>
      <c r="W120" s="135" t="s">
        <v>304</v>
      </c>
      <c r="X120" s="159"/>
      <c r="Y120" s="159"/>
      <c r="Z120" s="159"/>
      <c r="AA120" s="159"/>
      <c r="AB120" s="159"/>
      <c r="AC120" s="135" t="s">
        <v>931</v>
      </c>
      <c r="AD120" s="68" t="s">
        <v>34</v>
      </c>
      <c r="AE120" s="175" t="s">
        <v>875</v>
      </c>
      <c r="AF120" s="91" t="str">
        <f t="shared" si="2"/>
        <v>S</v>
      </c>
      <c r="AG120" s="91" cm="1">
        <f t="array" ref="AG120">_xlfn.SWITCH(D120,"PTA12",2,"PTD1",2,"PTD0",3,"PTC16",1,"PTD5",1,"PTA5",2,"PTD6",2,"PTE8",2,(LEN(N120)+LEN(N120)-LEN(SUBSTITUTE(N120,"ADC",))-LEN(SUBSTITUTE(N120,"CMP",)))/3)</f>
        <v>1</v>
      </c>
      <c r="AH120" s="180" t="str">
        <f t="shared" si="3"/>
        <v>ILKG_33/50_S1</v>
      </c>
    </row>
    <row r="121" spans="1:34" x14ac:dyDescent="0.3">
      <c r="A121" s="219"/>
      <c r="B121" s="135">
        <v>136</v>
      </c>
      <c r="C121" s="135" t="s">
        <v>939</v>
      </c>
      <c r="D121" s="135" t="s">
        <v>940</v>
      </c>
      <c r="E121" s="135" t="s">
        <v>941</v>
      </c>
      <c r="F121" s="135" t="s">
        <v>941</v>
      </c>
      <c r="G121" s="159"/>
      <c r="H121" s="159"/>
      <c r="I121" s="159"/>
      <c r="J121" s="135" t="s">
        <v>187</v>
      </c>
      <c r="K121" s="135" t="s">
        <v>826</v>
      </c>
      <c r="L121" s="135" t="s">
        <v>942</v>
      </c>
      <c r="M121" s="159"/>
      <c r="N121" s="135" t="s">
        <v>943</v>
      </c>
      <c r="O121" s="159"/>
      <c r="P121" s="159"/>
      <c r="Q121" s="159"/>
      <c r="R121" s="159"/>
      <c r="S121" s="135" t="s">
        <v>187</v>
      </c>
      <c r="T121" s="159"/>
      <c r="U121" s="135" t="s">
        <v>942</v>
      </c>
      <c r="V121" s="159"/>
      <c r="W121" s="135" t="s">
        <v>574</v>
      </c>
      <c r="X121" s="159"/>
      <c r="Y121" s="159"/>
      <c r="Z121" s="159"/>
      <c r="AA121" s="159"/>
      <c r="AB121" s="159"/>
      <c r="AC121" s="135" t="s">
        <v>944</v>
      </c>
      <c r="AD121" s="68" t="s">
        <v>34</v>
      </c>
      <c r="AE121" s="175" t="s">
        <v>875</v>
      </c>
      <c r="AF121" s="91" t="str">
        <f t="shared" si="2"/>
        <v>S</v>
      </c>
      <c r="AG121" s="91" cm="1">
        <f t="array" ref="AG121">_xlfn.SWITCH(D121,"PTA12",2,"PTD1",2,"PTD0",3,"PTC16",1,"PTD5",1,"PTA5",2,"PTD6",2,"PTE8",2,(LEN(N121)+LEN(N121)-LEN(SUBSTITUTE(N121,"ADC",))-LEN(SUBSTITUTE(N121,"CMP",)))/3)</f>
        <v>1</v>
      </c>
      <c r="AH121" s="180" t="str">
        <f t="shared" si="3"/>
        <v>ILKG_33/50_S1</v>
      </c>
    </row>
    <row r="122" spans="1:34" x14ac:dyDescent="0.3">
      <c r="A122" s="218">
        <v>70</v>
      </c>
      <c r="B122" s="135">
        <v>120</v>
      </c>
      <c r="C122" s="135" t="s">
        <v>848</v>
      </c>
      <c r="D122" s="135" t="s">
        <v>849</v>
      </c>
      <c r="E122" s="135" t="s">
        <v>850</v>
      </c>
      <c r="F122" s="135" t="s">
        <v>850</v>
      </c>
      <c r="G122" s="159"/>
      <c r="H122" s="135" t="s">
        <v>571</v>
      </c>
      <c r="I122" s="135" t="s">
        <v>93</v>
      </c>
      <c r="J122" s="135" t="s">
        <v>130</v>
      </c>
      <c r="K122" s="135" t="s">
        <v>158</v>
      </c>
      <c r="L122" s="135" t="s">
        <v>851</v>
      </c>
      <c r="M122" s="159"/>
      <c r="N122" s="135" t="s">
        <v>852</v>
      </c>
      <c r="O122" s="159"/>
      <c r="P122" s="159"/>
      <c r="Q122" s="135" t="s">
        <v>571</v>
      </c>
      <c r="R122" s="135" t="s">
        <v>93</v>
      </c>
      <c r="S122" s="135" t="s">
        <v>130</v>
      </c>
      <c r="T122" s="135" t="s">
        <v>158</v>
      </c>
      <c r="U122" s="159"/>
      <c r="V122" s="159"/>
      <c r="W122" s="135" t="s">
        <v>247</v>
      </c>
      <c r="X122" s="135" t="s">
        <v>85</v>
      </c>
      <c r="Y122" s="135" t="s">
        <v>853</v>
      </c>
      <c r="Z122" s="159"/>
      <c r="AA122" s="159"/>
      <c r="AB122" s="159"/>
      <c r="AC122" s="135" t="s">
        <v>854</v>
      </c>
      <c r="AD122" s="68" t="s">
        <v>34</v>
      </c>
      <c r="AE122" s="175" t="s">
        <v>71</v>
      </c>
      <c r="AF122" s="91" t="str">
        <f t="shared" si="2"/>
        <v>S</v>
      </c>
      <c r="AG122" s="91" cm="1">
        <f t="array" ref="AG122">_xlfn.SWITCH(D122,"PTA12",2,"PTD1",2,"PTD0",3,"PTC16",1,"PTD5",1,"PTA5",2,"PTD6",2,"PTE8",2,(LEN(N122)+LEN(N122)-LEN(SUBSTITUTE(N122,"ADC",))-LEN(SUBSTITUTE(N122,"CMP",)))/3)</f>
        <v>1</v>
      </c>
      <c r="AH122" s="180" t="str">
        <f t="shared" si="3"/>
        <v>ILKG_33/50_S1</v>
      </c>
    </row>
    <row r="123" spans="1:34" x14ac:dyDescent="0.3">
      <c r="A123" s="219"/>
      <c r="B123" s="135">
        <v>138</v>
      </c>
      <c r="C123" s="135" t="s">
        <v>953</v>
      </c>
      <c r="D123" s="135" t="s">
        <v>954</v>
      </c>
      <c r="E123" s="135" t="s">
        <v>955</v>
      </c>
      <c r="F123" s="135" t="s">
        <v>955</v>
      </c>
      <c r="G123" s="159"/>
      <c r="H123" s="159"/>
      <c r="I123" s="159"/>
      <c r="J123" s="135" t="s">
        <v>365</v>
      </c>
      <c r="K123" s="135" t="s">
        <v>891</v>
      </c>
      <c r="L123" s="135" t="s">
        <v>956</v>
      </c>
      <c r="M123" s="159"/>
      <c r="N123" s="135" t="s">
        <v>957</v>
      </c>
      <c r="O123" s="159"/>
      <c r="P123" s="159"/>
      <c r="Q123" s="159"/>
      <c r="R123" s="159"/>
      <c r="S123" s="135" t="s">
        <v>365</v>
      </c>
      <c r="T123" s="159"/>
      <c r="U123" s="135" t="s">
        <v>956</v>
      </c>
      <c r="V123" s="159"/>
      <c r="W123" s="159"/>
      <c r="X123" s="159"/>
      <c r="Y123" s="159"/>
      <c r="Z123" s="159"/>
      <c r="AA123" s="159"/>
      <c r="AB123" s="159"/>
      <c r="AC123" s="135" t="s">
        <v>958</v>
      </c>
      <c r="AD123" s="68" t="s">
        <v>34</v>
      </c>
      <c r="AE123" s="175" t="s">
        <v>869</v>
      </c>
      <c r="AF123" s="91" t="str">
        <f t="shared" si="2"/>
        <v>S</v>
      </c>
      <c r="AG123" s="91" cm="1">
        <f t="array" ref="AG123">_xlfn.SWITCH(D123,"PTA12",2,"PTD1",2,"PTD0",3,"PTC16",1,"PTD5",1,"PTA5",2,"PTD6",2,"PTE8",2,(LEN(N123)+LEN(N123)-LEN(SUBSTITUTE(N123,"ADC",))-LEN(SUBSTITUTE(N123,"CMP",)))/3)</f>
        <v>1</v>
      </c>
      <c r="AH123" s="180" t="str">
        <f t="shared" si="3"/>
        <v>ILKG_33/50_S1</v>
      </c>
    </row>
    <row r="124" spans="1:34" x14ac:dyDescent="0.3">
      <c r="A124" s="219"/>
      <c r="B124" s="135">
        <v>139</v>
      </c>
      <c r="C124" s="135" t="s">
        <v>959</v>
      </c>
      <c r="D124" s="135" t="s">
        <v>960</v>
      </c>
      <c r="E124" s="135" t="s">
        <v>961</v>
      </c>
      <c r="F124" s="135" t="s">
        <v>961</v>
      </c>
      <c r="G124" s="159"/>
      <c r="H124" s="159"/>
      <c r="I124" s="135" t="s">
        <v>171</v>
      </c>
      <c r="J124" s="135" t="s">
        <v>572</v>
      </c>
      <c r="K124" s="135" t="s">
        <v>900</v>
      </c>
      <c r="L124" s="159"/>
      <c r="M124" s="159"/>
      <c r="N124" s="135" t="s">
        <v>962</v>
      </c>
      <c r="O124" s="159"/>
      <c r="P124" s="159"/>
      <c r="Q124" s="159"/>
      <c r="R124" s="135" t="s">
        <v>171</v>
      </c>
      <c r="S124" s="135" t="s">
        <v>572</v>
      </c>
      <c r="T124" s="159"/>
      <c r="U124" s="159"/>
      <c r="V124" s="159"/>
      <c r="W124" s="159"/>
      <c r="X124" s="159"/>
      <c r="Y124" s="159"/>
      <c r="Z124" s="159"/>
      <c r="AA124" s="159"/>
      <c r="AB124" s="159"/>
      <c r="AC124" s="135" t="s">
        <v>963</v>
      </c>
      <c r="AD124" s="68" t="s">
        <v>34</v>
      </c>
      <c r="AE124" s="175" t="s">
        <v>869</v>
      </c>
      <c r="AF124" s="91" t="str">
        <f t="shared" si="2"/>
        <v>S</v>
      </c>
      <c r="AG124" s="91" cm="1">
        <f t="array" ref="AG124">_xlfn.SWITCH(D124,"PTA12",2,"PTD1",2,"PTD0",3,"PTC16",1,"PTD5",1,"PTA5",2,"PTD6",2,"PTE8",2,(LEN(N124)+LEN(N124)-LEN(SUBSTITUTE(N124,"ADC",))-LEN(SUBSTITUTE(N124,"CMP",)))/3)</f>
        <v>1</v>
      </c>
      <c r="AH124" s="180" t="str">
        <f t="shared" si="3"/>
        <v>ILKG_33/50_S1</v>
      </c>
    </row>
    <row r="125" spans="1:34" x14ac:dyDescent="0.3">
      <c r="A125" s="218">
        <v>69</v>
      </c>
      <c r="B125" s="135">
        <v>119</v>
      </c>
      <c r="C125" s="135" t="s">
        <v>842</v>
      </c>
      <c r="D125" s="135" t="s">
        <v>843</v>
      </c>
      <c r="E125" s="135" t="s">
        <v>844</v>
      </c>
      <c r="F125" s="135" t="s">
        <v>844</v>
      </c>
      <c r="G125" s="159"/>
      <c r="H125" s="135" t="s">
        <v>591</v>
      </c>
      <c r="I125" s="135" t="s">
        <v>167</v>
      </c>
      <c r="J125" s="159"/>
      <c r="K125" s="135" t="s">
        <v>845</v>
      </c>
      <c r="L125" s="159"/>
      <c r="M125" s="135" t="s">
        <v>261</v>
      </c>
      <c r="N125" s="135" t="s">
        <v>846</v>
      </c>
      <c r="O125" s="159"/>
      <c r="P125" s="159"/>
      <c r="Q125" s="135" t="s">
        <v>591</v>
      </c>
      <c r="R125" s="135" t="s">
        <v>167</v>
      </c>
      <c r="S125" s="159"/>
      <c r="T125" s="159"/>
      <c r="U125" s="159"/>
      <c r="V125" s="135" t="s">
        <v>261</v>
      </c>
      <c r="W125" s="135" t="s">
        <v>152</v>
      </c>
      <c r="X125" s="159"/>
      <c r="Y125" s="159"/>
      <c r="Z125" s="159"/>
      <c r="AA125" s="159"/>
      <c r="AB125" s="159"/>
      <c r="AC125" s="135" t="s">
        <v>847</v>
      </c>
      <c r="AD125" s="68" t="s">
        <v>34</v>
      </c>
      <c r="AE125" s="175" t="s">
        <v>122</v>
      </c>
      <c r="AF125" s="91" t="str">
        <f t="shared" si="2"/>
        <v>S</v>
      </c>
      <c r="AG125" s="91" cm="1">
        <f t="array" ref="AG125">_xlfn.SWITCH(D125,"PTA12",2,"PTD1",2,"PTD0",3,"PTC16",1,"PTD5",1,"PTA5",2,"PTD6",2,"PTE8",2,(LEN(N125)+LEN(N125)-LEN(SUBSTITUTE(N125,"ADC",))-LEN(SUBSTITUTE(N125,"CMP",)))/3)</f>
        <v>1</v>
      </c>
      <c r="AH125" s="180" t="str">
        <f t="shared" si="3"/>
        <v>ILKG_33/50_S1</v>
      </c>
    </row>
    <row r="126" spans="1:34" x14ac:dyDescent="0.3">
      <c r="A126" s="218">
        <v>33</v>
      </c>
      <c r="B126" s="135">
        <v>53</v>
      </c>
      <c r="C126" s="135" t="s">
        <v>436</v>
      </c>
      <c r="D126" s="135" t="s">
        <v>437</v>
      </c>
      <c r="E126" s="135" t="s">
        <v>438</v>
      </c>
      <c r="F126" s="135" t="s">
        <v>438</v>
      </c>
      <c r="G126" s="135" t="s">
        <v>431</v>
      </c>
      <c r="H126" s="135" t="s">
        <v>157</v>
      </c>
      <c r="I126" s="135" t="s">
        <v>114</v>
      </c>
      <c r="J126" s="159"/>
      <c r="K126" s="135" t="s">
        <v>430</v>
      </c>
      <c r="L126" s="135" t="s">
        <v>439</v>
      </c>
      <c r="M126" s="135" t="s">
        <v>324</v>
      </c>
      <c r="N126" s="159"/>
      <c r="O126" s="159"/>
      <c r="P126" s="159"/>
      <c r="Q126" s="135" t="s">
        <v>157</v>
      </c>
      <c r="R126" s="135" t="s">
        <v>114</v>
      </c>
      <c r="S126" s="159"/>
      <c r="T126" s="159"/>
      <c r="U126" s="135" t="s">
        <v>439</v>
      </c>
      <c r="V126" s="135" t="s">
        <v>324</v>
      </c>
      <c r="W126" s="135" t="s">
        <v>220</v>
      </c>
      <c r="X126" s="135" t="s">
        <v>440</v>
      </c>
      <c r="Y126" s="135" t="s">
        <v>441</v>
      </c>
      <c r="Z126" s="159"/>
      <c r="AA126" s="159"/>
      <c r="AB126" s="159"/>
      <c r="AC126" s="135" t="s">
        <v>442</v>
      </c>
      <c r="AD126" s="68" t="s">
        <v>387</v>
      </c>
      <c r="AE126" s="176"/>
      <c r="AF126" s="91" t="str">
        <f t="shared" si="2"/>
        <v>M</v>
      </c>
      <c r="AG126" s="91" cm="1">
        <f t="array" ref="AG126">_xlfn.SWITCH(D126,"PTA12",2,"PTD1",2,"PTD0",3,"PTC16",1,"PTD5",1,"PTA5",2,"PTD6",2,"PTE8",2,(LEN(N126)+LEN(N126)-LEN(SUBSTITUTE(N126,"ADC",))-LEN(SUBSTITUTE(N126,"CMP",)))/3)</f>
        <v>1</v>
      </c>
      <c r="AH126" s="180" t="str">
        <f t="shared" si="3"/>
        <v>ILKG_33/50_M1</v>
      </c>
    </row>
    <row r="127" spans="1:34" x14ac:dyDescent="0.3">
      <c r="A127" s="218">
        <v>32</v>
      </c>
      <c r="B127" s="135">
        <v>52</v>
      </c>
      <c r="C127" s="135" t="s">
        <v>427</v>
      </c>
      <c r="D127" s="135" t="s">
        <v>428</v>
      </c>
      <c r="E127" s="135" t="s">
        <v>429</v>
      </c>
      <c r="F127" s="135" t="s">
        <v>429</v>
      </c>
      <c r="G127" s="135" t="s">
        <v>430</v>
      </c>
      <c r="H127" s="159"/>
      <c r="I127" s="135" t="s">
        <v>273</v>
      </c>
      <c r="J127" s="159"/>
      <c r="K127" s="135" t="s">
        <v>431</v>
      </c>
      <c r="L127" s="135" t="s">
        <v>432</v>
      </c>
      <c r="M127" s="135" t="s">
        <v>166</v>
      </c>
      <c r="N127" s="135" t="s">
        <v>433</v>
      </c>
      <c r="O127" s="159"/>
      <c r="P127" s="159"/>
      <c r="Q127" s="159"/>
      <c r="R127" s="135" t="s">
        <v>273</v>
      </c>
      <c r="S127" s="135" t="s">
        <v>434</v>
      </c>
      <c r="T127" s="159"/>
      <c r="U127" s="135" t="s">
        <v>432</v>
      </c>
      <c r="V127" s="135" t="s">
        <v>166</v>
      </c>
      <c r="W127" s="135" t="s">
        <v>82</v>
      </c>
      <c r="X127" s="135" t="s">
        <v>268</v>
      </c>
      <c r="Y127" s="159"/>
      <c r="Z127" s="159"/>
      <c r="AA127" s="159"/>
      <c r="AB127" s="159"/>
      <c r="AC127" s="135" t="s">
        <v>435</v>
      </c>
      <c r="AD127" s="68" t="s">
        <v>387</v>
      </c>
      <c r="AE127" s="176"/>
      <c r="AF127" s="91" t="str">
        <f t="shared" si="2"/>
        <v>M</v>
      </c>
      <c r="AG127" s="91" cm="1">
        <f t="array" ref="AG127">_xlfn.SWITCH(D127,"PTA12",2,"PTD1",2,"PTD0",3,"PTC16",1,"PTD5",1,"PTA5",2,"PTD6",2,"PTE8",2,(LEN(N127)+LEN(N127)-LEN(SUBSTITUTE(N127,"ADC",))-LEN(SUBSTITUTE(N127,"CMP",)))/3)</f>
        <v>2</v>
      </c>
      <c r="AH127" s="180" t="str">
        <f t="shared" si="3"/>
        <v>ILKG_33/50_M2</v>
      </c>
    </row>
    <row r="128" spans="1:34" x14ac:dyDescent="0.3">
      <c r="A128" s="218">
        <v>31</v>
      </c>
      <c r="B128" s="135">
        <v>51</v>
      </c>
      <c r="C128" s="135" t="s">
        <v>418</v>
      </c>
      <c r="D128" s="135" t="s">
        <v>419</v>
      </c>
      <c r="E128" s="135" t="s">
        <v>420</v>
      </c>
      <c r="F128" s="135" t="s">
        <v>420</v>
      </c>
      <c r="G128" s="135" t="s">
        <v>391</v>
      </c>
      <c r="H128" s="135" t="s">
        <v>244</v>
      </c>
      <c r="I128" s="135" t="s">
        <v>421</v>
      </c>
      <c r="J128" s="135" t="s">
        <v>422</v>
      </c>
      <c r="K128" s="135" t="s">
        <v>398</v>
      </c>
      <c r="L128" s="135" t="s">
        <v>423</v>
      </c>
      <c r="M128" s="135" t="s">
        <v>424</v>
      </c>
      <c r="N128" s="135" t="s">
        <v>425</v>
      </c>
      <c r="O128" s="159"/>
      <c r="P128" s="159"/>
      <c r="Q128" s="135" t="s">
        <v>244</v>
      </c>
      <c r="R128" s="135" t="s">
        <v>421</v>
      </c>
      <c r="S128" s="135" t="s">
        <v>422</v>
      </c>
      <c r="T128" s="159"/>
      <c r="U128" s="159"/>
      <c r="V128" s="135" t="s">
        <v>424</v>
      </c>
      <c r="W128" s="135" t="s">
        <v>68</v>
      </c>
      <c r="X128" s="159"/>
      <c r="Y128" s="159"/>
      <c r="Z128" s="159"/>
      <c r="AA128" s="159"/>
      <c r="AB128" s="159"/>
      <c r="AC128" s="135" t="s">
        <v>426</v>
      </c>
      <c r="AD128" s="68" t="s">
        <v>417</v>
      </c>
      <c r="AE128" s="176"/>
      <c r="AF128" s="91" t="str">
        <f t="shared" si="2"/>
        <v>F</v>
      </c>
      <c r="AG128" s="91" cm="1">
        <f t="array" ref="AG128">_xlfn.SWITCH(D128,"PTA12",2,"PTD1",2,"PTD0",3,"PTC16",1,"PTD5",1,"PTA5",2,"PTD6",2,"PTE8",2,(LEN(N128)+LEN(N128)-LEN(SUBSTITUTE(N128,"ADC",))-LEN(SUBSTITUTE(N128,"CMP",)))/3)</f>
        <v>1</v>
      </c>
      <c r="AH128" s="180" t="str">
        <f t="shared" si="3"/>
        <v>ILKG_33/50_F1</v>
      </c>
    </row>
    <row r="129" spans="1:34" x14ac:dyDescent="0.3">
      <c r="A129" s="218">
        <v>42</v>
      </c>
      <c r="B129" s="135">
        <v>64</v>
      </c>
      <c r="C129" s="135" t="s">
        <v>490</v>
      </c>
      <c r="D129" s="135" t="s">
        <v>491</v>
      </c>
      <c r="E129" s="135" t="s">
        <v>492</v>
      </c>
      <c r="F129" s="135" t="s">
        <v>492</v>
      </c>
      <c r="G129" s="135" t="s">
        <v>115</v>
      </c>
      <c r="H129" s="135" t="s">
        <v>493</v>
      </c>
      <c r="I129" s="159"/>
      <c r="J129" s="159"/>
      <c r="K129" s="135" t="s">
        <v>106</v>
      </c>
      <c r="L129" s="135" t="s">
        <v>494</v>
      </c>
      <c r="M129" s="135" t="s">
        <v>315</v>
      </c>
      <c r="N129" s="159"/>
      <c r="O129" s="159"/>
      <c r="P129" s="135" t="s">
        <v>115</v>
      </c>
      <c r="Q129" s="135" t="s">
        <v>493</v>
      </c>
      <c r="R129" s="135" t="s">
        <v>495</v>
      </c>
      <c r="S129" s="159"/>
      <c r="T129" s="135" t="s">
        <v>106</v>
      </c>
      <c r="U129" s="135" t="s">
        <v>494</v>
      </c>
      <c r="V129" s="135" t="s">
        <v>315</v>
      </c>
      <c r="W129" s="135" t="s">
        <v>267</v>
      </c>
      <c r="X129" s="135" t="s">
        <v>473</v>
      </c>
      <c r="Y129" s="135" t="s">
        <v>496</v>
      </c>
      <c r="Z129" s="159"/>
      <c r="AA129" s="159"/>
      <c r="AB129" s="159"/>
      <c r="AC129" s="135" t="s">
        <v>497</v>
      </c>
      <c r="AD129" s="68" t="s">
        <v>231</v>
      </c>
      <c r="AE129" s="176"/>
      <c r="AF129" s="91" t="str">
        <f t="shared" si="2"/>
        <v>SP</v>
      </c>
      <c r="AG129" s="91" cm="1">
        <f t="array" ref="AG129">_xlfn.SWITCH(D129,"PTA12",2,"PTD1",2,"PTD0",3,"PTC16",1,"PTD5",1,"PTA5",2,"PTD6",2,"PTE8",2,(LEN(N129)+LEN(N129)-LEN(SUBSTITUTE(N129,"ADC",))-LEN(SUBSTITUTE(N129,"CMP",)))/3)</f>
        <v>0</v>
      </c>
      <c r="AH129" s="180" t="str">
        <f t="shared" si="3"/>
        <v>ILKG_33/50_SP0</v>
      </c>
    </row>
    <row r="130" spans="1:34" x14ac:dyDescent="0.3">
      <c r="A130" s="218">
        <v>41</v>
      </c>
      <c r="B130" s="135">
        <v>63</v>
      </c>
      <c r="C130" s="135" t="s">
        <v>481</v>
      </c>
      <c r="D130" s="135" t="s">
        <v>482</v>
      </c>
      <c r="E130" s="135" t="s">
        <v>483</v>
      </c>
      <c r="F130" s="135" t="s">
        <v>483</v>
      </c>
      <c r="G130" s="159"/>
      <c r="H130" s="135" t="s">
        <v>484</v>
      </c>
      <c r="I130" s="135" t="s">
        <v>92</v>
      </c>
      <c r="J130" s="135" t="s">
        <v>485</v>
      </c>
      <c r="K130" s="159"/>
      <c r="L130" s="135" t="s">
        <v>486</v>
      </c>
      <c r="M130" s="135" t="s">
        <v>301</v>
      </c>
      <c r="N130" s="159"/>
      <c r="O130" s="159"/>
      <c r="P130" s="135" t="s">
        <v>487</v>
      </c>
      <c r="Q130" s="135" t="s">
        <v>484</v>
      </c>
      <c r="R130" s="135" t="s">
        <v>92</v>
      </c>
      <c r="S130" s="135" t="s">
        <v>485</v>
      </c>
      <c r="T130" s="159"/>
      <c r="U130" s="135" t="s">
        <v>486</v>
      </c>
      <c r="V130" s="135" t="s">
        <v>301</v>
      </c>
      <c r="W130" s="135" t="s">
        <v>488</v>
      </c>
      <c r="X130" s="135" t="s">
        <v>474</v>
      </c>
      <c r="Y130" s="159"/>
      <c r="Z130" s="159"/>
      <c r="AA130" s="159"/>
      <c r="AB130" s="159"/>
      <c r="AC130" s="135" t="s">
        <v>489</v>
      </c>
      <c r="AD130" s="68" t="s">
        <v>231</v>
      </c>
      <c r="AE130" s="176"/>
      <c r="AF130" s="91" t="str">
        <f t="shared" si="2"/>
        <v>SP</v>
      </c>
      <c r="AG130" s="91" cm="1">
        <f t="array" ref="AG130">_xlfn.SWITCH(D130,"PTA12",2,"PTD1",2,"PTD0",3,"PTC16",1,"PTD5",1,"PTA5",2,"PTD6",2,"PTE8",2,(LEN(N130)+LEN(N130)-LEN(SUBSTITUTE(N130,"ADC",))-LEN(SUBSTITUTE(N130,"CMP",)))/3)</f>
        <v>0</v>
      </c>
      <c r="AH130" s="180" t="str">
        <f t="shared" si="3"/>
        <v>ILKG_33/50_SP0</v>
      </c>
    </row>
    <row r="131" spans="1:34" x14ac:dyDescent="0.3">
      <c r="A131" s="218">
        <v>94</v>
      </c>
      <c r="B131" s="135">
        <v>163</v>
      </c>
      <c r="C131" s="135" t="s">
        <v>1070</v>
      </c>
      <c r="D131" s="135" t="s">
        <v>1071</v>
      </c>
      <c r="E131" s="135" t="s">
        <v>1072</v>
      </c>
      <c r="F131" s="135" t="s">
        <v>1072</v>
      </c>
      <c r="G131" s="159"/>
      <c r="H131" s="135" t="s">
        <v>289</v>
      </c>
      <c r="I131" s="135" t="s">
        <v>65</v>
      </c>
      <c r="J131" s="159"/>
      <c r="K131" s="159"/>
      <c r="L131" s="159"/>
      <c r="M131" s="159"/>
      <c r="N131" s="135" t="s">
        <v>1073</v>
      </c>
      <c r="O131" s="159"/>
      <c r="P131" s="159"/>
      <c r="Q131" s="135" t="s">
        <v>289</v>
      </c>
      <c r="R131" s="135" t="s">
        <v>65</v>
      </c>
      <c r="S131" s="159"/>
      <c r="T131" s="159"/>
      <c r="U131" s="159"/>
      <c r="V131" s="159"/>
      <c r="W131" s="135" t="s">
        <v>31</v>
      </c>
      <c r="X131" s="135" t="s">
        <v>657</v>
      </c>
      <c r="Y131" s="159"/>
      <c r="Z131" s="159"/>
      <c r="AA131" s="159"/>
      <c r="AB131" s="159"/>
      <c r="AC131" s="135" t="s">
        <v>1074</v>
      </c>
      <c r="AD131" s="68" t="s">
        <v>34</v>
      </c>
      <c r="AE131" s="175" t="s">
        <v>869</v>
      </c>
      <c r="AF131" s="91" t="str">
        <f t="shared" ref="AF131:AF194" si="4">IF(ISNUMBER(SEARCH("plus",AD131)),"SP",IF(ISNUMBER(SEARCH("standard",AD131)),"S",IF(ISNUMBER(SEARCH("medium",AD131)),"M",IF(ISNUMBER(SEARCH("fast",AD131)),"F",IF(ISNUMBER(SEARCH("input",AD131)),"I",IF(ISNUMBER(SEARCH("rst",AD131)),"SP"))))))</f>
        <v>S</v>
      </c>
      <c r="AG131" s="91" cm="1">
        <f t="array" ref="AG131">_xlfn.SWITCH(D131,"PTA12",2,"PTD1",2,"PTD0",3,"PTC16",1,"PTD5",1,"PTA5",2,"PTD6",2,"PTE8",2,(LEN(N131)+LEN(N131)-LEN(SUBSTITUTE(N131,"ADC",))-LEN(SUBSTITUTE(N131,"CMP",)))/3)</f>
        <v>1</v>
      </c>
      <c r="AH131" s="180" t="str">
        <f t="shared" ref="AH131:AH194" si="5">IF(ISTEXT(AF131),_xlfn.CONCAT("ILKG_33/50_",AF131,AG131),"")</f>
        <v>ILKG_33/50_S1</v>
      </c>
    </row>
    <row r="132" spans="1:34" x14ac:dyDescent="0.3">
      <c r="A132" s="218">
        <v>93</v>
      </c>
      <c r="B132" s="135">
        <v>162</v>
      </c>
      <c r="C132" s="135" t="s">
        <v>1065</v>
      </c>
      <c r="D132" s="135" t="s">
        <v>1066</v>
      </c>
      <c r="E132" s="135" t="s">
        <v>1067</v>
      </c>
      <c r="F132" s="135" t="s">
        <v>1067</v>
      </c>
      <c r="G132" s="159"/>
      <c r="H132" s="135" t="s">
        <v>299</v>
      </c>
      <c r="I132" s="135" t="s">
        <v>79</v>
      </c>
      <c r="J132" s="159"/>
      <c r="K132" s="159"/>
      <c r="L132" s="135" t="s">
        <v>647</v>
      </c>
      <c r="M132" s="159"/>
      <c r="N132" s="135" t="s">
        <v>1068</v>
      </c>
      <c r="O132" s="159"/>
      <c r="P132" s="159"/>
      <c r="Q132" s="135" t="s">
        <v>299</v>
      </c>
      <c r="R132" s="135" t="s">
        <v>79</v>
      </c>
      <c r="S132" s="159"/>
      <c r="T132" s="159"/>
      <c r="U132" s="135" t="s">
        <v>647</v>
      </c>
      <c r="V132" s="159"/>
      <c r="W132" s="135" t="s">
        <v>43</v>
      </c>
      <c r="X132" s="159"/>
      <c r="Y132" s="159"/>
      <c r="Z132" s="159"/>
      <c r="AA132" s="159"/>
      <c r="AB132" s="159"/>
      <c r="AC132" s="135" t="s">
        <v>1069</v>
      </c>
      <c r="AD132" s="68" t="s">
        <v>34</v>
      </c>
      <c r="AE132" s="175" t="s">
        <v>875</v>
      </c>
      <c r="AF132" s="91" t="str">
        <f t="shared" si="4"/>
        <v>S</v>
      </c>
      <c r="AG132" s="91" cm="1">
        <f t="array" ref="AG132">_xlfn.SWITCH(D132,"PTA12",2,"PTD1",2,"PTD0",3,"PTC16",1,"PTD5",1,"PTA5",2,"PTD6",2,"PTE8",2,(LEN(N132)+LEN(N132)-LEN(SUBSTITUTE(N132,"ADC",))-LEN(SUBSTITUTE(N132,"CMP",)))/3)</f>
        <v>1</v>
      </c>
      <c r="AH132" s="180" t="str">
        <f t="shared" si="5"/>
        <v>ILKG_33/50_S1</v>
      </c>
    </row>
    <row r="133" spans="1:34" x14ac:dyDescent="0.3">
      <c r="A133" s="218">
        <v>6</v>
      </c>
      <c r="B133" s="135">
        <v>10</v>
      </c>
      <c r="C133" s="135" t="s">
        <v>135</v>
      </c>
      <c r="D133" s="135" t="s">
        <v>136</v>
      </c>
      <c r="E133" s="135" t="s">
        <v>137</v>
      </c>
      <c r="F133" s="135" t="s">
        <v>137</v>
      </c>
      <c r="G133" s="159"/>
      <c r="H133" s="135" t="s">
        <v>138</v>
      </c>
      <c r="I133" s="135" t="s">
        <v>139</v>
      </c>
      <c r="J133" s="135" t="s">
        <v>140</v>
      </c>
      <c r="K133" s="135" t="s">
        <v>141</v>
      </c>
      <c r="L133" s="135" t="s">
        <v>142</v>
      </c>
      <c r="M133" s="135" t="s">
        <v>143</v>
      </c>
      <c r="N133" s="135" t="s">
        <v>144</v>
      </c>
      <c r="O133" s="159"/>
      <c r="P133" s="159"/>
      <c r="Q133" s="135" t="s">
        <v>138</v>
      </c>
      <c r="R133" s="135" t="s">
        <v>139</v>
      </c>
      <c r="S133" s="135" t="s">
        <v>140</v>
      </c>
      <c r="T133" s="159"/>
      <c r="U133" s="135" t="s">
        <v>142</v>
      </c>
      <c r="V133" s="159"/>
      <c r="W133" s="135" t="s">
        <v>109</v>
      </c>
      <c r="X133" s="135" t="s">
        <v>145</v>
      </c>
      <c r="Y133" s="159"/>
      <c r="Z133" s="159"/>
      <c r="AA133" s="159"/>
      <c r="AB133" s="159"/>
      <c r="AC133" s="135" t="s">
        <v>146</v>
      </c>
      <c r="AD133" s="68" t="s">
        <v>34</v>
      </c>
      <c r="AE133" s="175" t="s">
        <v>71</v>
      </c>
      <c r="AF133" s="91" t="str">
        <f t="shared" si="4"/>
        <v>S</v>
      </c>
      <c r="AG133" s="91" cm="1">
        <f t="array" ref="AG133">_xlfn.SWITCH(D133,"PTA12",2,"PTD1",2,"PTD0",3,"PTC16",1,"PTD5",1,"PTA5",2,"PTD6",2,"PTE8",2,(LEN(N133)+LEN(N133)-LEN(SUBSTITUTE(N133,"ADC",))-LEN(SUBSTITUTE(N133,"CMP",)))/3)</f>
        <v>1</v>
      </c>
      <c r="AH133" s="180" t="str">
        <f t="shared" si="5"/>
        <v>ILKG_33/50_S1</v>
      </c>
    </row>
    <row r="134" spans="1:34" x14ac:dyDescent="0.3">
      <c r="A134" s="218">
        <v>5</v>
      </c>
      <c r="B134" s="135">
        <v>9</v>
      </c>
      <c r="C134" s="135" t="s">
        <v>123</v>
      </c>
      <c r="D134" s="135" t="s">
        <v>124</v>
      </c>
      <c r="E134" s="135" t="s">
        <v>125</v>
      </c>
      <c r="F134" s="135" t="s">
        <v>125</v>
      </c>
      <c r="G134" s="135" t="s">
        <v>126</v>
      </c>
      <c r="H134" s="135" t="s">
        <v>127</v>
      </c>
      <c r="I134" s="135" t="s">
        <v>128</v>
      </c>
      <c r="J134" s="135" t="s">
        <v>129</v>
      </c>
      <c r="K134" s="159"/>
      <c r="L134" s="135" t="s">
        <v>130</v>
      </c>
      <c r="M134" s="135" t="s">
        <v>131</v>
      </c>
      <c r="N134" s="135" t="s">
        <v>132</v>
      </c>
      <c r="O134" s="159"/>
      <c r="P134" s="135" t="s">
        <v>126</v>
      </c>
      <c r="Q134" s="135" t="s">
        <v>127</v>
      </c>
      <c r="R134" s="135" t="s">
        <v>128</v>
      </c>
      <c r="S134" s="135" t="s">
        <v>129</v>
      </c>
      <c r="T134" s="159"/>
      <c r="U134" s="135" t="s">
        <v>130</v>
      </c>
      <c r="V134" s="159"/>
      <c r="W134" s="135" t="s">
        <v>133</v>
      </c>
      <c r="X134" s="159"/>
      <c r="Y134" s="159"/>
      <c r="Z134" s="159"/>
      <c r="AA134" s="159"/>
      <c r="AB134" s="159"/>
      <c r="AC134" s="135" t="s">
        <v>134</v>
      </c>
      <c r="AD134" s="68" t="s">
        <v>34</v>
      </c>
      <c r="AE134" s="175" t="s">
        <v>122</v>
      </c>
      <c r="AF134" s="91" t="str">
        <f t="shared" si="4"/>
        <v>S</v>
      </c>
      <c r="AG134" s="91" cm="1">
        <f t="array" ref="AG134">_xlfn.SWITCH(D134,"PTA12",2,"PTD1",2,"PTD0",3,"PTC16",1,"PTD5",1,"PTA5",2,"PTD6",2,"PTE8",2,(LEN(N134)+LEN(N134)-LEN(SUBSTITUTE(N134,"ADC",))-LEN(SUBSTITUTE(N134,"CMP",)))/3)</f>
        <v>1</v>
      </c>
      <c r="AH134" s="180" t="str">
        <f t="shared" si="5"/>
        <v>ILKG_33/50_S1</v>
      </c>
    </row>
    <row r="135" spans="1:34" x14ac:dyDescent="0.3">
      <c r="A135" s="218">
        <v>19</v>
      </c>
      <c r="B135" s="135">
        <v>29</v>
      </c>
      <c r="C135" s="135" t="s">
        <v>240</v>
      </c>
      <c r="D135" s="135" t="s">
        <v>241</v>
      </c>
      <c r="E135" s="135" t="s">
        <v>242</v>
      </c>
      <c r="F135" s="135" t="s">
        <v>242</v>
      </c>
      <c r="G135" s="159"/>
      <c r="H135" s="135" t="s">
        <v>243</v>
      </c>
      <c r="I135" s="135" t="s">
        <v>244</v>
      </c>
      <c r="J135" s="135" t="s">
        <v>150</v>
      </c>
      <c r="K135" s="135" t="s">
        <v>245</v>
      </c>
      <c r="L135" s="135" t="s">
        <v>246</v>
      </c>
      <c r="M135" s="159"/>
      <c r="N135" s="159"/>
      <c r="O135" s="159"/>
      <c r="P135" s="159"/>
      <c r="Q135" s="159"/>
      <c r="R135" s="135" t="s">
        <v>244</v>
      </c>
      <c r="S135" s="135" t="s">
        <v>150</v>
      </c>
      <c r="T135" s="135" t="s">
        <v>245</v>
      </c>
      <c r="U135" s="135" t="s">
        <v>246</v>
      </c>
      <c r="V135" s="159"/>
      <c r="W135" s="135" t="s">
        <v>247</v>
      </c>
      <c r="X135" s="159"/>
      <c r="Y135" s="159"/>
      <c r="Z135" s="159"/>
      <c r="AA135" s="159"/>
      <c r="AB135" s="159"/>
      <c r="AC135" s="135" t="s">
        <v>248</v>
      </c>
      <c r="AD135" s="68" t="s">
        <v>231</v>
      </c>
      <c r="AE135" s="176"/>
      <c r="AF135" s="91" t="str">
        <f t="shared" si="4"/>
        <v>SP</v>
      </c>
      <c r="AG135" s="91" cm="1">
        <f t="array" ref="AG135">_xlfn.SWITCH(D135,"PTA12",2,"PTD1",2,"PTD0",3,"PTC16",1,"PTD5",1,"PTA5",2,"PTD6",2,"PTE8",2,(LEN(N135)+LEN(N135)-LEN(SUBSTITUTE(N135,"ADC",))-LEN(SUBSTITUTE(N135,"CMP",)))/3)</f>
        <v>0</v>
      </c>
      <c r="AH135" s="180" t="str">
        <f t="shared" si="5"/>
        <v>ILKG_33/50_SP0</v>
      </c>
    </row>
    <row r="136" spans="1:34" x14ac:dyDescent="0.3">
      <c r="A136" s="218">
        <v>7</v>
      </c>
      <c r="B136" s="135">
        <v>11</v>
      </c>
      <c r="C136" s="135" t="s">
        <v>147</v>
      </c>
      <c r="D136" s="135" t="s">
        <v>148</v>
      </c>
      <c r="E136" s="135" t="s">
        <v>149</v>
      </c>
      <c r="F136" s="135" t="s">
        <v>149</v>
      </c>
      <c r="G136" s="159"/>
      <c r="H136" s="135" t="s">
        <v>150</v>
      </c>
      <c r="I136" s="135" t="s">
        <v>90</v>
      </c>
      <c r="J136" s="159"/>
      <c r="K136" s="135" t="s">
        <v>127</v>
      </c>
      <c r="L136" s="135" t="s">
        <v>130</v>
      </c>
      <c r="M136" s="159"/>
      <c r="N136" s="135" t="s">
        <v>151</v>
      </c>
      <c r="O136" s="159"/>
      <c r="P136" s="159"/>
      <c r="Q136" s="135" t="s">
        <v>150</v>
      </c>
      <c r="R136" s="135" t="s">
        <v>90</v>
      </c>
      <c r="S136" s="159"/>
      <c r="T136" s="135" t="s">
        <v>127</v>
      </c>
      <c r="U136" s="135" t="s">
        <v>130</v>
      </c>
      <c r="V136" s="159"/>
      <c r="W136" s="135" t="s">
        <v>152</v>
      </c>
      <c r="X136" s="159"/>
      <c r="Y136" s="159"/>
      <c r="Z136" s="159"/>
      <c r="AA136" s="159"/>
      <c r="AB136" s="159"/>
      <c r="AC136" s="135" t="s">
        <v>153</v>
      </c>
      <c r="AD136" s="68" t="s">
        <v>34</v>
      </c>
      <c r="AE136" s="176"/>
      <c r="AF136" s="91" t="str">
        <f t="shared" si="4"/>
        <v>S</v>
      </c>
      <c r="AG136" s="91" cm="1">
        <f t="array" ref="AG136">_xlfn.SWITCH(D136,"PTA12",2,"PTD1",2,"PTD0",3,"PTC16",1,"PTD5",1,"PTA5",2,"PTD6",2,"PTE8",2,(LEN(N136)+LEN(N136)-LEN(SUBSTITUTE(N136,"ADC",))-LEN(SUBSTITUTE(N136,"CMP",)))/3)</f>
        <v>1</v>
      </c>
      <c r="AH136" s="180" t="str">
        <f t="shared" si="5"/>
        <v>ILKG_33/50_S1</v>
      </c>
    </row>
    <row r="137" spans="1:34" x14ac:dyDescent="0.3">
      <c r="A137" s="219"/>
      <c r="B137" s="135">
        <v>26</v>
      </c>
      <c r="C137" s="135" t="s">
        <v>214</v>
      </c>
      <c r="D137" s="135" t="s">
        <v>215</v>
      </c>
      <c r="E137" s="135" t="s">
        <v>216</v>
      </c>
      <c r="F137" s="135" t="s">
        <v>216</v>
      </c>
      <c r="G137" s="135" t="s">
        <v>157</v>
      </c>
      <c r="H137" s="159"/>
      <c r="I137" s="159"/>
      <c r="J137" s="135" t="s">
        <v>102</v>
      </c>
      <c r="K137" s="159"/>
      <c r="L137" s="135" t="s">
        <v>158</v>
      </c>
      <c r="M137" s="135" t="s">
        <v>217</v>
      </c>
      <c r="N137" s="135" t="s">
        <v>218</v>
      </c>
      <c r="O137" s="159"/>
      <c r="P137" s="135" t="s">
        <v>157</v>
      </c>
      <c r="Q137" s="159"/>
      <c r="R137" s="159"/>
      <c r="S137" s="135" t="s">
        <v>102</v>
      </c>
      <c r="T137" s="159"/>
      <c r="U137" s="135" t="s">
        <v>158</v>
      </c>
      <c r="V137" s="135" t="s">
        <v>217</v>
      </c>
      <c r="W137" s="135" t="s">
        <v>219</v>
      </c>
      <c r="X137" s="135" t="s">
        <v>220</v>
      </c>
      <c r="Y137" s="159"/>
      <c r="Z137" s="159"/>
      <c r="AA137" s="159"/>
      <c r="AB137" s="159"/>
      <c r="AC137" s="135" t="s">
        <v>221</v>
      </c>
      <c r="AD137" s="68" t="s">
        <v>34</v>
      </c>
      <c r="AE137" s="176"/>
      <c r="AF137" s="91" t="str">
        <f t="shared" si="4"/>
        <v>S</v>
      </c>
      <c r="AG137" s="91" cm="1">
        <f t="array" ref="AG137">_xlfn.SWITCH(D137,"PTA12",2,"PTD1",2,"PTD0",3,"PTC16",1,"PTD5",1,"PTA5",2,"PTD6",2,"PTE8",2,(LEN(N137)+LEN(N137)-LEN(SUBSTITUTE(N137,"ADC",))-LEN(SUBSTITUTE(N137,"CMP",)))/3)</f>
        <v>0</v>
      </c>
      <c r="AH137" s="180" t="str">
        <f t="shared" si="5"/>
        <v>ILKG_33/50_S0</v>
      </c>
    </row>
    <row r="138" spans="1:34" x14ac:dyDescent="0.3">
      <c r="A138" s="218">
        <v>2</v>
      </c>
      <c r="B138" s="135">
        <v>5</v>
      </c>
      <c r="C138" s="135" t="s">
        <v>72</v>
      </c>
      <c r="D138" s="135" t="s">
        <v>73</v>
      </c>
      <c r="E138" s="135" t="s">
        <v>74</v>
      </c>
      <c r="F138" s="135" t="s">
        <v>74</v>
      </c>
      <c r="G138" s="135" t="s">
        <v>75</v>
      </c>
      <c r="H138" s="159"/>
      <c r="I138" s="135" t="s">
        <v>76</v>
      </c>
      <c r="J138" s="135" t="s">
        <v>77</v>
      </c>
      <c r="K138" s="135" t="s">
        <v>78</v>
      </c>
      <c r="L138" s="135" t="s">
        <v>79</v>
      </c>
      <c r="M138" s="135" t="s">
        <v>80</v>
      </c>
      <c r="N138" s="135" t="s">
        <v>81</v>
      </c>
      <c r="O138" s="159"/>
      <c r="P138" s="159"/>
      <c r="Q138" s="159"/>
      <c r="R138" s="135" t="s">
        <v>76</v>
      </c>
      <c r="S138" s="135" t="s">
        <v>77</v>
      </c>
      <c r="T138" s="159"/>
      <c r="U138" s="135" t="s">
        <v>79</v>
      </c>
      <c r="V138" s="159"/>
      <c r="W138" s="135" t="s">
        <v>82</v>
      </c>
      <c r="X138" s="135" t="s">
        <v>83</v>
      </c>
      <c r="Y138" s="135" t="s">
        <v>84</v>
      </c>
      <c r="Z138" s="135" t="s">
        <v>85</v>
      </c>
      <c r="AA138" s="159"/>
      <c r="AB138" s="159"/>
      <c r="AC138" s="135" t="s">
        <v>86</v>
      </c>
      <c r="AD138" s="68" t="s">
        <v>34</v>
      </c>
      <c r="AE138" s="175" t="s">
        <v>71</v>
      </c>
      <c r="AF138" s="91" t="str">
        <f t="shared" si="4"/>
        <v>S</v>
      </c>
      <c r="AG138" s="91" cm="1">
        <f t="array" ref="AG138">_xlfn.SWITCH(D138,"PTA12",2,"PTD1",2,"PTD0",3,"PTC16",1,"PTD5",1,"PTA5",2,"PTD6",2,"PTE8",2,(LEN(N138)+LEN(N138)-LEN(SUBSTITUTE(N138,"ADC",))-LEN(SUBSTITUTE(N138,"CMP",)))/3)</f>
        <v>1</v>
      </c>
      <c r="AH138" s="180" t="str">
        <f t="shared" si="5"/>
        <v>ILKG_33/50_S1</v>
      </c>
    </row>
    <row r="139" spans="1:34" x14ac:dyDescent="0.3">
      <c r="A139" s="218">
        <v>1</v>
      </c>
      <c r="B139" s="135">
        <v>4</v>
      </c>
      <c r="C139" s="135" t="s">
        <v>57</v>
      </c>
      <c r="D139" s="135" t="s">
        <v>58</v>
      </c>
      <c r="E139" s="135" t="s">
        <v>59</v>
      </c>
      <c r="F139" s="135" t="s">
        <v>59</v>
      </c>
      <c r="G139" s="135" t="s">
        <v>60</v>
      </c>
      <c r="H139" s="135" t="s">
        <v>61</v>
      </c>
      <c r="I139" s="135" t="s">
        <v>62</v>
      </c>
      <c r="J139" s="135" t="s">
        <v>63</v>
      </c>
      <c r="K139" s="135" t="s">
        <v>64</v>
      </c>
      <c r="L139" s="135" t="s">
        <v>65</v>
      </c>
      <c r="M139" s="135" t="s">
        <v>66</v>
      </c>
      <c r="N139" s="135" t="s">
        <v>67</v>
      </c>
      <c r="O139" s="159"/>
      <c r="P139" s="159"/>
      <c r="Q139" s="135" t="s">
        <v>61</v>
      </c>
      <c r="R139" s="135" t="s">
        <v>62</v>
      </c>
      <c r="S139" s="135" t="s">
        <v>63</v>
      </c>
      <c r="T139" s="159"/>
      <c r="U139" s="135" t="s">
        <v>65</v>
      </c>
      <c r="V139" s="159"/>
      <c r="W139" s="135" t="s">
        <v>68</v>
      </c>
      <c r="X139" s="135" t="s">
        <v>69</v>
      </c>
      <c r="Y139" s="159"/>
      <c r="Z139" s="159"/>
      <c r="AA139" s="159"/>
      <c r="AB139" s="159"/>
      <c r="AC139" s="135" t="s">
        <v>70</v>
      </c>
      <c r="AD139" s="68" t="s">
        <v>34</v>
      </c>
      <c r="AE139" s="175" t="s">
        <v>71</v>
      </c>
      <c r="AF139" s="91" t="str">
        <f t="shared" si="4"/>
        <v>S</v>
      </c>
      <c r="AG139" s="91" cm="1">
        <f t="array" ref="AG139">_xlfn.SWITCH(D139,"PTA12",2,"PTD1",2,"PTD0",3,"PTC16",1,"PTD5",1,"PTA5",2,"PTD6",2,"PTE8",2,(LEN(N139)+LEN(N139)-LEN(SUBSTITUTE(N139,"ADC",))-LEN(SUBSTITUTE(N139,"CMP",)))/3)</f>
        <v>1</v>
      </c>
      <c r="AH139" s="180" t="str">
        <f t="shared" si="5"/>
        <v>ILKG_33/50_S1</v>
      </c>
    </row>
    <row r="140" spans="1:34" x14ac:dyDescent="0.3">
      <c r="A140" s="219"/>
      <c r="B140" s="135">
        <v>142</v>
      </c>
      <c r="C140" s="135" t="s">
        <v>975</v>
      </c>
      <c r="D140" s="135" t="s">
        <v>976</v>
      </c>
      <c r="E140" s="135" t="s">
        <v>977</v>
      </c>
      <c r="F140" s="135" t="s">
        <v>977</v>
      </c>
      <c r="G140" s="159"/>
      <c r="H140" s="159"/>
      <c r="I140" s="135" t="s">
        <v>130</v>
      </c>
      <c r="J140" s="135" t="s">
        <v>592</v>
      </c>
      <c r="K140" s="159"/>
      <c r="L140" s="159"/>
      <c r="M140" s="159"/>
      <c r="N140" s="135" t="s">
        <v>978</v>
      </c>
      <c r="O140" s="159"/>
      <c r="P140" s="159"/>
      <c r="Q140" s="159"/>
      <c r="R140" s="135" t="s">
        <v>130</v>
      </c>
      <c r="S140" s="135" t="s">
        <v>592</v>
      </c>
      <c r="T140" s="159"/>
      <c r="U140" s="159"/>
      <c r="V140" s="159"/>
      <c r="W140" s="159"/>
      <c r="X140" s="159"/>
      <c r="Y140" s="159"/>
      <c r="Z140" s="159"/>
      <c r="AA140" s="159"/>
      <c r="AB140" s="159"/>
      <c r="AC140" s="135" t="s">
        <v>979</v>
      </c>
      <c r="AD140" s="68" t="s">
        <v>34</v>
      </c>
      <c r="AE140" s="175" t="s">
        <v>875</v>
      </c>
      <c r="AF140" s="91" t="str">
        <f t="shared" si="4"/>
        <v>S</v>
      </c>
      <c r="AG140" s="91" cm="1">
        <f t="array" ref="AG140">_xlfn.SWITCH(D140,"PTA12",2,"PTD1",2,"PTD0",3,"PTC16",1,"PTD5",1,"PTA5",2,"PTD6",2,"PTE8",2,(LEN(N140)+LEN(N140)-LEN(SUBSTITUTE(N140,"ADC",))-LEN(SUBSTITUTE(N140,"CMP",)))/3)</f>
        <v>2</v>
      </c>
      <c r="AH140" s="180" t="str">
        <f t="shared" si="5"/>
        <v>ILKG_33/50_S2</v>
      </c>
    </row>
    <row r="141" spans="1:34" x14ac:dyDescent="0.3">
      <c r="A141" s="219"/>
      <c r="B141" s="135">
        <v>144</v>
      </c>
      <c r="C141" s="135" t="s">
        <v>987</v>
      </c>
      <c r="D141" s="135" t="s">
        <v>988</v>
      </c>
      <c r="E141" s="135" t="s">
        <v>989</v>
      </c>
      <c r="F141" s="135" t="s">
        <v>989</v>
      </c>
      <c r="G141" s="159"/>
      <c r="H141" s="159"/>
      <c r="I141" s="135" t="s">
        <v>142</v>
      </c>
      <c r="J141" s="135" t="s">
        <v>372</v>
      </c>
      <c r="K141" s="159"/>
      <c r="L141" s="159"/>
      <c r="M141" s="159"/>
      <c r="N141" s="135" t="s">
        <v>990</v>
      </c>
      <c r="O141" s="159"/>
      <c r="P141" s="159"/>
      <c r="Q141" s="159"/>
      <c r="R141" s="135" t="s">
        <v>142</v>
      </c>
      <c r="S141" s="135" t="s">
        <v>372</v>
      </c>
      <c r="T141" s="159"/>
      <c r="U141" s="159"/>
      <c r="V141" s="159"/>
      <c r="W141" s="159"/>
      <c r="X141" s="159"/>
      <c r="Y141" s="159"/>
      <c r="Z141" s="159"/>
      <c r="AA141" s="159"/>
      <c r="AB141" s="159"/>
      <c r="AC141" s="135" t="s">
        <v>991</v>
      </c>
      <c r="AD141" s="68" t="s">
        <v>34</v>
      </c>
      <c r="AE141" s="175" t="s">
        <v>869</v>
      </c>
      <c r="AF141" s="91" t="str">
        <f t="shared" si="4"/>
        <v>S</v>
      </c>
      <c r="AG141" s="91" cm="1">
        <f t="array" ref="AG141">_xlfn.SWITCH(D141,"PTA12",2,"PTD1",2,"PTD0",3,"PTC16",1,"PTD5",1,"PTA5",2,"PTD6",2,"PTE8",2,(LEN(N141)+LEN(N141)-LEN(SUBSTITUTE(N141,"ADC",))-LEN(SUBSTITUTE(N141,"CMP",)))/3)</f>
        <v>2</v>
      </c>
      <c r="AH141" s="180" t="str">
        <f t="shared" si="5"/>
        <v>ILKG_33/50_S2</v>
      </c>
    </row>
    <row r="142" spans="1:34" x14ac:dyDescent="0.3">
      <c r="A142" s="219"/>
      <c r="B142" s="159"/>
      <c r="C142" s="135" t="s">
        <v>1129</v>
      </c>
      <c r="D142" s="135" t="s">
        <v>1130</v>
      </c>
      <c r="E142" s="135" t="s">
        <v>1131</v>
      </c>
      <c r="F142" s="135" t="s">
        <v>1131</v>
      </c>
      <c r="G142" s="159"/>
      <c r="H142" s="135" t="s">
        <v>77</v>
      </c>
      <c r="I142" s="159"/>
      <c r="J142" s="159"/>
      <c r="K142" s="159"/>
      <c r="L142" s="159"/>
      <c r="M142" s="159"/>
      <c r="N142" s="159"/>
      <c r="O142" s="159"/>
      <c r="P142" s="159"/>
      <c r="Q142" s="135" t="s">
        <v>77</v>
      </c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35" t="s">
        <v>1132</v>
      </c>
      <c r="AD142" s="68" t="s">
        <v>34</v>
      </c>
      <c r="AE142" s="176"/>
      <c r="AF142" s="91" t="str">
        <f t="shared" si="4"/>
        <v>S</v>
      </c>
      <c r="AG142" s="91" cm="1">
        <f t="array" ref="AG142">_xlfn.SWITCH(D142,"PTA12",2,"PTD1",2,"PTD0",3,"PTC16",1,"PTD5",1,"PTA5",2,"PTD6",2,"PTE8",2,(LEN(N142)+LEN(N142)-LEN(SUBSTITUTE(N142,"ADC",))-LEN(SUBSTITUTE(N142,"CMP",)))/3)</f>
        <v>0</v>
      </c>
      <c r="AH142" s="180" t="str">
        <f t="shared" si="5"/>
        <v>ILKG_33/50_S0</v>
      </c>
    </row>
    <row r="143" spans="1:34" x14ac:dyDescent="0.3">
      <c r="A143" s="218">
        <v>85</v>
      </c>
      <c r="B143" s="135">
        <v>147</v>
      </c>
      <c r="C143" s="135" t="s">
        <v>1003</v>
      </c>
      <c r="D143" s="135" t="s">
        <v>1004</v>
      </c>
      <c r="E143" s="135" t="s">
        <v>1005</v>
      </c>
      <c r="F143" s="135" t="s">
        <v>1005</v>
      </c>
      <c r="G143" s="159"/>
      <c r="H143" s="135" t="s">
        <v>280</v>
      </c>
      <c r="I143" s="135" t="s">
        <v>103</v>
      </c>
      <c r="J143" s="135" t="s">
        <v>186</v>
      </c>
      <c r="K143" s="159"/>
      <c r="L143" s="135" t="s">
        <v>432</v>
      </c>
      <c r="M143" s="135" t="s">
        <v>582</v>
      </c>
      <c r="N143" s="135" t="s">
        <v>1006</v>
      </c>
      <c r="O143" s="159"/>
      <c r="P143" s="159"/>
      <c r="Q143" s="135" t="s">
        <v>280</v>
      </c>
      <c r="R143" s="135" t="s">
        <v>103</v>
      </c>
      <c r="S143" s="135" t="s">
        <v>186</v>
      </c>
      <c r="T143" s="159"/>
      <c r="U143" s="135" t="s">
        <v>432</v>
      </c>
      <c r="V143" s="159"/>
      <c r="W143" s="135" t="s">
        <v>54</v>
      </c>
      <c r="X143" s="135" t="s">
        <v>642</v>
      </c>
      <c r="Y143" s="135" t="s">
        <v>84</v>
      </c>
      <c r="Z143" s="159"/>
      <c r="AA143" s="159"/>
      <c r="AB143" s="159"/>
      <c r="AC143" s="135" t="s">
        <v>1007</v>
      </c>
      <c r="AD143" s="68" t="s">
        <v>34</v>
      </c>
      <c r="AE143" s="175" t="s">
        <v>875</v>
      </c>
      <c r="AF143" s="91" t="str">
        <f t="shared" si="4"/>
        <v>S</v>
      </c>
      <c r="AG143" s="91" cm="1">
        <f t="array" ref="AG143">_xlfn.SWITCH(D143,"PTA12",2,"PTD1",2,"PTD0",3,"PTC16",1,"PTD5",1,"PTA5",2,"PTD6",2,"PTE8",2,(LEN(N143)+LEN(N143)-LEN(SUBSTITUTE(N143,"ADC",))-LEN(SUBSTITUTE(N143,"CMP",)))/3)</f>
        <v>1</v>
      </c>
      <c r="AH143" s="180" t="str">
        <f t="shared" si="5"/>
        <v>ILKG_33/50_S1</v>
      </c>
    </row>
    <row r="144" spans="1:34" x14ac:dyDescent="0.3">
      <c r="A144" s="219"/>
      <c r="B144" s="159"/>
      <c r="C144" s="135" t="s">
        <v>1133</v>
      </c>
      <c r="D144" s="135" t="s">
        <v>1134</v>
      </c>
      <c r="E144" s="135" t="s">
        <v>1135</v>
      </c>
      <c r="F144" s="135" t="s">
        <v>1135</v>
      </c>
      <c r="G144" s="159"/>
      <c r="H144" s="135" t="s">
        <v>25</v>
      </c>
      <c r="I144" s="159"/>
      <c r="J144" s="159"/>
      <c r="K144" s="159"/>
      <c r="L144" s="159"/>
      <c r="M144" s="159"/>
      <c r="N144" s="159"/>
      <c r="O144" s="159"/>
      <c r="P144" s="159"/>
      <c r="Q144" s="135" t="s">
        <v>25</v>
      </c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35" t="s">
        <v>1136</v>
      </c>
      <c r="AD144" s="68" t="s">
        <v>34</v>
      </c>
      <c r="AE144" s="176"/>
      <c r="AF144" s="91" t="str">
        <f t="shared" si="4"/>
        <v>S</v>
      </c>
      <c r="AG144" s="91" cm="1">
        <f t="array" ref="AG144">_xlfn.SWITCH(D144,"PTA12",2,"PTD1",2,"PTD0",3,"PTC16",1,"PTD5",1,"PTA5",2,"PTD6",2,"PTE8",2,(LEN(N144)+LEN(N144)-LEN(SUBSTITUTE(N144,"ADC",))-LEN(SUBSTITUTE(N144,"CMP",)))/3)</f>
        <v>0</v>
      </c>
      <c r="AH144" s="180" t="str">
        <f t="shared" si="5"/>
        <v>ILKG_33/50_S0</v>
      </c>
    </row>
    <row r="145" spans="1:34" x14ac:dyDescent="0.3">
      <c r="A145" s="219"/>
      <c r="B145" s="135">
        <v>153</v>
      </c>
      <c r="C145" s="135" t="s">
        <v>1017</v>
      </c>
      <c r="D145" s="135" t="s">
        <v>1018</v>
      </c>
      <c r="E145" s="135" t="s">
        <v>1019</v>
      </c>
      <c r="F145" s="135" t="s">
        <v>1019</v>
      </c>
      <c r="G145" s="159"/>
      <c r="H145" s="135" t="s">
        <v>39</v>
      </c>
      <c r="I145" s="159"/>
      <c r="J145" s="135" t="s">
        <v>538</v>
      </c>
      <c r="K145" s="159"/>
      <c r="L145" s="135" t="s">
        <v>695</v>
      </c>
      <c r="M145" s="159"/>
      <c r="N145" s="135" t="s">
        <v>1020</v>
      </c>
      <c r="O145" s="159"/>
      <c r="P145" s="159"/>
      <c r="Q145" s="135" t="s">
        <v>39</v>
      </c>
      <c r="R145" s="159"/>
      <c r="S145" s="135" t="s">
        <v>538</v>
      </c>
      <c r="T145" s="159"/>
      <c r="U145" s="135" t="s">
        <v>695</v>
      </c>
      <c r="V145" s="159"/>
      <c r="W145" s="159"/>
      <c r="X145" s="159"/>
      <c r="Y145" s="159"/>
      <c r="Z145" s="159"/>
      <c r="AA145" s="159"/>
      <c r="AB145" s="159"/>
      <c r="AC145" s="135" t="s">
        <v>1021</v>
      </c>
      <c r="AD145" s="68" t="s">
        <v>34</v>
      </c>
      <c r="AE145" s="175" t="s">
        <v>869</v>
      </c>
      <c r="AF145" s="91" t="str">
        <f t="shared" si="4"/>
        <v>S</v>
      </c>
      <c r="AG145" s="91" cm="1">
        <f t="array" ref="AG145">_xlfn.SWITCH(D145,"PTA12",2,"PTD1",2,"PTD0",3,"PTC16",1,"PTD5",1,"PTA5",2,"PTD6",2,"PTE8",2,(LEN(N145)+LEN(N145)-LEN(SUBSTITUTE(N145,"ADC",))-LEN(SUBSTITUTE(N145,"CMP",)))/3)</f>
        <v>1</v>
      </c>
      <c r="AH145" s="180" t="str">
        <f t="shared" si="5"/>
        <v>ILKG_33/50_S1</v>
      </c>
    </row>
    <row r="146" spans="1:34" x14ac:dyDescent="0.3">
      <c r="A146" s="219"/>
      <c r="B146" s="135">
        <v>154</v>
      </c>
      <c r="C146" s="135" t="s">
        <v>1022</v>
      </c>
      <c r="D146" s="135" t="s">
        <v>1023</v>
      </c>
      <c r="E146" s="135" t="s">
        <v>1024</v>
      </c>
      <c r="F146" s="135" t="s">
        <v>1024</v>
      </c>
      <c r="G146" s="159"/>
      <c r="H146" s="135" t="s">
        <v>50</v>
      </c>
      <c r="I146" s="159"/>
      <c r="J146" s="135" t="s">
        <v>549</v>
      </c>
      <c r="K146" s="159"/>
      <c r="L146" s="135" t="s">
        <v>710</v>
      </c>
      <c r="M146" s="159"/>
      <c r="N146" s="135" t="s">
        <v>1025</v>
      </c>
      <c r="O146" s="159"/>
      <c r="P146" s="159"/>
      <c r="Q146" s="135" t="s">
        <v>50</v>
      </c>
      <c r="R146" s="159"/>
      <c r="S146" s="135" t="s">
        <v>549</v>
      </c>
      <c r="T146" s="159"/>
      <c r="U146" s="135" t="s">
        <v>710</v>
      </c>
      <c r="V146" s="159"/>
      <c r="W146" s="159"/>
      <c r="X146" s="159"/>
      <c r="Y146" s="159"/>
      <c r="Z146" s="159"/>
      <c r="AA146" s="159"/>
      <c r="AB146" s="159"/>
      <c r="AC146" s="135" t="s">
        <v>1026</v>
      </c>
      <c r="AD146" s="68" t="s">
        <v>34</v>
      </c>
      <c r="AE146" s="175" t="s">
        <v>869</v>
      </c>
      <c r="AF146" s="91" t="str">
        <f t="shared" si="4"/>
        <v>S</v>
      </c>
      <c r="AG146" s="91" cm="1">
        <f t="array" ref="AG146">_xlfn.SWITCH(D146,"PTA12",2,"PTD1",2,"PTD0",3,"PTC16",1,"PTD5",1,"PTA5",2,"PTD6",2,"PTE8",2,(LEN(N146)+LEN(N146)-LEN(SUBSTITUTE(N146,"ADC",))-LEN(SUBSTITUTE(N146,"CMP",)))/3)</f>
        <v>1</v>
      </c>
      <c r="AH146" s="180" t="str">
        <f t="shared" si="5"/>
        <v>ILKG_33/50_S1</v>
      </c>
    </row>
    <row r="147" spans="1:34" x14ac:dyDescent="0.3">
      <c r="A147" s="219"/>
      <c r="B147" s="135">
        <v>156</v>
      </c>
      <c r="C147" s="135" t="s">
        <v>1033</v>
      </c>
      <c r="D147" s="135" t="s">
        <v>1034</v>
      </c>
      <c r="E147" s="135" t="s">
        <v>1035</v>
      </c>
      <c r="F147" s="135" t="s">
        <v>1035</v>
      </c>
      <c r="G147" s="159"/>
      <c r="H147" s="135" t="s">
        <v>91</v>
      </c>
      <c r="I147" s="159"/>
      <c r="J147" s="135" t="s">
        <v>566</v>
      </c>
      <c r="K147" s="159"/>
      <c r="L147" s="135" t="s">
        <v>702</v>
      </c>
      <c r="M147" s="159"/>
      <c r="N147" s="135" t="s">
        <v>1036</v>
      </c>
      <c r="O147" s="159"/>
      <c r="P147" s="159"/>
      <c r="Q147" s="135" t="s">
        <v>91</v>
      </c>
      <c r="R147" s="159"/>
      <c r="S147" s="135" t="s">
        <v>566</v>
      </c>
      <c r="T147" s="159"/>
      <c r="U147" s="135" t="s">
        <v>702</v>
      </c>
      <c r="V147" s="159"/>
      <c r="W147" s="159"/>
      <c r="X147" s="159"/>
      <c r="Y147" s="159"/>
      <c r="Z147" s="159"/>
      <c r="AA147" s="159"/>
      <c r="AB147" s="159"/>
      <c r="AC147" s="135" t="s">
        <v>1037</v>
      </c>
      <c r="AD147" s="68" t="s">
        <v>34</v>
      </c>
      <c r="AE147" s="175" t="s">
        <v>869</v>
      </c>
      <c r="AF147" s="91" t="str">
        <f t="shared" si="4"/>
        <v>S</v>
      </c>
      <c r="AG147" s="91" cm="1">
        <f t="array" ref="AG147">_xlfn.SWITCH(D147,"PTA12",2,"PTD1",2,"PTD0",3,"PTC16",1,"PTD5",1,"PTA5",2,"PTD6",2,"PTE8",2,(LEN(N147)+LEN(N147)-LEN(SUBSTITUTE(N147,"ADC",))-LEN(SUBSTITUTE(N147,"CMP",)))/3)</f>
        <v>1</v>
      </c>
      <c r="AH147" s="180" t="str">
        <f t="shared" si="5"/>
        <v>ILKG_33/50_S1</v>
      </c>
    </row>
    <row r="148" spans="1:34" x14ac:dyDescent="0.3">
      <c r="A148" s="219"/>
      <c r="B148" s="135">
        <v>157</v>
      </c>
      <c r="C148" s="135" t="s">
        <v>1038</v>
      </c>
      <c r="D148" s="135" t="s">
        <v>1039</v>
      </c>
      <c r="E148" s="135" t="s">
        <v>1040</v>
      </c>
      <c r="F148" s="135" t="s">
        <v>1040</v>
      </c>
      <c r="G148" s="159"/>
      <c r="H148" s="135" t="s">
        <v>168</v>
      </c>
      <c r="I148" s="135" t="s">
        <v>501</v>
      </c>
      <c r="J148" s="135" t="s">
        <v>748</v>
      </c>
      <c r="K148" s="135" t="s">
        <v>130</v>
      </c>
      <c r="L148" s="135" t="s">
        <v>681</v>
      </c>
      <c r="M148" s="135" t="s">
        <v>315</v>
      </c>
      <c r="N148" s="135" t="s">
        <v>1041</v>
      </c>
      <c r="O148" s="159"/>
      <c r="P148" s="159"/>
      <c r="Q148" s="135" t="s">
        <v>168</v>
      </c>
      <c r="R148" s="159"/>
      <c r="S148" s="135" t="s">
        <v>748</v>
      </c>
      <c r="T148" s="135" t="s">
        <v>130</v>
      </c>
      <c r="U148" s="135" t="s">
        <v>681</v>
      </c>
      <c r="V148" s="135" t="s">
        <v>315</v>
      </c>
      <c r="W148" s="159"/>
      <c r="X148" s="159"/>
      <c r="Y148" s="159"/>
      <c r="Z148" s="159"/>
      <c r="AA148" s="159"/>
      <c r="AB148" s="159"/>
      <c r="AC148" s="135" t="s">
        <v>1042</v>
      </c>
      <c r="AD148" s="68" t="s">
        <v>231</v>
      </c>
      <c r="AE148" s="175" t="s">
        <v>869</v>
      </c>
      <c r="AF148" s="91" t="str">
        <f t="shared" si="4"/>
        <v>SP</v>
      </c>
      <c r="AG148" s="91" cm="1">
        <f t="array" ref="AG148">_xlfn.SWITCH(D148,"PTA12",2,"PTD1",2,"PTD0",3,"PTC16",1,"PTD5",1,"PTA5",2,"PTD6",2,"PTE8",2,(LEN(N148)+LEN(N148)-LEN(SUBSTITUTE(N148,"ADC",))-LEN(SUBSTITUTE(N148,"CMP",)))/3)</f>
        <v>1</v>
      </c>
      <c r="AH148" s="180" t="str">
        <f t="shared" si="5"/>
        <v>ILKG_33/50_SP1</v>
      </c>
    </row>
    <row r="149" spans="1:34" x14ac:dyDescent="0.3">
      <c r="A149" s="219"/>
      <c r="B149" s="135">
        <v>158</v>
      </c>
      <c r="C149" s="135" t="s">
        <v>1043</v>
      </c>
      <c r="D149" s="135" t="s">
        <v>1044</v>
      </c>
      <c r="E149" s="135" t="s">
        <v>1045</v>
      </c>
      <c r="F149" s="135" t="s">
        <v>1045</v>
      </c>
      <c r="G149" s="159"/>
      <c r="H149" s="135" t="s">
        <v>150</v>
      </c>
      <c r="I149" s="159"/>
      <c r="J149" s="135" t="s">
        <v>759</v>
      </c>
      <c r="K149" s="159"/>
      <c r="L149" s="135" t="s">
        <v>687</v>
      </c>
      <c r="M149" s="159"/>
      <c r="N149" s="135" t="s">
        <v>1046</v>
      </c>
      <c r="O149" s="159"/>
      <c r="P149" s="159"/>
      <c r="Q149" s="135" t="s">
        <v>150</v>
      </c>
      <c r="R149" s="159"/>
      <c r="S149" s="135" t="s">
        <v>759</v>
      </c>
      <c r="T149" s="159"/>
      <c r="U149" s="135" t="s">
        <v>687</v>
      </c>
      <c r="V149" s="159"/>
      <c r="W149" s="135" t="s">
        <v>512</v>
      </c>
      <c r="X149" s="159"/>
      <c r="Y149" s="159"/>
      <c r="Z149" s="159"/>
      <c r="AA149" s="159"/>
      <c r="AB149" s="159"/>
      <c r="AC149" s="135" t="s">
        <v>1047</v>
      </c>
      <c r="AD149" s="68" t="s">
        <v>34</v>
      </c>
      <c r="AE149" s="175" t="s">
        <v>869</v>
      </c>
      <c r="AF149" s="91" t="str">
        <f t="shared" si="4"/>
        <v>S</v>
      </c>
      <c r="AG149" s="91" cm="1">
        <f t="array" ref="AG149">_xlfn.SWITCH(D149,"PTA12",2,"PTD1",2,"PTD0",3,"PTC16",1,"PTD5",1,"PTA5",2,"PTD6",2,"PTE8",2,(LEN(N149)+LEN(N149)-LEN(SUBSTITUTE(N149,"ADC",))-LEN(SUBSTITUTE(N149,"CMP",)))/3)</f>
        <v>1</v>
      </c>
      <c r="AH149" s="180" t="str">
        <f t="shared" si="5"/>
        <v>ILKG_33/50_S1</v>
      </c>
    </row>
    <row r="150" spans="1:34" x14ac:dyDescent="0.3">
      <c r="A150" s="219"/>
      <c r="B150" s="135">
        <v>164</v>
      </c>
      <c r="C150" s="135" t="s">
        <v>1075</v>
      </c>
      <c r="D150" s="135" t="s">
        <v>1076</v>
      </c>
      <c r="E150" s="135" t="s">
        <v>1077</v>
      </c>
      <c r="F150" s="135" t="s">
        <v>1077</v>
      </c>
      <c r="G150" s="159"/>
      <c r="H150" s="135" t="s">
        <v>723</v>
      </c>
      <c r="I150" s="159"/>
      <c r="J150" s="135" t="s">
        <v>770</v>
      </c>
      <c r="K150" s="159"/>
      <c r="L150" s="159"/>
      <c r="M150" s="159"/>
      <c r="N150" s="135" t="s">
        <v>1078</v>
      </c>
      <c r="O150" s="159"/>
      <c r="P150" s="159"/>
      <c r="Q150" s="135" t="s">
        <v>723</v>
      </c>
      <c r="R150" s="159"/>
      <c r="S150" s="135" t="s">
        <v>770</v>
      </c>
      <c r="T150" s="159"/>
      <c r="U150" s="159"/>
      <c r="V150" s="159"/>
      <c r="W150" s="159"/>
      <c r="X150" s="159"/>
      <c r="Y150" s="159"/>
      <c r="Z150" s="159"/>
      <c r="AA150" s="159"/>
      <c r="AB150" s="159"/>
      <c r="AC150" s="135" t="s">
        <v>1079</v>
      </c>
      <c r="AD150" s="68" t="s">
        <v>34</v>
      </c>
      <c r="AE150" s="175" t="s">
        <v>869</v>
      </c>
      <c r="AF150" s="91" t="str">
        <f t="shared" si="4"/>
        <v>S</v>
      </c>
      <c r="AG150" s="91" cm="1">
        <f t="array" ref="AG150">_xlfn.SWITCH(D150,"PTA12",2,"PTD1",2,"PTD0",3,"PTC16",1,"PTD5",1,"PTA5",2,"PTD6",2,"PTE8",2,(LEN(N150)+LEN(N150)-LEN(SUBSTITUTE(N150,"ADC",))-LEN(SUBSTITUTE(N150,"CMP",)))/3)</f>
        <v>1</v>
      </c>
      <c r="AH150" s="180" t="str">
        <f t="shared" si="5"/>
        <v>ILKG_33/50_S1</v>
      </c>
    </row>
    <row r="151" spans="1:34" x14ac:dyDescent="0.3">
      <c r="A151" s="219"/>
      <c r="B151" s="159"/>
      <c r="C151" s="135" t="s">
        <v>1137</v>
      </c>
      <c r="D151" s="135" t="s">
        <v>1138</v>
      </c>
      <c r="E151" s="135" t="s">
        <v>1139</v>
      </c>
      <c r="F151" s="135" t="s">
        <v>1139</v>
      </c>
      <c r="G151" s="159"/>
      <c r="H151" s="135" t="s">
        <v>179</v>
      </c>
      <c r="I151" s="159"/>
      <c r="J151" s="159"/>
      <c r="K151" s="159"/>
      <c r="L151" s="159"/>
      <c r="M151" s="159"/>
      <c r="N151" s="159"/>
      <c r="O151" s="159"/>
      <c r="P151" s="159"/>
      <c r="Q151" s="135" t="s">
        <v>179</v>
      </c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35" t="s">
        <v>1140</v>
      </c>
      <c r="AD151" s="68" t="s">
        <v>34</v>
      </c>
      <c r="AE151" s="176"/>
      <c r="AF151" s="91" t="str">
        <f t="shared" si="4"/>
        <v>S</v>
      </c>
      <c r="AG151" s="91" cm="1">
        <f t="array" ref="AG151">_xlfn.SWITCH(D151,"PTA12",2,"PTD1",2,"PTD0",3,"PTC16",1,"PTD5",1,"PTA5",2,"PTD6",2,"PTE8",2,(LEN(N151)+LEN(N151)-LEN(SUBSTITUTE(N151,"ADC",))-LEN(SUBSTITUTE(N151,"CMP",)))/3)</f>
        <v>0</v>
      </c>
      <c r="AH151" s="180" t="str">
        <f t="shared" si="5"/>
        <v>ILKG_33/50_S0</v>
      </c>
    </row>
    <row r="152" spans="1:34" x14ac:dyDescent="0.3">
      <c r="A152" s="219"/>
      <c r="B152" s="159"/>
      <c r="C152" s="135" t="s">
        <v>1141</v>
      </c>
      <c r="D152" s="135" t="s">
        <v>1142</v>
      </c>
      <c r="E152" s="135" t="s">
        <v>1143</v>
      </c>
      <c r="F152" s="135" t="s">
        <v>1143</v>
      </c>
      <c r="G152" s="135" t="s">
        <v>313</v>
      </c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35" t="s">
        <v>1144</v>
      </c>
      <c r="AD152" s="68" t="s">
        <v>231</v>
      </c>
      <c r="AE152" s="176"/>
      <c r="AF152" s="91" t="str">
        <f t="shared" si="4"/>
        <v>SP</v>
      </c>
      <c r="AG152" s="91" cm="1">
        <f t="array" ref="AG152">_xlfn.SWITCH(D152,"PTA12",2,"PTD1",2,"PTD0",3,"PTC16",1,"PTD5",1,"PTA5",2,"PTD6",2,"PTE8",2,(LEN(N152)+LEN(N152)-LEN(SUBSTITUTE(N152,"ADC",))-LEN(SUBSTITUTE(N152,"CMP",)))/3)</f>
        <v>0</v>
      </c>
      <c r="AH152" s="180" t="str">
        <f t="shared" si="5"/>
        <v>ILKG_33/50_SP0</v>
      </c>
    </row>
    <row r="153" spans="1:34" x14ac:dyDescent="0.3">
      <c r="A153" s="219"/>
      <c r="B153" s="159"/>
      <c r="C153" s="135" t="s">
        <v>1145</v>
      </c>
      <c r="D153" s="135" t="s">
        <v>1146</v>
      </c>
      <c r="E153" s="135" t="s">
        <v>1147</v>
      </c>
      <c r="F153" s="135" t="s">
        <v>1147</v>
      </c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35" t="s">
        <v>303</v>
      </c>
      <c r="X153" s="159"/>
      <c r="Y153" s="159"/>
      <c r="Z153" s="159"/>
      <c r="AA153" s="159"/>
      <c r="AB153" s="159"/>
      <c r="AC153" s="135" t="s">
        <v>1148</v>
      </c>
      <c r="AD153" s="68" t="s">
        <v>34</v>
      </c>
      <c r="AE153" s="176"/>
      <c r="AF153" s="91" t="str">
        <f t="shared" si="4"/>
        <v>S</v>
      </c>
      <c r="AG153" s="91" cm="1">
        <f t="array" ref="AG153">_xlfn.SWITCH(D153,"PTA12",2,"PTD1",2,"PTD0",3,"PTC16",1,"PTD5",1,"PTA5",2,"PTD6",2,"PTE8",2,(LEN(N153)+LEN(N153)-LEN(SUBSTITUTE(N153,"ADC",))-LEN(SUBSTITUTE(N153,"CMP",)))/3)</f>
        <v>0</v>
      </c>
      <c r="AH153" s="180" t="str">
        <f t="shared" si="5"/>
        <v>ILKG_33/50_S0</v>
      </c>
    </row>
    <row r="154" spans="1:34" x14ac:dyDescent="0.3">
      <c r="A154" s="218">
        <v>18</v>
      </c>
      <c r="B154" s="135">
        <v>27</v>
      </c>
      <c r="C154" s="135" t="s">
        <v>222</v>
      </c>
      <c r="D154" s="135" t="s">
        <v>223</v>
      </c>
      <c r="E154" s="135" t="s">
        <v>224</v>
      </c>
      <c r="F154" s="135" t="s">
        <v>224</v>
      </c>
      <c r="G154" s="135" t="s">
        <v>225</v>
      </c>
      <c r="H154" s="159"/>
      <c r="I154" s="135" t="s">
        <v>157</v>
      </c>
      <c r="J154" s="135" t="s">
        <v>171</v>
      </c>
      <c r="K154" s="135" t="s">
        <v>226</v>
      </c>
      <c r="L154" s="135" t="s">
        <v>227</v>
      </c>
      <c r="M154" s="135" t="s">
        <v>228</v>
      </c>
      <c r="N154" s="159"/>
      <c r="O154" s="159"/>
      <c r="P154" s="159"/>
      <c r="Q154" s="159"/>
      <c r="R154" s="135" t="s">
        <v>157</v>
      </c>
      <c r="S154" s="135" t="s">
        <v>171</v>
      </c>
      <c r="T154" s="159"/>
      <c r="U154" s="135" t="s">
        <v>227</v>
      </c>
      <c r="V154" s="159"/>
      <c r="W154" s="135" t="s">
        <v>96</v>
      </c>
      <c r="X154" s="135" t="s">
        <v>120</v>
      </c>
      <c r="Y154" s="135" t="s">
        <v>229</v>
      </c>
      <c r="Z154" s="159"/>
      <c r="AA154" s="159"/>
      <c r="AB154" s="159"/>
      <c r="AC154" s="135" t="s">
        <v>230</v>
      </c>
      <c r="AD154" s="68" t="s">
        <v>231</v>
      </c>
      <c r="AE154" s="176"/>
      <c r="AF154" s="91" t="str">
        <f t="shared" si="4"/>
        <v>SP</v>
      </c>
      <c r="AG154" s="91" cm="1">
        <f t="array" ref="AG154">_xlfn.SWITCH(D154,"PTA12",2,"PTD1",2,"PTD0",3,"PTC16",1,"PTD5",1,"PTA5",2,"PTD6",2,"PTE8",2,(LEN(N154)+LEN(N154)-LEN(SUBSTITUTE(N154,"ADC",))-LEN(SUBSTITUTE(N154,"CMP",)))/3)</f>
        <v>0</v>
      </c>
      <c r="AH154" s="180" t="str">
        <f t="shared" si="5"/>
        <v>ILKG_33/50_SP0</v>
      </c>
    </row>
    <row r="155" spans="1:34" x14ac:dyDescent="0.3">
      <c r="A155" s="219"/>
      <c r="B155" s="159"/>
      <c r="C155" s="135" t="s">
        <v>1149</v>
      </c>
      <c r="D155" s="135" t="s">
        <v>1150</v>
      </c>
      <c r="E155" s="135" t="s">
        <v>1151</v>
      </c>
      <c r="F155" s="135" t="s">
        <v>1151</v>
      </c>
      <c r="G155" s="135" t="s">
        <v>225</v>
      </c>
      <c r="H155" s="135" t="s">
        <v>1052</v>
      </c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35" t="s">
        <v>1152</v>
      </c>
      <c r="AD155" s="68" t="s">
        <v>231</v>
      </c>
      <c r="AE155" s="176"/>
      <c r="AF155" s="91" t="str">
        <f t="shared" si="4"/>
        <v>SP</v>
      </c>
      <c r="AG155" s="91" cm="1">
        <f t="array" ref="AG155">_xlfn.SWITCH(D155,"PTA12",2,"PTD1",2,"PTD0",3,"PTC16",1,"PTD5",1,"PTA5",2,"PTD6",2,"PTE8",2,(LEN(N155)+LEN(N155)-LEN(SUBSTITUTE(N155,"ADC",))-LEN(SUBSTITUTE(N155,"CMP",)))/3)</f>
        <v>0</v>
      </c>
      <c r="AH155" s="180" t="str">
        <f t="shared" si="5"/>
        <v>ILKG_33/50_SP0</v>
      </c>
    </row>
    <row r="156" spans="1:34" x14ac:dyDescent="0.3">
      <c r="A156" s="219"/>
      <c r="B156" s="159"/>
      <c r="C156" s="135" t="s">
        <v>1153</v>
      </c>
      <c r="D156" s="135" t="s">
        <v>1154</v>
      </c>
      <c r="E156" s="135" t="s">
        <v>1155</v>
      </c>
      <c r="F156" s="135" t="s">
        <v>1155</v>
      </c>
      <c r="G156" s="159"/>
      <c r="H156" s="135" t="s">
        <v>78</v>
      </c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35" t="s">
        <v>219</v>
      </c>
      <c r="X156" s="159"/>
      <c r="Y156" s="159"/>
      <c r="Z156" s="159"/>
      <c r="AA156" s="159"/>
      <c r="AB156" s="159"/>
      <c r="AC156" s="135" t="s">
        <v>1156</v>
      </c>
      <c r="AD156" s="68" t="s">
        <v>34</v>
      </c>
      <c r="AE156" s="176"/>
      <c r="AF156" s="91" t="str">
        <f t="shared" si="4"/>
        <v>S</v>
      </c>
      <c r="AG156" s="91" cm="1">
        <f t="array" ref="AG156">_xlfn.SWITCH(D156,"PTA12",2,"PTD1",2,"PTD0",3,"PTC16",1,"PTD5",1,"PTA5",2,"PTD6",2,"PTE8",2,(LEN(N156)+LEN(N156)-LEN(SUBSTITUTE(N156,"ADC",))-LEN(SUBSTITUTE(N156,"CMP",)))/3)</f>
        <v>0</v>
      </c>
      <c r="AH156" s="180" t="str">
        <f t="shared" si="5"/>
        <v>ILKG_33/50_S0</v>
      </c>
    </row>
    <row r="157" spans="1:34" x14ac:dyDescent="0.3">
      <c r="A157" s="219"/>
      <c r="B157" s="135">
        <v>13</v>
      </c>
      <c r="C157" s="135" t="s">
        <v>163</v>
      </c>
      <c r="D157" s="135" t="s">
        <v>164</v>
      </c>
      <c r="E157" s="135" t="s">
        <v>165</v>
      </c>
      <c r="F157" s="135" t="s">
        <v>165</v>
      </c>
      <c r="G157" s="135" t="s">
        <v>166</v>
      </c>
      <c r="H157" s="135" t="s">
        <v>167</v>
      </c>
      <c r="I157" s="135" t="s">
        <v>168</v>
      </c>
      <c r="J157" s="135" t="s">
        <v>169</v>
      </c>
      <c r="K157" s="135" t="s">
        <v>170</v>
      </c>
      <c r="L157" s="135" t="s">
        <v>171</v>
      </c>
      <c r="M157" s="159"/>
      <c r="N157" s="135" t="s">
        <v>172</v>
      </c>
      <c r="O157" s="159"/>
      <c r="P157" s="135" t="s">
        <v>166</v>
      </c>
      <c r="Q157" s="135" t="s">
        <v>167</v>
      </c>
      <c r="R157" s="135" t="s">
        <v>168</v>
      </c>
      <c r="S157" s="135" t="s">
        <v>169</v>
      </c>
      <c r="T157" s="135" t="s">
        <v>170</v>
      </c>
      <c r="U157" s="135" t="s">
        <v>171</v>
      </c>
      <c r="V157" s="159"/>
      <c r="W157" s="135" t="s">
        <v>173</v>
      </c>
      <c r="X157" s="159"/>
      <c r="Y157" s="159"/>
      <c r="Z157" s="159"/>
      <c r="AA157" s="159"/>
      <c r="AB157" s="159"/>
      <c r="AC157" s="135" t="s">
        <v>174</v>
      </c>
      <c r="AD157" s="68" t="s">
        <v>34</v>
      </c>
      <c r="AE157" s="175" t="s">
        <v>35</v>
      </c>
      <c r="AF157" s="91" t="str">
        <f t="shared" si="4"/>
        <v>S</v>
      </c>
      <c r="AG157" s="91" cm="1">
        <f t="array" ref="AG157">_xlfn.SWITCH(D157,"PTA12",2,"PTD1",2,"PTD0",3,"PTC16",1,"PTD5",1,"PTA5",2,"PTD6",2,"PTE8",2,(LEN(N157)+LEN(N157)-LEN(SUBSTITUTE(N157,"ADC",))-LEN(SUBSTITUTE(N157,"CMP",)))/3)</f>
        <v>1</v>
      </c>
      <c r="AH157" s="180" t="str">
        <f t="shared" si="5"/>
        <v>ILKG_33/50_S1</v>
      </c>
    </row>
    <row r="158" spans="1:34" x14ac:dyDescent="0.3">
      <c r="A158" s="219"/>
      <c r="B158" s="135">
        <v>12</v>
      </c>
      <c r="C158" s="135" t="s">
        <v>154</v>
      </c>
      <c r="D158" s="135" t="s">
        <v>155</v>
      </c>
      <c r="E158" s="135" t="s">
        <v>156</v>
      </c>
      <c r="F158" s="135" t="s">
        <v>156</v>
      </c>
      <c r="G158" s="159"/>
      <c r="H158" s="159"/>
      <c r="I158" s="135" t="s">
        <v>150</v>
      </c>
      <c r="J158" s="135" t="s">
        <v>157</v>
      </c>
      <c r="K158" s="159"/>
      <c r="L158" s="135" t="s">
        <v>158</v>
      </c>
      <c r="M158" s="159"/>
      <c r="N158" s="135" t="s">
        <v>159</v>
      </c>
      <c r="O158" s="159"/>
      <c r="P158" s="159"/>
      <c r="Q158" s="159"/>
      <c r="R158" s="135" t="s">
        <v>150</v>
      </c>
      <c r="S158" s="135" t="s">
        <v>157</v>
      </c>
      <c r="T158" s="159"/>
      <c r="U158" s="135" t="s">
        <v>158</v>
      </c>
      <c r="V158" s="159"/>
      <c r="W158" s="135" t="s">
        <v>160</v>
      </c>
      <c r="X158" s="135" t="s">
        <v>161</v>
      </c>
      <c r="Y158" s="159"/>
      <c r="Z158" s="159"/>
      <c r="AA158" s="159"/>
      <c r="AB158" s="159"/>
      <c r="AC158" s="135" t="s">
        <v>162</v>
      </c>
      <c r="AD158" s="68" t="s">
        <v>34</v>
      </c>
      <c r="AE158" s="175" t="s">
        <v>35</v>
      </c>
      <c r="AF158" s="91" t="str">
        <f t="shared" si="4"/>
        <v>S</v>
      </c>
      <c r="AG158" s="91" cm="1">
        <f t="array" ref="AG158">_xlfn.SWITCH(D158,"PTA12",2,"PTD1",2,"PTD0",3,"PTC16",1,"PTD5",1,"PTA5",2,"PTD6",2,"PTE8",2,(LEN(N158)+LEN(N158)-LEN(SUBSTITUTE(N158,"ADC",))-LEN(SUBSTITUTE(N158,"CMP",)))/3)</f>
        <v>1</v>
      </c>
      <c r="AH158" s="180" t="str">
        <f t="shared" si="5"/>
        <v>ILKG_33/50_S1</v>
      </c>
    </row>
    <row r="159" spans="1:34" x14ac:dyDescent="0.3">
      <c r="A159" s="218">
        <v>84</v>
      </c>
      <c r="B159" s="135">
        <v>146</v>
      </c>
      <c r="C159" s="135" t="s">
        <v>998</v>
      </c>
      <c r="D159" s="135" t="s">
        <v>999</v>
      </c>
      <c r="E159" s="135" t="s">
        <v>1000</v>
      </c>
      <c r="F159" s="135" t="s">
        <v>1000</v>
      </c>
      <c r="G159" s="159"/>
      <c r="H159" s="135" t="s">
        <v>412</v>
      </c>
      <c r="I159" s="135" t="s">
        <v>64</v>
      </c>
      <c r="J159" s="135" t="s">
        <v>298</v>
      </c>
      <c r="K159" s="135" t="s">
        <v>623</v>
      </c>
      <c r="L159" s="135" t="s">
        <v>383</v>
      </c>
      <c r="M159" s="135" t="s">
        <v>555</v>
      </c>
      <c r="N159" s="135" t="s">
        <v>1001</v>
      </c>
      <c r="O159" s="159"/>
      <c r="P159" s="159"/>
      <c r="Q159" s="135" t="s">
        <v>412</v>
      </c>
      <c r="R159" s="159"/>
      <c r="S159" s="135" t="s">
        <v>298</v>
      </c>
      <c r="T159" s="135" t="s">
        <v>623</v>
      </c>
      <c r="U159" s="135" t="s">
        <v>383</v>
      </c>
      <c r="V159" s="159"/>
      <c r="W159" s="135" t="s">
        <v>255</v>
      </c>
      <c r="X159" s="159"/>
      <c r="Y159" s="159"/>
      <c r="Z159" s="159"/>
      <c r="AA159" s="159"/>
      <c r="AB159" s="159"/>
      <c r="AC159" s="135" t="s">
        <v>1002</v>
      </c>
      <c r="AD159" s="68" t="s">
        <v>34</v>
      </c>
      <c r="AE159" s="175" t="s">
        <v>969</v>
      </c>
      <c r="AF159" s="91" t="str">
        <f t="shared" si="4"/>
        <v>S</v>
      </c>
      <c r="AG159" s="91" cm="1">
        <f t="array" ref="AG159">_xlfn.SWITCH(D159,"PTA12",2,"PTD1",2,"PTD0",3,"PTC16",1,"PTD5",1,"PTA5",2,"PTD6",2,"PTE8",2,(LEN(N159)+LEN(N159)-LEN(SUBSTITUTE(N159,"ADC",))-LEN(SUBSTITUTE(N159,"CMP",)))/3)</f>
        <v>1</v>
      </c>
      <c r="AH159" s="180" t="str">
        <f t="shared" si="5"/>
        <v>ILKG_33/50_S1</v>
      </c>
    </row>
    <row r="160" spans="1:34" x14ac:dyDescent="0.3">
      <c r="A160" s="219"/>
      <c r="B160" s="135">
        <v>104</v>
      </c>
      <c r="C160" s="135" t="s">
        <v>774</v>
      </c>
      <c r="D160" s="135" t="s">
        <v>775</v>
      </c>
      <c r="E160" s="135" t="s">
        <v>776</v>
      </c>
      <c r="F160" s="135" t="s">
        <v>776</v>
      </c>
      <c r="G160" s="159"/>
      <c r="H160" s="135" t="s">
        <v>312</v>
      </c>
      <c r="I160" s="159"/>
      <c r="J160" s="159"/>
      <c r="K160" s="159"/>
      <c r="L160" s="135" t="s">
        <v>104</v>
      </c>
      <c r="M160" s="135" t="s">
        <v>315</v>
      </c>
      <c r="N160" s="135" t="s">
        <v>777</v>
      </c>
      <c r="O160" s="159"/>
      <c r="P160" s="159"/>
      <c r="Q160" s="135" t="s">
        <v>312</v>
      </c>
      <c r="R160" s="159"/>
      <c r="S160" s="159"/>
      <c r="T160" s="159"/>
      <c r="U160" s="135" t="s">
        <v>104</v>
      </c>
      <c r="V160" s="135" t="s">
        <v>315</v>
      </c>
      <c r="W160" s="135" t="s">
        <v>145</v>
      </c>
      <c r="X160" s="159"/>
      <c r="Y160" s="159"/>
      <c r="Z160" s="159"/>
      <c r="AA160" s="159"/>
      <c r="AB160" s="159"/>
      <c r="AC160" s="135" t="s">
        <v>778</v>
      </c>
      <c r="AD160" s="68" t="s">
        <v>34</v>
      </c>
      <c r="AE160" s="175" t="s">
        <v>35</v>
      </c>
      <c r="AF160" s="91" t="str">
        <f t="shared" si="4"/>
        <v>S</v>
      </c>
      <c r="AG160" s="91" cm="1">
        <f t="array" ref="AG160">_xlfn.SWITCH(D160,"PTA12",2,"PTD1",2,"PTD0",3,"PTC16",1,"PTD5",1,"PTA5",2,"PTD6",2,"PTE8",2,(LEN(N160)+LEN(N160)-LEN(SUBSTITUTE(N160,"ADC",))-LEN(SUBSTITUTE(N160,"CMP",)))/3)</f>
        <v>1</v>
      </c>
      <c r="AH160" s="180" t="str">
        <f t="shared" si="5"/>
        <v>ILKG_33/50_S1</v>
      </c>
    </row>
    <row r="161" spans="1:34" x14ac:dyDescent="0.3">
      <c r="A161" s="218">
        <v>26</v>
      </c>
      <c r="B161" s="135">
        <v>46</v>
      </c>
      <c r="C161" s="135" t="s">
        <v>377</v>
      </c>
      <c r="D161" s="135" t="s">
        <v>378</v>
      </c>
      <c r="E161" s="135" t="s">
        <v>379</v>
      </c>
      <c r="F161" s="135" t="s">
        <v>379</v>
      </c>
      <c r="G161" s="135" t="s">
        <v>380</v>
      </c>
      <c r="H161" s="135" t="s">
        <v>381</v>
      </c>
      <c r="I161" s="135" t="s">
        <v>382</v>
      </c>
      <c r="J161" s="135" t="s">
        <v>383</v>
      </c>
      <c r="K161" s="135" t="s">
        <v>262</v>
      </c>
      <c r="L161" s="135" t="s">
        <v>384</v>
      </c>
      <c r="M161" s="135" t="s">
        <v>246</v>
      </c>
      <c r="N161" s="135" t="s">
        <v>385</v>
      </c>
      <c r="O161" s="159"/>
      <c r="P161" s="135" t="s">
        <v>380</v>
      </c>
      <c r="Q161" s="135" t="s">
        <v>381</v>
      </c>
      <c r="R161" s="135" t="s">
        <v>382</v>
      </c>
      <c r="S161" s="135" t="s">
        <v>383</v>
      </c>
      <c r="T161" s="159"/>
      <c r="U161" s="135" t="s">
        <v>384</v>
      </c>
      <c r="V161" s="135" t="s">
        <v>246</v>
      </c>
      <c r="W161" s="135" t="s">
        <v>283</v>
      </c>
      <c r="X161" s="159"/>
      <c r="Y161" s="159"/>
      <c r="Z161" s="159"/>
      <c r="AA161" s="159"/>
      <c r="AB161" s="159"/>
      <c r="AC161" s="135" t="s">
        <v>386</v>
      </c>
      <c r="AD161" s="68" t="s">
        <v>387</v>
      </c>
      <c r="AE161" s="176"/>
      <c r="AF161" s="91" t="str">
        <f t="shared" si="4"/>
        <v>M</v>
      </c>
      <c r="AG161" s="91" cm="1">
        <f t="array" ref="AG161">_xlfn.SWITCH(D161,"PTA12",2,"PTD1",2,"PTD0",3,"PTC16",1,"PTD5",1,"PTA5",2,"PTD6",2,"PTE8",2,(LEN(N161)+LEN(N161)-LEN(SUBSTITUTE(N161,"ADC",))-LEN(SUBSTITUTE(N161,"CMP",)))/3)</f>
        <v>2</v>
      </c>
      <c r="AH161" s="180" t="str">
        <f t="shared" si="5"/>
        <v>ILKG_33/50_M2</v>
      </c>
    </row>
    <row r="162" spans="1:34" x14ac:dyDescent="0.3">
      <c r="A162" s="218">
        <v>23</v>
      </c>
      <c r="B162" s="135">
        <v>36</v>
      </c>
      <c r="C162" s="135" t="s">
        <v>308</v>
      </c>
      <c r="D162" s="135" t="s">
        <v>309</v>
      </c>
      <c r="E162" s="135" t="s">
        <v>310</v>
      </c>
      <c r="F162" s="135" t="s">
        <v>310</v>
      </c>
      <c r="G162" s="135" t="s">
        <v>311</v>
      </c>
      <c r="H162" s="135" t="s">
        <v>312</v>
      </c>
      <c r="I162" s="135" t="s">
        <v>279</v>
      </c>
      <c r="J162" s="135" t="s">
        <v>313</v>
      </c>
      <c r="K162" s="135" t="s">
        <v>245</v>
      </c>
      <c r="L162" s="135" t="s">
        <v>314</v>
      </c>
      <c r="M162" s="135" t="s">
        <v>315</v>
      </c>
      <c r="N162" s="135" t="s">
        <v>316</v>
      </c>
      <c r="O162" s="159"/>
      <c r="P162" s="135" t="s">
        <v>311</v>
      </c>
      <c r="Q162" s="135" t="s">
        <v>312</v>
      </c>
      <c r="R162" s="135" t="s">
        <v>279</v>
      </c>
      <c r="S162" s="159"/>
      <c r="T162" s="135" t="s">
        <v>245</v>
      </c>
      <c r="U162" s="159"/>
      <c r="V162" s="135" t="s">
        <v>315</v>
      </c>
      <c r="W162" s="135" t="s">
        <v>119</v>
      </c>
      <c r="X162" s="135" t="s">
        <v>305</v>
      </c>
      <c r="Y162" s="159"/>
      <c r="Z162" s="159"/>
      <c r="AA162" s="159"/>
      <c r="AB162" s="159"/>
      <c r="AC162" s="135" t="s">
        <v>317</v>
      </c>
      <c r="AD162" s="68" t="s">
        <v>231</v>
      </c>
      <c r="AE162" s="176"/>
      <c r="AF162" s="91" t="str">
        <f t="shared" si="4"/>
        <v>SP</v>
      </c>
      <c r="AG162" s="91" cm="1">
        <f t="array" ref="AG162">_xlfn.SWITCH(D162,"PTA12",2,"PTD1",2,"PTD0",3,"PTC16",1,"PTD5",1,"PTA5",2,"PTD6",2,"PTE8",2,(LEN(N162)+LEN(N162)-LEN(SUBSTITUTE(N162,"ADC",))-LEN(SUBSTITUTE(N162,"CMP",)))/3)</f>
        <v>1</v>
      </c>
      <c r="AH162" s="180" t="str">
        <f t="shared" si="5"/>
        <v>ILKG_33/50_SP1</v>
      </c>
    </row>
    <row r="163" spans="1:34" x14ac:dyDescent="0.3">
      <c r="A163" s="219"/>
      <c r="B163" s="159"/>
      <c r="C163" s="135" t="s">
        <v>1157</v>
      </c>
      <c r="D163" s="135" t="s">
        <v>1158</v>
      </c>
      <c r="E163" s="135" t="s">
        <v>1159</v>
      </c>
      <c r="F163" s="135" t="s">
        <v>1159</v>
      </c>
      <c r="G163" s="135" t="s">
        <v>102</v>
      </c>
      <c r="H163" s="135" t="s">
        <v>29</v>
      </c>
      <c r="I163" s="135" t="s">
        <v>76</v>
      </c>
      <c r="J163" s="159"/>
      <c r="K163" s="159"/>
      <c r="L163" s="159"/>
      <c r="M163" s="159"/>
      <c r="N163" s="159"/>
      <c r="O163" s="159"/>
      <c r="P163" s="135" t="s">
        <v>102</v>
      </c>
      <c r="Q163" s="135" t="s">
        <v>29</v>
      </c>
      <c r="R163" s="135" t="s">
        <v>76</v>
      </c>
      <c r="S163" s="159"/>
      <c r="T163" s="159"/>
      <c r="U163" s="159"/>
      <c r="V163" s="159"/>
      <c r="W163" s="135" t="s">
        <v>31</v>
      </c>
      <c r="X163" s="159"/>
      <c r="Y163" s="159"/>
      <c r="Z163" s="159"/>
      <c r="AA163" s="159"/>
      <c r="AB163" s="159"/>
      <c r="AC163" s="135" t="s">
        <v>1160</v>
      </c>
      <c r="AD163" s="68" t="s">
        <v>34</v>
      </c>
      <c r="AE163" s="176"/>
      <c r="AF163" s="91" t="str">
        <f t="shared" si="4"/>
        <v>S</v>
      </c>
      <c r="AG163" s="91" cm="1">
        <f t="array" ref="AG163">_xlfn.SWITCH(D163,"PTA12",2,"PTD1",2,"PTD0",3,"PTC16",1,"PTD5",1,"PTA5",2,"PTD6",2,"PTE8",2,(LEN(N163)+LEN(N163)-LEN(SUBSTITUTE(N163,"ADC",))-LEN(SUBSTITUTE(N163,"CMP",)))/3)</f>
        <v>0</v>
      </c>
      <c r="AH163" s="180" t="str">
        <f t="shared" si="5"/>
        <v>ILKG_33/50_S0</v>
      </c>
    </row>
    <row r="164" spans="1:34" x14ac:dyDescent="0.3">
      <c r="A164" s="219"/>
      <c r="B164" s="159"/>
      <c r="C164" s="135" t="s">
        <v>1161</v>
      </c>
      <c r="D164" s="135" t="s">
        <v>1162</v>
      </c>
      <c r="E164" s="135" t="s">
        <v>1163</v>
      </c>
      <c r="F164" s="135" t="s">
        <v>1163</v>
      </c>
      <c r="G164" s="159"/>
      <c r="H164" s="135" t="s">
        <v>41</v>
      </c>
      <c r="I164" s="135" t="s">
        <v>62</v>
      </c>
      <c r="J164" s="159"/>
      <c r="K164" s="159"/>
      <c r="L164" s="159"/>
      <c r="M164" s="159"/>
      <c r="N164" s="159"/>
      <c r="O164" s="159"/>
      <c r="P164" s="159"/>
      <c r="Q164" s="135" t="s">
        <v>41</v>
      </c>
      <c r="R164" s="135" t="s">
        <v>62</v>
      </c>
      <c r="S164" s="159"/>
      <c r="T164" s="159"/>
      <c r="U164" s="159"/>
      <c r="V164" s="159"/>
      <c r="W164" s="135" t="s">
        <v>43</v>
      </c>
      <c r="X164" s="135" t="s">
        <v>120</v>
      </c>
      <c r="Y164" s="159"/>
      <c r="Z164" s="159"/>
      <c r="AA164" s="159"/>
      <c r="AB164" s="159"/>
      <c r="AC164" s="135" t="s">
        <v>1164</v>
      </c>
      <c r="AD164" s="68" t="s">
        <v>34</v>
      </c>
      <c r="AE164" s="176"/>
      <c r="AF164" s="91" t="str">
        <f t="shared" si="4"/>
        <v>S</v>
      </c>
      <c r="AG164" s="91" cm="1">
        <f t="array" ref="AG164">_xlfn.SWITCH(D164,"PTA12",2,"PTD1",2,"PTD0",3,"PTC16",1,"PTD5",1,"PTA5",2,"PTD6",2,"PTE8",2,(LEN(N164)+LEN(N164)-LEN(SUBSTITUTE(N164,"ADC",))-LEN(SUBSTITUTE(N164,"CMP",)))/3)</f>
        <v>0</v>
      </c>
      <c r="AH164" s="180" t="str">
        <f t="shared" si="5"/>
        <v>ILKG_33/50_S0</v>
      </c>
    </row>
    <row r="165" spans="1:34" x14ac:dyDescent="0.3">
      <c r="A165" s="219"/>
      <c r="B165" s="159"/>
      <c r="C165" s="135" t="s">
        <v>1197</v>
      </c>
      <c r="D165" s="135" t="s">
        <v>1198</v>
      </c>
      <c r="E165" s="135" t="s">
        <v>1199</v>
      </c>
      <c r="F165" s="135" t="s">
        <v>1199</v>
      </c>
      <c r="G165" s="159"/>
      <c r="H165" s="135" t="s">
        <v>238</v>
      </c>
      <c r="I165" s="135" t="s">
        <v>555</v>
      </c>
      <c r="J165" s="159"/>
      <c r="K165" s="159"/>
      <c r="L165" s="159"/>
      <c r="M165" s="159"/>
      <c r="N165" s="159"/>
      <c r="O165" s="159"/>
      <c r="P165" s="159"/>
      <c r="Q165" s="135" t="s">
        <v>238</v>
      </c>
      <c r="R165" s="159"/>
      <c r="S165" s="159"/>
      <c r="T165" s="159"/>
      <c r="U165" s="159"/>
      <c r="V165" s="159"/>
      <c r="W165" s="135" t="s">
        <v>669</v>
      </c>
      <c r="X165" s="159"/>
      <c r="Y165" s="159"/>
      <c r="Z165" s="159"/>
      <c r="AA165" s="159"/>
      <c r="AB165" s="159"/>
      <c r="AC165" s="135" t="s">
        <v>1200</v>
      </c>
      <c r="AD165" s="68" t="s">
        <v>34</v>
      </c>
      <c r="AE165" s="176"/>
      <c r="AF165" s="91" t="str">
        <f t="shared" si="4"/>
        <v>S</v>
      </c>
      <c r="AG165" s="91" cm="1">
        <f t="array" ref="AG165">_xlfn.SWITCH(D165,"PTA12",2,"PTD1",2,"PTD0",3,"PTC16",1,"PTD5",1,"PTA5",2,"PTD6",2,"PTE8",2,(LEN(N165)+LEN(N165)-LEN(SUBSTITUTE(N165,"ADC",))-LEN(SUBSTITUTE(N165,"CMP",)))/3)</f>
        <v>0</v>
      </c>
      <c r="AH165" s="180" t="str">
        <f t="shared" si="5"/>
        <v>ILKG_33/50_S0</v>
      </c>
    </row>
    <row r="166" spans="1:34" x14ac:dyDescent="0.3">
      <c r="A166" s="219"/>
      <c r="B166" s="159"/>
      <c r="C166" s="135" t="s">
        <v>1201</v>
      </c>
      <c r="D166" s="135" t="s">
        <v>1202</v>
      </c>
      <c r="E166" s="135" t="s">
        <v>1203</v>
      </c>
      <c r="F166" s="135" t="s">
        <v>1203</v>
      </c>
      <c r="G166" s="159"/>
      <c r="H166" s="135" t="s">
        <v>253</v>
      </c>
      <c r="I166" s="135" t="s">
        <v>528</v>
      </c>
      <c r="J166" s="159"/>
      <c r="K166" s="159"/>
      <c r="L166" s="159"/>
      <c r="M166" s="159"/>
      <c r="N166" s="159"/>
      <c r="O166" s="159"/>
      <c r="P166" s="159"/>
      <c r="Q166" s="135" t="s">
        <v>253</v>
      </c>
      <c r="R166" s="159"/>
      <c r="S166" s="159"/>
      <c r="T166" s="159"/>
      <c r="U166" s="159"/>
      <c r="V166" s="159"/>
      <c r="W166" s="135" t="s">
        <v>676</v>
      </c>
      <c r="X166" s="135" t="s">
        <v>717</v>
      </c>
      <c r="Y166" s="159"/>
      <c r="Z166" s="159"/>
      <c r="AA166" s="159"/>
      <c r="AB166" s="159"/>
      <c r="AC166" s="135" t="s">
        <v>1204</v>
      </c>
      <c r="AD166" s="68" t="s">
        <v>34</v>
      </c>
      <c r="AE166" s="176"/>
      <c r="AF166" s="91" t="str">
        <f t="shared" si="4"/>
        <v>S</v>
      </c>
      <c r="AG166" s="91" cm="1">
        <f t="array" ref="AG166">_xlfn.SWITCH(D166,"PTA12",2,"PTD1",2,"PTD0",3,"PTC16",1,"PTD5",1,"PTA5",2,"PTD6",2,"PTE8",2,(LEN(N166)+LEN(N166)-LEN(SUBSTITUTE(N166,"ADC",))-LEN(SUBSTITUTE(N166,"CMP",)))/3)</f>
        <v>0</v>
      </c>
      <c r="AH166" s="180" t="str">
        <f t="shared" si="5"/>
        <v>ILKG_33/50_S0</v>
      </c>
    </row>
    <row r="167" spans="1:34" x14ac:dyDescent="0.3">
      <c r="A167" s="219"/>
      <c r="B167" s="159"/>
      <c r="C167" s="135" t="s">
        <v>1205</v>
      </c>
      <c r="D167" s="135" t="s">
        <v>1206</v>
      </c>
      <c r="E167" s="135" t="s">
        <v>1207</v>
      </c>
      <c r="F167" s="135" t="s">
        <v>1207</v>
      </c>
      <c r="G167" s="135" t="s">
        <v>623</v>
      </c>
      <c r="H167" s="135" t="s">
        <v>274</v>
      </c>
      <c r="I167" s="135" t="s">
        <v>582</v>
      </c>
      <c r="J167" s="135" t="s">
        <v>138</v>
      </c>
      <c r="K167" s="159"/>
      <c r="L167" s="159"/>
      <c r="M167" s="159"/>
      <c r="N167" s="159"/>
      <c r="O167" s="159"/>
      <c r="P167" s="135" t="s">
        <v>623</v>
      </c>
      <c r="Q167" s="135" t="s">
        <v>274</v>
      </c>
      <c r="R167" s="159"/>
      <c r="S167" s="135" t="s">
        <v>138</v>
      </c>
      <c r="T167" s="159"/>
      <c r="U167" s="159"/>
      <c r="V167" s="159"/>
      <c r="W167" s="135" t="s">
        <v>641</v>
      </c>
      <c r="X167" s="159"/>
      <c r="Y167" s="159"/>
      <c r="Z167" s="159"/>
      <c r="AA167" s="159"/>
      <c r="AB167" s="159"/>
      <c r="AC167" s="135" t="s">
        <v>1208</v>
      </c>
      <c r="AD167" s="68" t="s">
        <v>34</v>
      </c>
      <c r="AE167" s="176"/>
      <c r="AF167" s="91" t="str">
        <f t="shared" si="4"/>
        <v>S</v>
      </c>
      <c r="AG167" s="91" cm="1">
        <f t="array" ref="AG167">_xlfn.SWITCH(D167,"PTA12",2,"PTD1",2,"PTD0",3,"PTC16",1,"PTD5",1,"PTA5",2,"PTD6",2,"PTE8",2,(LEN(N167)+LEN(N167)-LEN(SUBSTITUTE(N167,"ADC",))-LEN(SUBSTITUTE(N167,"CMP",)))/3)</f>
        <v>0</v>
      </c>
      <c r="AH167" s="180" t="str">
        <f t="shared" si="5"/>
        <v>ILKG_33/50_S0</v>
      </c>
    </row>
    <row r="168" spans="1:34" x14ac:dyDescent="0.3">
      <c r="A168" s="219"/>
      <c r="B168" s="159"/>
      <c r="C168" s="135" t="s">
        <v>1209</v>
      </c>
      <c r="D168" s="135" t="s">
        <v>1210</v>
      </c>
      <c r="E168" s="135" t="s">
        <v>1211</v>
      </c>
      <c r="F168" s="135" t="s">
        <v>1211</v>
      </c>
      <c r="G168" s="159"/>
      <c r="H168" s="135" t="s">
        <v>281</v>
      </c>
      <c r="I168" s="135" t="s">
        <v>555</v>
      </c>
      <c r="J168" s="135" t="s">
        <v>104</v>
      </c>
      <c r="K168" s="159"/>
      <c r="L168" s="159"/>
      <c r="M168" s="159"/>
      <c r="N168" s="159"/>
      <c r="O168" s="159"/>
      <c r="P168" s="159"/>
      <c r="Q168" s="135" t="s">
        <v>281</v>
      </c>
      <c r="R168" s="159"/>
      <c r="S168" s="135" t="s">
        <v>104</v>
      </c>
      <c r="T168" s="159"/>
      <c r="U168" s="159"/>
      <c r="V168" s="159"/>
      <c r="W168" s="135" t="s">
        <v>626</v>
      </c>
      <c r="X168" s="135" t="s">
        <v>642</v>
      </c>
      <c r="Y168" s="159"/>
      <c r="Z168" s="159"/>
      <c r="AA168" s="159"/>
      <c r="AB168" s="159"/>
      <c r="AC168" s="135" t="s">
        <v>1212</v>
      </c>
      <c r="AD168" s="68" t="s">
        <v>34</v>
      </c>
      <c r="AE168" s="176"/>
      <c r="AF168" s="91" t="str">
        <f t="shared" si="4"/>
        <v>S</v>
      </c>
      <c r="AG168" s="91" cm="1">
        <f t="array" ref="AG168">_xlfn.SWITCH(D168,"PTA12",2,"PTD1",2,"PTD0",3,"PTC16",1,"PTD5",1,"PTA5",2,"PTD6",2,"PTE8",2,(LEN(N168)+LEN(N168)-LEN(SUBSTITUTE(N168,"ADC",))-LEN(SUBSTITUTE(N168,"CMP",)))/3)</f>
        <v>0</v>
      </c>
      <c r="AH168" s="180" t="str">
        <f t="shared" si="5"/>
        <v>ILKG_33/50_S0</v>
      </c>
    </row>
    <row r="169" spans="1:34" x14ac:dyDescent="0.3">
      <c r="A169" s="219"/>
      <c r="B169" s="159"/>
      <c r="C169" s="135" t="s">
        <v>1213</v>
      </c>
      <c r="D169" s="135" t="s">
        <v>1214</v>
      </c>
      <c r="E169" s="135" t="s">
        <v>1215</v>
      </c>
      <c r="F169" s="135" t="s">
        <v>1215</v>
      </c>
      <c r="G169" s="135" t="s">
        <v>518</v>
      </c>
      <c r="H169" s="135" t="s">
        <v>350</v>
      </c>
      <c r="I169" s="135" t="s">
        <v>228</v>
      </c>
      <c r="J169" s="135" t="s">
        <v>75</v>
      </c>
      <c r="K169" s="135" t="s">
        <v>65</v>
      </c>
      <c r="L169" s="159"/>
      <c r="M169" s="159"/>
      <c r="N169" s="159"/>
      <c r="O169" s="159"/>
      <c r="P169" s="159"/>
      <c r="Q169" s="135" t="s">
        <v>350</v>
      </c>
      <c r="R169" s="159"/>
      <c r="S169" s="159"/>
      <c r="T169" s="135" t="s">
        <v>65</v>
      </c>
      <c r="U169" s="159"/>
      <c r="V169" s="159"/>
      <c r="W169" s="135" t="s">
        <v>558</v>
      </c>
      <c r="X169" s="135" t="s">
        <v>83</v>
      </c>
      <c r="Y169" s="159"/>
      <c r="Z169" s="159"/>
      <c r="AA169" s="159"/>
      <c r="AB169" s="159"/>
      <c r="AC169" s="135" t="s">
        <v>1216</v>
      </c>
      <c r="AD169" s="68" t="s">
        <v>231</v>
      </c>
      <c r="AE169" s="176"/>
      <c r="AF169" s="91" t="str">
        <f t="shared" si="4"/>
        <v>SP</v>
      </c>
      <c r="AG169" s="91" cm="1">
        <f t="array" ref="AG169">_xlfn.SWITCH(D169,"PTA12",2,"PTD1",2,"PTD0",3,"PTC16",1,"PTD5",1,"PTA5",2,"PTD6",2,"PTE8",2,(LEN(N169)+LEN(N169)-LEN(SUBSTITUTE(N169,"ADC",))-LEN(SUBSTITUTE(N169,"CMP",)))/3)</f>
        <v>0</v>
      </c>
      <c r="AH169" s="180" t="str">
        <f t="shared" si="5"/>
        <v>ILKG_33/50_SP0</v>
      </c>
    </row>
    <row r="170" spans="1:34" x14ac:dyDescent="0.3">
      <c r="A170" s="219"/>
      <c r="B170" s="159"/>
      <c r="C170" s="135" t="s">
        <v>1217</v>
      </c>
      <c r="D170" s="135" t="s">
        <v>1218</v>
      </c>
      <c r="E170" s="135" t="s">
        <v>1219</v>
      </c>
      <c r="F170" s="135" t="s">
        <v>1219</v>
      </c>
      <c r="G170" s="159"/>
      <c r="H170" s="135" t="s">
        <v>356</v>
      </c>
      <c r="I170" s="135" t="s">
        <v>332</v>
      </c>
      <c r="J170" s="135" t="s">
        <v>115</v>
      </c>
      <c r="K170" s="135" t="s">
        <v>60</v>
      </c>
      <c r="L170" s="159"/>
      <c r="M170" s="159"/>
      <c r="N170" s="159"/>
      <c r="O170" s="159"/>
      <c r="P170" s="159"/>
      <c r="Q170" s="135" t="s">
        <v>356</v>
      </c>
      <c r="R170" s="159"/>
      <c r="S170" s="135" t="s">
        <v>115</v>
      </c>
      <c r="T170" s="159"/>
      <c r="U170" s="159"/>
      <c r="V170" s="159"/>
      <c r="W170" s="135" t="s">
        <v>541</v>
      </c>
      <c r="X170" s="135" t="s">
        <v>530</v>
      </c>
      <c r="Y170" s="135" t="s">
        <v>69</v>
      </c>
      <c r="Z170" s="159"/>
      <c r="AA170" s="159"/>
      <c r="AB170" s="159"/>
      <c r="AC170" s="135" t="s">
        <v>1220</v>
      </c>
      <c r="AD170" s="68" t="s">
        <v>34</v>
      </c>
      <c r="AE170" s="176"/>
      <c r="AF170" s="91" t="str">
        <f t="shared" si="4"/>
        <v>S</v>
      </c>
      <c r="AG170" s="91" cm="1">
        <f t="array" ref="AG170">_xlfn.SWITCH(D170,"PTA12",2,"PTD1",2,"PTD0",3,"PTC16",1,"PTD5",1,"PTA5",2,"PTD6",2,"PTE8",2,(LEN(N170)+LEN(N170)-LEN(SUBSTITUTE(N170,"ADC",))-LEN(SUBSTITUTE(N170,"CMP",)))/3)</f>
        <v>0</v>
      </c>
      <c r="AH170" s="180" t="str">
        <f t="shared" si="5"/>
        <v>ILKG_33/50_S0</v>
      </c>
    </row>
    <row r="171" spans="1:34" x14ac:dyDescent="0.3">
      <c r="A171" s="219"/>
      <c r="B171" s="159"/>
      <c r="C171" s="135" t="s">
        <v>1221</v>
      </c>
      <c r="D171" s="135" t="s">
        <v>1222</v>
      </c>
      <c r="E171" s="135" t="s">
        <v>1223</v>
      </c>
      <c r="F171" s="135" t="s">
        <v>1223</v>
      </c>
      <c r="G171" s="135" t="s">
        <v>170</v>
      </c>
      <c r="H171" s="135" t="s">
        <v>365</v>
      </c>
      <c r="I171" s="135" t="s">
        <v>25</v>
      </c>
      <c r="J171" s="135" t="s">
        <v>536</v>
      </c>
      <c r="K171" s="135" t="s">
        <v>263</v>
      </c>
      <c r="L171" s="159"/>
      <c r="M171" s="159"/>
      <c r="N171" s="159"/>
      <c r="O171" s="159"/>
      <c r="P171" s="135" t="s">
        <v>170</v>
      </c>
      <c r="Q171" s="135" t="s">
        <v>365</v>
      </c>
      <c r="R171" s="135" t="s">
        <v>25</v>
      </c>
      <c r="S171" s="159"/>
      <c r="T171" s="135" t="s">
        <v>263</v>
      </c>
      <c r="U171" s="159"/>
      <c r="V171" s="159"/>
      <c r="W171" s="159"/>
      <c r="X171" s="159"/>
      <c r="Y171" s="159"/>
      <c r="Z171" s="159"/>
      <c r="AA171" s="159"/>
      <c r="AB171" s="159"/>
      <c r="AC171" s="135" t="s">
        <v>1224</v>
      </c>
      <c r="AD171" s="68" t="s">
        <v>34</v>
      </c>
      <c r="AE171" s="176"/>
      <c r="AF171" s="91" t="str">
        <f t="shared" si="4"/>
        <v>S</v>
      </c>
      <c r="AG171" s="91" cm="1">
        <f t="array" ref="AG171">_xlfn.SWITCH(D171,"PTA12",2,"PTD1",2,"PTD0",3,"PTC16",1,"PTD5",1,"PTA5",2,"PTD6",2,"PTE8",2,(LEN(N171)+LEN(N171)-LEN(SUBSTITUTE(N171,"ADC",))-LEN(SUBSTITUTE(N171,"CMP",)))/3)</f>
        <v>0</v>
      </c>
      <c r="AH171" s="180" t="str">
        <f t="shared" si="5"/>
        <v>ILKG_33/50_S0</v>
      </c>
    </row>
    <row r="172" spans="1:34" x14ac:dyDescent="0.3">
      <c r="A172" s="219"/>
      <c r="B172" s="159"/>
      <c r="C172" s="135" t="s">
        <v>1225</v>
      </c>
      <c r="D172" s="135" t="s">
        <v>1226</v>
      </c>
      <c r="E172" s="135" t="s">
        <v>1227</v>
      </c>
      <c r="F172" s="135" t="s">
        <v>1227</v>
      </c>
      <c r="G172" s="159"/>
      <c r="H172" s="135" t="s">
        <v>372</v>
      </c>
      <c r="I172" s="135" t="s">
        <v>39</v>
      </c>
      <c r="J172" s="135" t="s">
        <v>547</v>
      </c>
      <c r="K172" s="159"/>
      <c r="L172" s="159"/>
      <c r="M172" s="159"/>
      <c r="N172" s="159"/>
      <c r="O172" s="159"/>
      <c r="P172" s="159"/>
      <c r="Q172" s="135" t="s">
        <v>372</v>
      </c>
      <c r="R172" s="135" t="s">
        <v>39</v>
      </c>
      <c r="S172" s="159"/>
      <c r="T172" s="159"/>
      <c r="U172" s="159"/>
      <c r="V172" s="159"/>
      <c r="W172" s="135" t="s">
        <v>161</v>
      </c>
      <c r="X172" s="159"/>
      <c r="Y172" s="159"/>
      <c r="Z172" s="159"/>
      <c r="AA172" s="159"/>
      <c r="AB172" s="159"/>
      <c r="AC172" s="135" t="s">
        <v>1228</v>
      </c>
      <c r="AD172" s="68" t="s">
        <v>34</v>
      </c>
      <c r="AE172" s="176"/>
      <c r="AF172" s="91" t="str">
        <f t="shared" si="4"/>
        <v>S</v>
      </c>
      <c r="AG172" s="91" cm="1">
        <f t="array" ref="AG172">_xlfn.SWITCH(D172,"PTA12",2,"PTD1",2,"PTD0",3,"PTC16",1,"PTD5",1,"PTA5",2,"PTD6",2,"PTE8",2,(LEN(N172)+LEN(N172)-LEN(SUBSTITUTE(N172,"ADC",))-LEN(SUBSTITUTE(N172,"CMP",)))/3)</f>
        <v>0</v>
      </c>
      <c r="AH172" s="180" t="str">
        <f t="shared" si="5"/>
        <v>ILKG_33/50_S0</v>
      </c>
    </row>
    <row r="173" spans="1:34" x14ac:dyDescent="0.3">
      <c r="A173" s="219"/>
      <c r="B173" s="159"/>
      <c r="C173" s="135" t="s">
        <v>1229</v>
      </c>
      <c r="D173" s="135" t="s">
        <v>1230</v>
      </c>
      <c r="E173" s="135" t="s">
        <v>1231</v>
      </c>
      <c r="F173" s="135" t="s">
        <v>1231</v>
      </c>
      <c r="G173" s="135" t="s">
        <v>647</v>
      </c>
      <c r="H173" s="135" t="s">
        <v>520</v>
      </c>
      <c r="I173" s="135" t="s">
        <v>50</v>
      </c>
      <c r="J173" s="135" t="s">
        <v>597</v>
      </c>
      <c r="K173" s="135" t="s">
        <v>380</v>
      </c>
      <c r="L173" s="159"/>
      <c r="M173" s="159"/>
      <c r="N173" s="159"/>
      <c r="O173" s="159"/>
      <c r="P173" s="135" t="s">
        <v>647</v>
      </c>
      <c r="Q173" s="135" t="s">
        <v>520</v>
      </c>
      <c r="R173" s="135" t="s">
        <v>50</v>
      </c>
      <c r="S173" s="159"/>
      <c r="T173" s="135" t="s">
        <v>380</v>
      </c>
      <c r="U173" s="159"/>
      <c r="V173" s="159"/>
      <c r="W173" s="159"/>
      <c r="X173" s="159"/>
      <c r="Y173" s="159"/>
      <c r="Z173" s="159"/>
      <c r="AA173" s="159"/>
      <c r="AB173" s="159"/>
      <c r="AC173" s="135" t="s">
        <v>1232</v>
      </c>
      <c r="AD173" s="68" t="s">
        <v>34</v>
      </c>
      <c r="AE173" s="176"/>
      <c r="AF173" s="91" t="str">
        <f t="shared" si="4"/>
        <v>S</v>
      </c>
      <c r="AG173" s="91" cm="1">
        <f t="array" ref="AG173">_xlfn.SWITCH(D173,"PTA12",2,"PTD1",2,"PTD0",3,"PTC16",1,"PTD5",1,"PTA5",2,"PTD6",2,"PTE8",2,(LEN(N173)+LEN(N173)-LEN(SUBSTITUTE(N173,"ADC",))-LEN(SUBSTITUTE(N173,"CMP",)))/3)</f>
        <v>0</v>
      </c>
      <c r="AH173" s="180" t="str">
        <f t="shared" si="5"/>
        <v>ILKG_33/50_S0</v>
      </c>
    </row>
    <row r="174" spans="1:34" x14ac:dyDescent="0.3">
      <c r="A174" s="219"/>
      <c r="B174" s="159"/>
      <c r="C174" s="135" t="s">
        <v>1233</v>
      </c>
      <c r="D174" s="135" t="s">
        <v>1234</v>
      </c>
      <c r="E174" s="135" t="s">
        <v>1235</v>
      </c>
      <c r="F174" s="135" t="s">
        <v>1235</v>
      </c>
      <c r="G174" s="159"/>
      <c r="H174" s="135" t="s">
        <v>538</v>
      </c>
      <c r="I174" s="135" t="s">
        <v>91</v>
      </c>
      <c r="J174" s="135" t="s">
        <v>528</v>
      </c>
      <c r="K174" s="135" t="s">
        <v>411</v>
      </c>
      <c r="L174" s="135" t="s">
        <v>724</v>
      </c>
      <c r="M174" s="159"/>
      <c r="N174" s="159"/>
      <c r="O174" s="159"/>
      <c r="P174" s="159"/>
      <c r="Q174" s="135" t="s">
        <v>538</v>
      </c>
      <c r="R174" s="135" t="s">
        <v>91</v>
      </c>
      <c r="S174" s="159"/>
      <c r="T174" s="135" t="s">
        <v>411</v>
      </c>
      <c r="U174" s="159"/>
      <c r="V174" s="159"/>
      <c r="W174" s="135" t="s">
        <v>657</v>
      </c>
      <c r="X174" s="159"/>
      <c r="Y174" s="159"/>
      <c r="Z174" s="159"/>
      <c r="AA174" s="159"/>
      <c r="AB174" s="159"/>
      <c r="AC174" s="135" t="s">
        <v>1236</v>
      </c>
      <c r="AD174" s="68" t="s">
        <v>34</v>
      </c>
      <c r="AE174" s="176"/>
      <c r="AF174" s="91" t="str">
        <f t="shared" si="4"/>
        <v>S</v>
      </c>
      <c r="AG174" s="91" cm="1">
        <f t="array" ref="AG174">_xlfn.SWITCH(D174,"PTA12",2,"PTD1",2,"PTD0",3,"PTC16",1,"PTD5",1,"PTA5",2,"PTD6",2,"PTE8",2,(LEN(N174)+LEN(N174)-LEN(SUBSTITUTE(N174,"ADC",))-LEN(SUBSTITUTE(N174,"CMP",)))/3)</f>
        <v>0</v>
      </c>
      <c r="AH174" s="180" t="str">
        <f t="shared" si="5"/>
        <v>ILKG_33/50_S0</v>
      </c>
    </row>
    <row r="175" spans="1:34" x14ac:dyDescent="0.3">
      <c r="A175" s="219"/>
      <c r="B175" s="159"/>
      <c r="C175" s="135" t="s">
        <v>1165</v>
      </c>
      <c r="D175" s="135" t="s">
        <v>1166</v>
      </c>
      <c r="E175" s="135" t="s">
        <v>1167</v>
      </c>
      <c r="F175" s="135" t="s">
        <v>1167</v>
      </c>
      <c r="G175" s="135" t="s">
        <v>485</v>
      </c>
      <c r="H175" s="135" t="s">
        <v>52</v>
      </c>
      <c r="I175" s="135" t="s">
        <v>581</v>
      </c>
      <c r="J175" s="159"/>
      <c r="K175" s="159"/>
      <c r="L175" s="159"/>
      <c r="M175" s="159"/>
      <c r="N175" s="159"/>
      <c r="O175" s="159"/>
      <c r="P175" s="135" t="s">
        <v>485</v>
      </c>
      <c r="Q175" s="135" t="s">
        <v>52</v>
      </c>
      <c r="R175" s="135" t="s">
        <v>581</v>
      </c>
      <c r="S175" s="159"/>
      <c r="T175" s="159"/>
      <c r="U175" s="159"/>
      <c r="V175" s="159"/>
      <c r="W175" s="135" t="s">
        <v>54</v>
      </c>
      <c r="X175" s="159"/>
      <c r="Y175" s="159"/>
      <c r="Z175" s="159"/>
      <c r="AA175" s="159"/>
      <c r="AB175" s="159"/>
      <c r="AC175" s="135" t="s">
        <v>1168</v>
      </c>
      <c r="AD175" s="68" t="s">
        <v>34</v>
      </c>
      <c r="AE175" s="176"/>
      <c r="AF175" s="91" t="str">
        <f t="shared" si="4"/>
        <v>S</v>
      </c>
      <c r="AG175" s="91" cm="1">
        <f t="array" ref="AG175">_xlfn.SWITCH(D175,"PTA12",2,"PTD1",2,"PTD0",3,"PTC16",1,"PTD5",1,"PTA5",2,"PTD6",2,"PTE8",2,(LEN(N175)+LEN(N175)-LEN(SUBSTITUTE(N175,"ADC",))-LEN(SUBSTITUTE(N175,"CMP",)))/3)</f>
        <v>0</v>
      </c>
      <c r="AH175" s="180" t="str">
        <f t="shared" si="5"/>
        <v>ILKG_33/50_S0</v>
      </c>
    </row>
    <row r="176" spans="1:34" x14ac:dyDescent="0.3">
      <c r="A176" s="219"/>
      <c r="B176" s="159"/>
      <c r="C176" s="135" t="s">
        <v>1237</v>
      </c>
      <c r="D176" s="135" t="s">
        <v>1238</v>
      </c>
      <c r="E176" s="135" t="s">
        <v>1239</v>
      </c>
      <c r="F176" s="135" t="s">
        <v>1239</v>
      </c>
      <c r="G176" s="135" t="s">
        <v>291</v>
      </c>
      <c r="H176" s="135" t="s">
        <v>549</v>
      </c>
      <c r="I176" s="135" t="s">
        <v>168</v>
      </c>
      <c r="J176" s="135" t="s">
        <v>331</v>
      </c>
      <c r="K176" s="135" t="s">
        <v>421</v>
      </c>
      <c r="L176" s="135" t="s">
        <v>237</v>
      </c>
      <c r="M176" s="135" t="s">
        <v>142</v>
      </c>
      <c r="N176" s="159"/>
      <c r="O176" s="159"/>
      <c r="P176" s="135" t="s">
        <v>291</v>
      </c>
      <c r="Q176" s="135" t="s">
        <v>549</v>
      </c>
      <c r="R176" s="135" t="s">
        <v>168</v>
      </c>
      <c r="S176" s="135" t="s">
        <v>331</v>
      </c>
      <c r="T176" s="135" t="s">
        <v>421</v>
      </c>
      <c r="U176" s="159"/>
      <c r="V176" s="135" t="s">
        <v>142</v>
      </c>
      <c r="W176" s="159"/>
      <c r="X176" s="159"/>
      <c r="Y176" s="159"/>
      <c r="Z176" s="159"/>
      <c r="AA176" s="159"/>
      <c r="AB176" s="159"/>
      <c r="AC176" s="135" t="s">
        <v>1240</v>
      </c>
      <c r="AD176" s="68" t="s">
        <v>231</v>
      </c>
      <c r="AE176" s="176"/>
      <c r="AF176" s="91" t="str">
        <f t="shared" si="4"/>
        <v>SP</v>
      </c>
      <c r="AG176" s="91" cm="1">
        <f t="array" ref="AG176">_xlfn.SWITCH(D176,"PTA12",2,"PTD1",2,"PTD0",3,"PTC16",1,"PTD5",1,"PTA5",2,"PTD6",2,"PTE8",2,(LEN(N176)+LEN(N176)-LEN(SUBSTITUTE(N176,"ADC",))-LEN(SUBSTITUTE(N176,"CMP",)))/3)</f>
        <v>0</v>
      </c>
      <c r="AH176" s="180" t="str">
        <f t="shared" si="5"/>
        <v>ILKG_33/50_SP0</v>
      </c>
    </row>
    <row r="177" spans="1:34" x14ac:dyDescent="0.3">
      <c r="A177" s="219"/>
      <c r="B177" s="159"/>
      <c r="C177" s="135" t="s">
        <v>1241</v>
      </c>
      <c r="D177" s="135" t="s">
        <v>1242</v>
      </c>
      <c r="E177" s="135" t="s">
        <v>1243</v>
      </c>
      <c r="F177" s="135" t="s">
        <v>1243</v>
      </c>
      <c r="G177" s="159"/>
      <c r="H177" s="135" t="s">
        <v>566</v>
      </c>
      <c r="I177" s="135" t="s">
        <v>150</v>
      </c>
      <c r="J177" s="135" t="s">
        <v>341</v>
      </c>
      <c r="K177" s="135" t="s">
        <v>93</v>
      </c>
      <c r="L177" s="159"/>
      <c r="M177" s="135" t="s">
        <v>130</v>
      </c>
      <c r="N177" s="159"/>
      <c r="O177" s="159"/>
      <c r="P177" s="159"/>
      <c r="Q177" s="135" t="s">
        <v>566</v>
      </c>
      <c r="R177" s="135" t="s">
        <v>150</v>
      </c>
      <c r="S177" s="135" t="s">
        <v>341</v>
      </c>
      <c r="T177" s="135" t="s">
        <v>93</v>
      </c>
      <c r="U177" s="159"/>
      <c r="V177" s="135" t="s">
        <v>130</v>
      </c>
      <c r="W177" s="135" t="s">
        <v>254</v>
      </c>
      <c r="X177" s="135" t="s">
        <v>306</v>
      </c>
      <c r="Y177" s="159"/>
      <c r="Z177" s="159"/>
      <c r="AA177" s="159"/>
      <c r="AB177" s="159"/>
      <c r="AC177" s="135" t="s">
        <v>1244</v>
      </c>
      <c r="AD177" s="68" t="s">
        <v>231</v>
      </c>
      <c r="AE177" s="176"/>
      <c r="AF177" s="91" t="str">
        <f t="shared" si="4"/>
        <v>SP</v>
      </c>
      <c r="AG177" s="91" cm="1">
        <f t="array" ref="AG177">_xlfn.SWITCH(D177,"PTA12",2,"PTD1",2,"PTD0",3,"PTC16",1,"PTD5",1,"PTA5",2,"PTD6",2,"PTE8",2,(LEN(N177)+LEN(N177)-LEN(SUBSTITUTE(N177,"ADC",))-LEN(SUBSTITUTE(N177,"CMP",)))/3)</f>
        <v>0</v>
      </c>
      <c r="AH177" s="180" t="str">
        <f t="shared" si="5"/>
        <v>ILKG_33/50_SP0</v>
      </c>
    </row>
    <row r="178" spans="1:34" x14ac:dyDescent="0.3">
      <c r="A178" s="219"/>
      <c r="B178" s="159"/>
      <c r="C178" s="135" t="s">
        <v>1245</v>
      </c>
      <c r="D178" s="135" t="s">
        <v>1246</v>
      </c>
      <c r="E178" s="135" t="s">
        <v>1247</v>
      </c>
      <c r="F178" s="135" t="s">
        <v>1247</v>
      </c>
      <c r="G178" s="159"/>
      <c r="H178" s="135" t="s">
        <v>572</v>
      </c>
      <c r="I178" s="135" t="s">
        <v>723</v>
      </c>
      <c r="J178" s="159"/>
      <c r="K178" s="159"/>
      <c r="L178" s="135" t="s">
        <v>948</v>
      </c>
      <c r="M178" s="159"/>
      <c r="N178" s="159"/>
      <c r="O178" s="159"/>
      <c r="P178" s="159"/>
      <c r="Q178" s="135" t="s">
        <v>572</v>
      </c>
      <c r="R178" s="135" t="s">
        <v>723</v>
      </c>
      <c r="S178" s="159"/>
      <c r="T178" s="159"/>
      <c r="U178" s="135" t="s">
        <v>948</v>
      </c>
      <c r="V178" s="159"/>
      <c r="W178" s="159"/>
      <c r="X178" s="159"/>
      <c r="Y178" s="159"/>
      <c r="Z178" s="159"/>
      <c r="AA178" s="159"/>
      <c r="AB178" s="159"/>
      <c r="AC178" s="135" t="s">
        <v>1248</v>
      </c>
      <c r="AD178" s="68" t="s">
        <v>34</v>
      </c>
      <c r="AE178" s="176"/>
      <c r="AF178" s="91" t="str">
        <f t="shared" si="4"/>
        <v>S</v>
      </c>
      <c r="AG178" s="91" cm="1">
        <f t="array" ref="AG178">_xlfn.SWITCH(D178,"PTA12",2,"PTD1",2,"PTD0",3,"PTC16",1,"PTD5",1,"PTA5",2,"PTD6",2,"PTE8",2,(LEN(N178)+LEN(N178)-LEN(SUBSTITUTE(N178,"ADC",))-LEN(SUBSTITUTE(N178,"CMP",)))/3)</f>
        <v>0</v>
      </c>
      <c r="AH178" s="180" t="str">
        <f t="shared" si="5"/>
        <v>ILKG_33/50_S0</v>
      </c>
    </row>
    <row r="179" spans="1:34" x14ac:dyDescent="0.3">
      <c r="A179" s="219"/>
      <c r="B179" s="159"/>
      <c r="C179" s="135" t="s">
        <v>1249</v>
      </c>
      <c r="D179" s="135" t="s">
        <v>1250</v>
      </c>
      <c r="E179" s="135" t="s">
        <v>1251</v>
      </c>
      <c r="F179" s="135" t="s">
        <v>1251</v>
      </c>
      <c r="G179" s="135" t="s">
        <v>579</v>
      </c>
      <c r="H179" s="135" t="s">
        <v>592</v>
      </c>
      <c r="I179" s="135" t="s">
        <v>179</v>
      </c>
      <c r="J179" s="159"/>
      <c r="K179" s="135" t="s">
        <v>421</v>
      </c>
      <c r="L179" s="159"/>
      <c r="M179" s="159"/>
      <c r="N179" s="159"/>
      <c r="O179" s="159"/>
      <c r="P179" s="135" t="s">
        <v>579</v>
      </c>
      <c r="Q179" s="135" t="s">
        <v>592</v>
      </c>
      <c r="R179" s="135" t="s">
        <v>179</v>
      </c>
      <c r="S179" s="159"/>
      <c r="T179" s="135" t="s">
        <v>421</v>
      </c>
      <c r="U179" s="159"/>
      <c r="V179" s="159"/>
      <c r="W179" s="159"/>
      <c r="X179" s="159"/>
      <c r="Y179" s="159"/>
      <c r="Z179" s="159"/>
      <c r="AA179" s="159"/>
      <c r="AB179" s="159"/>
      <c r="AC179" s="135" t="s">
        <v>1252</v>
      </c>
      <c r="AD179" s="68" t="s">
        <v>34</v>
      </c>
      <c r="AE179" s="176"/>
      <c r="AF179" s="91" t="str">
        <f t="shared" si="4"/>
        <v>S</v>
      </c>
      <c r="AG179" s="91" cm="1">
        <f t="array" ref="AG179">_xlfn.SWITCH(D179,"PTA12",2,"PTD1",2,"PTD0",3,"PTC16",1,"PTD5",1,"PTA5",2,"PTD6",2,"PTE8",2,(LEN(N179)+LEN(N179)-LEN(SUBSTITUTE(N179,"ADC",))-LEN(SUBSTITUTE(N179,"CMP",)))/3)</f>
        <v>0</v>
      </c>
      <c r="AH179" s="180" t="str">
        <f t="shared" si="5"/>
        <v>ILKG_33/50_S0</v>
      </c>
    </row>
    <row r="180" spans="1:34" x14ac:dyDescent="0.3">
      <c r="A180" s="219"/>
      <c r="B180" s="159"/>
      <c r="C180" s="135" t="s">
        <v>1253</v>
      </c>
      <c r="D180" s="135" t="s">
        <v>1254</v>
      </c>
      <c r="E180" s="135" t="s">
        <v>1255</v>
      </c>
      <c r="F180" s="135" t="s">
        <v>1255</v>
      </c>
      <c r="G180" s="159"/>
      <c r="H180" s="159"/>
      <c r="I180" s="135" t="s">
        <v>186</v>
      </c>
      <c r="J180" s="159"/>
      <c r="K180" s="159"/>
      <c r="L180" s="159"/>
      <c r="M180" s="159"/>
      <c r="N180" s="159"/>
      <c r="O180" s="159"/>
      <c r="P180" s="159"/>
      <c r="Q180" s="159"/>
      <c r="R180" s="135" t="s">
        <v>186</v>
      </c>
      <c r="S180" s="159"/>
      <c r="T180" s="159"/>
      <c r="U180" s="159"/>
      <c r="V180" s="159"/>
      <c r="W180" s="135" t="s">
        <v>611</v>
      </c>
      <c r="X180" s="159"/>
      <c r="Y180" s="159"/>
      <c r="Z180" s="159"/>
      <c r="AA180" s="159"/>
      <c r="AB180" s="159"/>
      <c r="AC180" s="135" t="s">
        <v>1256</v>
      </c>
      <c r="AD180" s="68" t="s">
        <v>34</v>
      </c>
      <c r="AE180" s="176"/>
      <c r="AF180" s="91" t="str">
        <f t="shared" si="4"/>
        <v>S</v>
      </c>
      <c r="AG180" s="91" cm="1">
        <f t="array" ref="AG180">_xlfn.SWITCH(D180,"PTA12",2,"PTD1",2,"PTD0",3,"PTC16",1,"PTD5",1,"PTA5",2,"PTD6",2,"PTE8",2,(LEN(N180)+LEN(N180)-LEN(SUBSTITUTE(N180,"ADC",))-LEN(SUBSTITUTE(N180,"CMP",)))/3)</f>
        <v>0</v>
      </c>
      <c r="AH180" s="180" t="str">
        <f t="shared" si="5"/>
        <v>ILKG_33/50_S0</v>
      </c>
    </row>
    <row r="181" spans="1:34" x14ac:dyDescent="0.3">
      <c r="A181" s="219"/>
      <c r="B181" s="159"/>
      <c r="C181" s="135" t="s">
        <v>1257</v>
      </c>
      <c r="D181" s="135" t="s">
        <v>1258</v>
      </c>
      <c r="E181" s="135" t="s">
        <v>1259</v>
      </c>
      <c r="F181" s="135" t="s">
        <v>1259</v>
      </c>
      <c r="G181" s="135" t="s">
        <v>501</v>
      </c>
      <c r="H181" s="159"/>
      <c r="I181" s="135" t="s">
        <v>509</v>
      </c>
      <c r="J181" s="159"/>
      <c r="K181" s="135" t="s">
        <v>90</v>
      </c>
      <c r="L181" s="135" t="s">
        <v>702</v>
      </c>
      <c r="M181" s="135" t="s">
        <v>171</v>
      </c>
      <c r="N181" s="159"/>
      <c r="O181" s="159"/>
      <c r="P181" s="159"/>
      <c r="Q181" s="159"/>
      <c r="R181" s="135" t="s">
        <v>509</v>
      </c>
      <c r="S181" s="159"/>
      <c r="T181" s="135" t="s">
        <v>90</v>
      </c>
      <c r="U181" s="135" t="s">
        <v>702</v>
      </c>
      <c r="V181" s="135" t="s">
        <v>171</v>
      </c>
      <c r="W181" s="159"/>
      <c r="X181" s="159"/>
      <c r="Y181" s="159"/>
      <c r="Z181" s="159"/>
      <c r="AA181" s="159"/>
      <c r="AB181" s="159"/>
      <c r="AC181" s="135" t="s">
        <v>1260</v>
      </c>
      <c r="AD181" s="68" t="s">
        <v>231</v>
      </c>
      <c r="AE181" s="176"/>
      <c r="AF181" s="91" t="str">
        <f t="shared" si="4"/>
        <v>SP</v>
      </c>
      <c r="AG181" s="91" cm="1">
        <f t="array" ref="AG181">_xlfn.SWITCH(D181,"PTA12",2,"PTD1",2,"PTD0",3,"PTC16",1,"PTD5",1,"PTA5",2,"PTD6",2,"PTE8",2,(LEN(N181)+LEN(N181)-LEN(SUBSTITUTE(N181,"ADC",))-LEN(SUBSTITUTE(N181,"CMP",)))/3)</f>
        <v>0</v>
      </c>
      <c r="AH181" s="180" t="str">
        <f t="shared" si="5"/>
        <v>ILKG_33/50_SP0</v>
      </c>
    </row>
    <row r="182" spans="1:34" x14ac:dyDescent="0.3">
      <c r="A182" s="219"/>
      <c r="B182" s="159"/>
      <c r="C182" s="135" t="s">
        <v>1261</v>
      </c>
      <c r="D182" s="135" t="s">
        <v>1262</v>
      </c>
      <c r="E182" s="135" t="s">
        <v>1263</v>
      </c>
      <c r="F182" s="135" t="s">
        <v>1263</v>
      </c>
      <c r="G182" s="159"/>
      <c r="H182" s="159"/>
      <c r="I182" s="135" t="s">
        <v>235</v>
      </c>
      <c r="J182" s="159"/>
      <c r="K182" s="135" t="s">
        <v>995</v>
      </c>
      <c r="L182" s="135" t="s">
        <v>681</v>
      </c>
      <c r="M182" s="159"/>
      <c r="N182" s="159"/>
      <c r="O182" s="159"/>
      <c r="P182" s="159"/>
      <c r="Q182" s="159"/>
      <c r="R182" s="135" t="s">
        <v>235</v>
      </c>
      <c r="S182" s="159"/>
      <c r="T182" s="135" t="s">
        <v>995</v>
      </c>
      <c r="U182" s="135" t="s">
        <v>681</v>
      </c>
      <c r="V182" s="159"/>
      <c r="W182" s="135" t="s">
        <v>512</v>
      </c>
      <c r="X182" s="159"/>
      <c r="Y182" s="159"/>
      <c r="Z182" s="159"/>
      <c r="AA182" s="159"/>
      <c r="AB182" s="159"/>
      <c r="AC182" s="135" t="s">
        <v>1264</v>
      </c>
      <c r="AD182" s="68" t="s">
        <v>34</v>
      </c>
      <c r="AE182" s="176"/>
      <c r="AF182" s="91" t="str">
        <f t="shared" si="4"/>
        <v>S</v>
      </c>
      <c r="AG182" s="91" cm="1">
        <f t="array" ref="AG182">_xlfn.SWITCH(D182,"PTA12",2,"PTD1",2,"PTD0",3,"PTC16",1,"PTD5",1,"PTA5",2,"PTD6",2,"PTE8",2,(LEN(N182)+LEN(N182)-LEN(SUBSTITUTE(N182,"ADC",))-LEN(SUBSTITUTE(N182,"CMP",)))/3)</f>
        <v>0</v>
      </c>
      <c r="AH182" s="180" t="str">
        <f t="shared" si="5"/>
        <v>ILKG_33/50_S0</v>
      </c>
    </row>
    <row r="183" spans="1:34" x14ac:dyDescent="0.3">
      <c r="A183" s="219"/>
      <c r="B183" s="159"/>
      <c r="C183" s="135" t="s">
        <v>1265</v>
      </c>
      <c r="D183" s="135" t="s">
        <v>1266</v>
      </c>
      <c r="E183" s="135" t="s">
        <v>1267</v>
      </c>
      <c r="F183" s="135" t="s">
        <v>1267</v>
      </c>
      <c r="G183" s="135" t="s">
        <v>701</v>
      </c>
      <c r="H183" s="159"/>
      <c r="I183" s="135" t="s">
        <v>252</v>
      </c>
      <c r="J183" s="159"/>
      <c r="K183" s="159"/>
      <c r="L183" s="135" t="s">
        <v>948</v>
      </c>
      <c r="M183" s="159"/>
      <c r="N183" s="159"/>
      <c r="O183" s="159"/>
      <c r="P183" s="135" t="s">
        <v>701</v>
      </c>
      <c r="Q183" s="159"/>
      <c r="R183" s="135" t="s">
        <v>252</v>
      </c>
      <c r="S183" s="159"/>
      <c r="T183" s="159"/>
      <c r="U183" s="135" t="s">
        <v>948</v>
      </c>
      <c r="V183" s="159"/>
      <c r="W183" s="159"/>
      <c r="X183" s="159"/>
      <c r="Y183" s="159"/>
      <c r="Z183" s="159"/>
      <c r="AA183" s="159"/>
      <c r="AB183" s="159"/>
      <c r="AC183" s="135" t="s">
        <v>1268</v>
      </c>
      <c r="AD183" s="68" t="s">
        <v>34</v>
      </c>
      <c r="AE183" s="176"/>
      <c r="AF183" s="91" t="str">
        <f t="shared" si="4"/>
        <v>S</v>
      </c>
      <c r="AG183" s="91" cm="1">
        <f t="array" ref="AG183">_xlfn.SWITCH(D183,"PTA12",2,"PTD1",2,"PTD0",3,"PTC16",1,"PTD5",1,"PTA5",2,"PTD6",2,"PTE8",2,(LEN(N183)+LEN(N183)-LEN(SUBSTITUTE(N183,"ADC",))-LEN(SUBSTITUTE(N183,"CMP",)))/3)</f>
        <v>0</v>
      </c>
      <c r="AH183" s="180" t="str">
        <f t="shared" si="5"/>
        <v>ILKG_33/50_S0</v>
      </c>
    </row>
    <row r="184" spans="1:34" x14ac:dyDescent="0.3">
      <c r="A184" s="219"/>
      <c r="B184" s="159"/>
      <c r="C184" s="135" t="s">
        <v>1269</v>
      </c>
      <c r="D184" s="135" t="s">
        <v>1270</v>
      </c>
      <c r="E184" s="135" t="s">
        <v>1271</v>
      </c>
      <c r="F184" s="135" t="s">
        <v>1271</v>
      </c>
      <c r="G184" s="159"/>
      <c r="H184" s="159"/>
      <c r="I184" s="135" t="s">
        <v>273</v>
      </c>
      <c r="J184" s="135" t="s">
        <v>158</v>
      </c>
      <c r="K184" s="135" t="s">
        <v>166</v>
      </c>
      <c r="L184" s="135" t="s">
        <v>983</v>
      </c>
      <c r="M184" s="135" t="s">
        <v>1272</v>
      </c>
      <c r="N184" s="159"/>
      <c r="O184" s="159"/>
      <c r="P184" s="159"/>
      <c r="Q184" s="159"/>
      <c r="R184" s="135" t="s">
        <v>273</v>
      </c>
      <c r="S184" s="135" t="s">
        <v>158</v>
      </c>
      <c r="T184" s="135" t="s">
        <v>166</v>
      </c>
      <c r="U184" s="135" t="s">
        <v>983</v>
      </c>
      <c r="V184" s="159"/>
      <c r="W184" s="135" t="s">
        <v>689</v>
      </c>
      <c r="X184" s="159"/>
      <c r="Y184" s="159"/>
      <c r="Z184" s="159"/>
      <c r="AA184" s="159"/>
      <c r="AB184" s="159"/>
      <c r="AC184" s="135" t="s">
        <v>1273</v>
      </c>
      <c r="AD184" s="68" t="s">
        <v>231</v>
      </c>
      <c r="AE184" s="176"/>
      <c r="AF184" s="91" t="str">
        <f t="shared" si="4"/>
        <v>SP</v>
      </c>
      <c r="AG184" s="91" cm="1">
        <f t="array" ref="AG184">_xlfn.SWITCH(D184,"PTA12",2,"PTD1",2,"PTD0",3,"PTC16",1,"PTD5",1,"PTA5",2,"PTD6",2,"PTE8",2,(LEN(N184)+LEN(N184)-LEN(SUBSTITUTE(N184,"ADC",))-LEN(SUBSTITUTE(N184,"CMP",)))/3)</f>
        <v>0</v>
      </c>
      <c r="AH184" s="180" t="str">
        <f t="shared" si="5"/>
        <v>ILKG_33/50_SP0</v>
      </c>
    </row>
    <row r="185" spans="1:34" x14ac:dyDescent="0.3">
      <c r="A185" s="219"/>
      <c r="B185" s="159"/>
      <c r="C185" s="135" t="s">
        <v>1274</v>
      </c>
      <c r="D185" s="135" t="s">
        <v>1275</v>
      </c>
      <c r="E185" s="135" t="s">
        <v>1276</v>
      </c>
      <c r="F185" s="135" t="s">
        <v>1276</v>
      </c>
      <c r="G185" s="135" t="s">
        <v>313</v>
      </c>
      <c r="H185" s="159"/>
      <c r="I185" s="135" t="s">
        <v>279</v>
      </c>
      <c r="J185" s="135" t="s">
        <v>536</v>
      </c>
      <c r="K185" s="135" t="s">
        <v>380</v>
      </c>
      <c r="L185" s="159"/>
      <c r="M185" s="135" t="s">
        <v>246</v>
      </c>
      <c r="N185" s="159"/>
      <c r="O185" s="159"/>
      <c r="P185" s="159"/>
      <c r="Q185" s="159"/>
      <c r="R185" s="135" t="s">
        <v>279</v>
      </c>
      <c r="S185" s="159"/>
      <c r="T185" s="135" t="s">
        <v>380</v>
      </c>
      <c r="U185" s="159"/>
      <c r="V185" s="135" t="s">
        <v>246</v>
      </c>
      <c r="W185" s="159"/>
      <c r="X185" s="159"/>
      <c r="Y185" s="159"/>
      <c r="Z185" s="159"/>
      <c r="AA185" s="159"/>
      <c r="AB185" s="159"/>
      <c r="AC185" s="135" t="s">
        <v>1277</v>
      </c>
      <c r="AD185" s="68" t="s">
        <v>231</v>
      </c>
      <c r="AE185" s="176"/>
      <c r="AF185" s="91" t="str">
        <f t="shared" si="4"/>
        <v>SP</v>
      </c>
      <c r="AG185" s="91" cm="1">
        <f t="array" ref="AG185">_xlfn.SWITCH(D185,"PTA12",2,"PTD1",2,"PTD0",3,"PTC16",1,"PTD5",1,"PTA5",2,"PTD6",2,"PTE8",2,(LEN(N185)+LEN(N185)-LEN(SUBSTITUTE(N185,"ADC",))-LEN(SUBSTITUTE(N185,"CMP",)))/3)</f>
        <v>0</v>
      </c>
      <c r="AH185" s="180" t="str">
        <f t="shared" si="5"/>
        <v>ILKG_33/50_SP0</v>
      </c>
    </row>
    <row r="186" spans="1:34" x14ac:dyDescent="0.3">
      <c r="A186" s="219"/>
      <c r="B186" s="159"/>
      <c r="C186" s="135" t="s">
        <v>1169</v>
      </c>
      <c r="D186" s="135" t="s">
        <v>1170</v>
      </c>
      <c r="E186" s="135" t="s">
        <v>1171</v>
      </c>
      <c r="F186" s="135" t="s">
        <v>1171</v>
      </c>
      <c r="G186" s="159"/>
      <c r="H186" s="135" t="s">
        <v>94</v>
      </c>
      <c r="I186" s="135" t="s">
        <v>127</v>
      </c>
      <c r="J186" s="159"/>
      <c r="K186" s="159"/>
      <c r="L186" s="159"/>
      <c r="M186" s="159"/>
      <c r="N186" s="159"/>
      <c r="O186" s="159"/>
      <c r="P186" s="159"/>
      <c r="Q186" s="135" t="s">
        <v>94</v>
      </c>
      <c r="R186" s="135" t="s">
        <v>127</v>
      </c>
      <c r="S186" s="159"/>
      <c r="T186" s="159"/>
      <c r="U186" s="159"/>
      <c r="V186" s="159"/>
      <c r="W186" s="135" t="s">
        <v>96</v>
      </c>
      <c r="X186" s="135" t="s">
        <v>496</v>
      </c>
      <c r="Y186" s="159"/>
      <c r="Z186" s="159"/>
      <c r="AA186" s="159"/>
      <c r="AB186" s="159"/>
      <c r="AC186" s="135" t="s">
        <v>1172</v>
      </c>
      <c r="AD186" s="68" t="s">
        <v>34</v>
      </c>
      <c r="AE186" s="176"/>
      <c r="AF186" s="91" t="str">
        <f t="shared" si="4"/>
        <v>S</v>
      </c>
      <c r="AG186" s="91" cm="1">
        <f t="array" ref="AG186">_xlfn.SWITCH(D186,"PTA12",2,"PTD1",2,"PTD0",3,"PTC16",1,"PTD5",1,"PTA5",2,"PTD6",2,"PTE8",2,(LEN(N186)+LEN(N186)-LEN(SUBSTITUTE(N186,"ADC",))-LEN(SUBSTITUTE(N186,"CMP",)))/3)</f>
        <v>0</v>
      </c>
      <c r="AH186" s="180" t="str">
        <f t="shared" si="5"/>
        <v>ILKG_33/50_S0</v>
      </c>
    </row>
    <row r="187" spans="1:34" x14ac:dyDescent="0.3">
      <c r="A187" s="219"/>
      <c r="B187" s="159"/>
      <c r="C187" s="135" t="s">
        <v>1278</v>
      </c>
      <c r="D187" s="135" t="s">
        <v>1279</v>
      </c>
      <c r="E187" s="135" t="s">
        <v>1280</v>
      </c>
      <c r="F187" s="135" t="s">
        <v>1280</v>
      </c>
      <c r="G187" s="159"/>
      <c r="H187" s="159"/>
      <c r="I187" s="135" t="s">
        <v>298</v>
      </c>
      <c r="J187" s="135" t="s">
        <v>547</v>
      </c>
      <c r="K187" s="159"/>
      <c r="L187" s="159"/>
      <c r="M187" s="159"/>
      <c r="N187" s="159"/>
      <c r="O187" s="159"/>
      <c r="P187" s="159"/>
      <c r="Q187" s="159"/>
      <c r="R187" s="135" t="s">
        <v>298</v>
      </c>
      <c r="S187" s="159"/>
      <c r="T187" s="159"/>
      <c r="U187" s="159"/>
      <c r="V187" s="159"/>
      <c r="W187" s="135" t="s">
        <v>303</v>
      </c>
      <c r="X187" s="159"/>
      <c r="Y187" s="159"/>
      <c r="Z187" s="159"/>
      <c r="AA187" s="159"/>
      <c r="AB187" s="159"/>
      <c r="AC187" s="135" t="s">
        <v>1281</v>
      </c>
      <c r="AD187" s="68" t="s">
        <v>34</v>
      </c>
      <c r="AE187" s="176"/>
      <c r="AF187" s="91" t="str">
        <f t="shared" si="4"/>
        <v>S</v>
      </c>
      <c r="AG187" s="91" cm="1">
        <f t="array" ref="AG187">_xlfn.SWITCH(D187,"PTA12",2,"PTD1",2,"PTD0",3,"PTC16",1,"PTD5",1,"PTA5",2,"PTD6",2,"PTE8",2,(LEN(N187)+LEN(N187)-LEN(SUBSTITUTE(N187,"ADC",))-LEN(SUBSTITUTE(N187,"CMP",)))/3)</f>
        <v>0</v>
      </c>
      <c r="AH187" s="180" t="str">
        <f t="shared" si="5"/>
        <v>ILKG_33/50_S0</v>
      </c>
    </row>
    <row r="188" spans="1:34" x14ac:dyDescent="0.3">
      <c r="A188" s="219"/>
      <c r="B188" s="159"/>
      <c r="C188" s="135" t="s">
        <v>1282</v>
      </c>
      <c r="D188" s="135" t="s">
        <v>1283</v>
      </c>
      <c r="E188" s="135" t="s">
        <v>1284</v>
      </c>
      <c r="F188" s="135" t="s">
        <v>1284</v>
      </c>
      <c r="G188" s="135" t="s">
        <v>597</v>
      </c>
      <c r="H188" s="159"/>
      <c r="I188" s="135" t="s">
        <v>290</v>
      </c>
      <c r="J188" s="159"/>
      <c r="K188" s="159"/>
      <c r="L188" s="135" t="s">
        <v>264</v>
      </c>
      <c r="M188" s="135" t="s">
        <v>461</v>
      </c>
      <c r="N188" s="159"/>
      <c r="O188" s="159"/>
      <c r="P188" s="159"/>
      <c r="Q188" s="159"/>
      <c r="R188" s="135" t="s">
        <v>290</v>
      </c>
      <c r="S188" s="159"/>
      <c r="T188" s="159"/>
      <c r="U188" s="135" t="s">
        <v>264</v>
      </c>
      <c r="V188" s="159"/>
      <c r="W188" s="159"/>
      <c r="X188" s="159"/>
      <c r="Y188" s="159"/>
      <c r="Z188" s="159"/>
      <c r="AA188" s="159"/>
      <c r="AB188" s="159"/>
      <c r="AC188" s="135" t="s">
        <v>1285</v>
      </c>
      <c r="AD188" s="68" t="s">
        <v>231</v>
      </c>
      <c r="AE188" s="176"/>
      <c r="AF188" s="91" t="str">
        <f t="shared" si="4"/>
        <v>SP</v>
      </c>
      <c r="AG188" s="91" cm="1">
        <f t="array" ref="AG188">_xlfn.SWITCH(D188,"PTA12",2,"PTD1",2,"PTD0",3,"PTC16",1,"PTD5",1,"PTA5",2,"PTD6",2,"PTE8",2,(LEN(N188)+LEN(N188)-LEN(SUBSTITUTE(N188,"ADC",))-LEN(SUBSTITUTE(N188,"CMP",)))/3)</f>
        <v>0</v>
      </c>
      <c r="AH188" s="180" t="str">
        <f t="shared" si="5"/>
        <v>ILKG_33/50_SP0</v>
      </c>
    </row>
    <row r="189" spans="1:34" x14ac:dyDescent="0.3">
      <c r="A189" s="219"/>
      <c r="B189" s="159"/>
      <c r="C189" s="135" t="s">
        <v>1173</v>
      </c>
      <c r="D189" s="135" t="s">
        <v>1174</v>
      </c>
      <c r="E189" s="135" t="s">
        <v>1175</v>
      </c>
      <c r="F189" s="135" t="s">
        <v>1175</v>
      </c>
      <c r="G189" s="135" t="s">
        <v>243</v>
      </c>
      <c r="H189" s="135" t="s">
        <v>748</v>
      </c>
      <c r="I189" s="159"/>
      <c r="J189" s="135" t="s">
        <v>92</v>
      </c>
      <c r="K189" s="159"/>
      <c r="L189" s="159"/>
      <c r="M189" s="159"/>
      <c r="N189" s="159"/>
      <c r="O189" s="159"/>
      <c r="P189" s="159"/>
      <c r="Q189" s="135" t="s">
        <v>748</v>
      </c>
      <c r="R189" s="159"/>
      <c r="S189" s="135" t="s">
        <v>92</v>
      </c>
      <c r="T189" s="159"/>
      <c r="U189" s="159"/>
      <c r="V189" s="159"/>
      <c r="W189" s="135" t="s">
        <v>173</v>
      </c>
      <c r="X189" s="159"/>
      <c r="Y189" s="159"/>
      <c r="Z189" s="159"/>
      <c r="AA189" s="159"/>
      <c r="AB189" s="159"/>
      <c r="AC189" s="135" t="s">
        <v>1176</v>
      </c>
      <c r="AD189" s="68" t="s">
        <v>231</v>
      </c>
      <c r="AE189" s="176"/>
      <c r="AF189" s="91" t="str">
        <f t="shared" si="4"/>
        <v>SP</v>
      </c>
      <c r="AG189" s="91" cm="1">
        <f t="array" ref="AG189">_xlfn.SWITCH(D189,"PTA12",2,"PTD1",2,"PTD0",3,"PTC16",1,"PTD5",1,"PTA5",2,"PTD6",2,"PTE8",2,(LEN(N189)+LEN(N189)-LEN(SUBSTITUTE(N189,"ADC",))-LEN(SUBSTITUTE(N189,"CMP",)))/3)</f>
        <v>0</v>
      </c>
      <c r="AH189" s="180" t="str">
        <f t="shared" si="5"/>
        <v>ILKG_33/50_SP0</v>
      </c>
    </row>
    <row r="190" spans="1:34" x14ac:dyDescent="0.3">
      <c r="A190" s="219"/>
      <c r="B190" s="159"/>
      <c r="C190" s="135" t="s">
        <v>1177</v>
      </c>
      <c r="D190" s="135" t="s">
        <v>1178</v>
      </c>
      <c r="E190" s="135" t="s">
        <v>1179</v>
      </c>
      <c r="F190" s="135" t="s">
        <v>1179</v>
      </c>
      <c r="G190" s="159"/>
      <c r="H190" s="135" t="s">
        <v>759</v>
      </c>
      <c r="I190" s="159"/>
      <c r="J190" s="159"/>
      <c r="K190" s="159"/>
      <c r="L190" s="159"/>
      <c r="M190" s="159"/>
      <c r="N190" s="159"/>
      <c r="O190" s="159"/>
      <c r="P190" s="159"/>
      <c r="Q190" s="135" t="s">
        <v>759</v>
      </c>
      <c r="R190" s="159"/>
      <c r="S190" s="159"/>
      <c r="T190" s="159"/>
      <c r="U190" s="159"/>
      <c r="V190" s="159"/>
      <c r="W190" s="135" t="s">
        <v>266</v>
      </c>
      <c r="X190" s="135" t="s">
        <v>160</v>
      </c>
      <c r="Y190" s="159"/>
      <c r="Z190" s="159"/>
      <c r="AA190" s="159"/>
      <c r="AB190" s="159"/>
      <c r="AC190" s="135" t="s">
        <v>1180</v>
      </c>
      <c r="AD190" s="68" t="s">
        <v>34</v>
      </c>
      <c r="AE190" s="176"/>
      <c r="AF190" s="91" t="str">
        <f t="shared" si="4"/>
        <v>S</v>
      </c>
      <c r="AG190" s="91" cm="1">
        <f t="array" ref="AG190">_xlfn.SWITCH(D190,"PTA12",2,"PTD1",2,"PTD0",3,"PTC16",1,"PTD5",1,"PTA5",2,"PTD6",2,"PTE8",2,(LEN(N190)+LEN(N190)-LEN(SUBSTITUTE(N190,"ADC",))-LEN(SUBSTITUTE(N190,"CMP",)))/3)</f>
        <v>0</v>
      </c>
      <c r="AH190" s="180" t="str">
        <f t="shared" si="5"/>
        <v>ILKG_33/50_S0</v>
      </c>
    </row>
    <row r="191" spans="1:34" x14ac:dyDescent="0.3">
      <c r="A191" s="219"/>
      <c r="B191" s="159"/>
      <c r="C191" s="135" t="s">
        <v>1181</v>
      </c>
      <c r="D191" s="135" t="s">
        <v>1182</v>
      </c>
      <c r="E191" s="135" t="s">
        <v>1183</v>
      </c>
      <c r="F191" s="135" t="s">
        <v>1183</v>
      </c>
      <c r="G191" s="159"/>
      <c r="H191" s="135" t="s">
        <v>770</v>
      </c>
      <c r="I191" s="159"/>
      <c r="J191" s="159"/>
      <c r="K191" s="159"/>
      <c r="L191" s="159"/>
      <c r="M191" s="159"/>
      <c r="N191" s="159"/>
      <c r="O191" s="159"/>
      <c r="P191" s="159"/>
      <c r="Q191" s="135" t="s">
        <v>770</v>
      </c>
      <c r="R191" s="159"/>
      <c r="S191" s="159"/>
      <c r="T191" s="159"/>
      <c r="U191" s="159"/>
      <c r="V191" s="159"/>
      <c r="W191" s="135" t="s">
        <v>255</v>
      </c>
      <c r="X191" s="159"/>
      <c r="Y191" s="159"/>
      <c r="Z191" s="159"/>
      <c r="AA191" s="159"/>
      <c r="AB191" s="159"/>
      <c r="AC191" s="135" t="s">
        <v>1184</v>
      </c>
      <c r="AD191" s="68" t="s">
        <v>34</v>
      </c>
      <c r="AE191" s="176"/>
      <c r="AF191" s="91" t="str">
        <f t="shared" si="4"/>
        <v>S</v>
      </c>
      <c r="AG191" s="91" cm="1">
        <f t="array" ref="AG191">_xlfn.SWITCH(D191,"PTA12",2,"PTD1",2,"PTD0",3,"PTC16",1,"PTD5",1,"PTA5",2,"PTD6",2,"PTE8",2,(LEN(N191)+LEN(N191)-LEN(SUBSTITUTE(N191,"ADC",))-LEN(SUBSTITUTE(N191,"CMP",)))/3)</f>
        <v>0</v>
      </c>
      <c r="AH191" s="180" t="str">
        <f t="shared" si="5"/>
        <v>ILKG_33/50_S0</v>
      </c>
    </row>
    <row r="192" spans="1:34" x14ac:dyDescent="0.3">
      <c r="A192" s="219"/>
      <c r="B192" s="159"/>
      <c r="C192" s="135" t="s">
        <v>1185</v>
      </c>
      <c r="D192" s="135" t="s">
        <v>1186</v>
      </c>
      <c r="E192" s="135" t="s">
        <v>1187</v>
      </c>
      <c r="F192" s="135" t="s">
        <v>1187</v>
      </c>
      <c r="G192" s="159"/>
      <c r="H192" s="135" t="s">
        <v>911</v>
      </c>
      <c r="I192" s="135" t="s">
        <v>484</v>
      </c>
      <c r="J192" s="135" t="s">
        <v>106</v>
      </c>
      <c r="K192" s="159"/>
      <c r="L192" s="159"/>
      <c r="M192" s="159"/>
      <c r="N192" s="159"/>
      <c r="O192" s="159"/>
      <c r="P192" s="159"/>
      <c r="Q192" s="135" t="s">
        <v>911</v>
      </c>
      <c r="R192" s="135" t="s">
        <v>484</v>
      </c>
      <c r="S192" s="135" t="s">
        <v>106</v>
      </c>
      <c r="T192" s="159"/>
      <c r="U192" s="159"/>
      <c r="V192" s="159"/>
      <c r="W192" s="135" t="s">
        <v>283</v>
      </c>
      <c r="X192" s="159"/>
      <c r="Y192" s="159"/>
      <c r="Z192" s="159"/>
      <c r="AA192" s="159"/>
      <c r="AB192" s="159"/>
      <c r="AC192" s="135" t="s">
        <v>1188</v>
      </c>
      <c r="AD192" s="68" t="s">
        <v>231</v>
      </c>
      <c r="AE192" s="176"/>
      <c r="AF192" s="91" t="str">
        <f t="shared" si="4"/>
        <v>SP</v>
      </c>
      <c r="AG192" s="91" cm="1">
        <f t="array" ref="AG192">_xlfn.SWITCH(D192,"PTA12",2,"PTD1",2,"PTD0",3,"PTC16",1,"PTD5",1,"PTA5",2,"PTD6",2,"PTE8",2,(LEN(N192)+LEN(N192)-LEN(SUBSTITUTE(N192,"ADC",))-LEN(SUBSTITUTE(N192,"CMP",)))/3)</f>
        <v>0</v>
      </c>
      <c r="AH192" s="180" t="str">
        <f t="shared" si="5"/>
        <v>ILKG_33/50_SP0</v>
      </c>
    </row>
    <row r="193" spans="1:34" x14ac:dyDescent="0.3">
      <c r="A193" s="219"/>
      <c r="B193" s="159"/>
      <c r="C193" s="135" t="s">
        <v>1189</v>
      </c>
      <c r="D193" s="135" t="s">
        <v>1190</v>
      </c>
      <c r="E193" s="135" t="s">
        <v>1191</v>
      </c>
      <c r="F193" s="135" t="s">
        <v>1191</v>
      </c>
      <c r="G193" s="159"/>
      <c r="H193" s="135" t="s">
        <v>187</v>
      </c>
      <c r="I193" s="135" t="s">
        <v>493</v>
      </c>
      <c r="J193" s="135" t="s">
        <v>79</v>
      </c>
      <c r="K193" s="159"/>
      <c r="L193" s="159"/>
      <c r="M193" s="159"/>
      <c r="N193" s="159"/>
      <c r="O193" s="159"/>
      <c r="P193" s="159"/>
      <c r="Q193" s="135" t="s">
        <v>187</v>
      </c>
      <c r="R193" s="135" t="s">
        <v>493</v>
      </c>
      <c r="S193" s="135" t="s">
        <v>79</v>
      </c>
      <c r="T193" s="159"/>
      <c r="U193" s="159"/>
      <c r="V193" s="159"/>
      <c r="W193" s="135" t="s">
        <v>656</v>
      </c>
      <c r="X193" s="159"/>
      <c r="Y193" s="159"/>
      <c r="Z193" s="159"/>
      <c r="AA193" s="159"/>
      <c r="AB193" s="159"/>
      <c r="AC193" s="135" t="s">
        <v>1192</v>
      </c>
      <c r="AD193" s="68" t="s">
        <v>231</v>
      </c>
      <c r="AE193" s="176"/>
      <c r="AF193" s="91" t="str">
        <f t="shared" si="4"/>
        <v>SP</v>
      </c>
      <c r="AG193" s="91" cm="1">
        <f t="array" ref="AG193">_xlfn.SWITCH(D193,"PTA12",2,"PTD1",2,"PTD0",3,"PTC16",1,"PTD5",1,"PTA5",2,"PTD6",2,"PTE8",2,(LEN(N193)+LEN(N193)-LEN(SUBSTITUTE(N193,"ADC",))-LEN(SUBSTITUTE(N193,"CMP",)))/3)</f>
        <v>0</v>
      </c>
      <c r="AH193" s="180" t="str">
        <f t="shared" si="5"/>
        <v>ILKG_33/50_SP0</v>
      </c>
    </row>
    <row r="194" spans="1:34" x14ac:dyDescent="0.3">
      <c r="A194" s="219"/>
      <c r="B194" s="159"/>
      <c r="C194" s="135" t="s">
        <v>1193</v>
      </c>
      <c r="D194" s="135" t="s">
        <v>1194</v>
      </c>
      <c r="E194" s="135" t="s">
        <v>1195</v>
      </c>
      <c r="F194" s="135" t="s">
        <v>1195</v>
      </c>
      <c r="G194" s="159"/>
      <c r="H194" s="135" t="s">
        <v>510</v>
      </c>
      <c r="I194" s="135" t="s">
        <v>582</v>
      </c>
      <c r="J194" s="159"/>
      <c r="K194" s="159"/>
      <c r="L194" s="159"/>
      <c r="M194" s="159"/>
      <c r="N194" s="159"/>
      <c r="O194" s="159"/>
      <c r="P194" s="159"/>
      <c r="Q194" s="135" t="s">
        <v>510</v>
      </c>
      <c r="R194" s="159"/>
      <c r="S194" s="159"/>
      <c r="T194" s="159"/>
      <c r="U194" s="159"/>
      <c r="V194" s="159"/>
      <c r="W194" s="135" t="s">
        <v>663</v>
      </c>
      <c r="X194" s="159"/>
      <c r="Y194" s="159"/>
      <c r="Z194" s="159"/>
      <c r="AA194" s="159"/>
      <c r="AB194" s="159"/>
      <c r="AC194" s="135" t="s">
        <v>1196</v>
      </c>
      <c r="AD194" s="68" t="s">
        <v>34</v>
      </c>
      <c r="AE194" s="176"/>
      <c r="AF194" s="91" t="str">
        <f t="shared" si="4"/>
        <v>S</v>
      </c>
      <c r="AG194" s="91" cm="1">
        <f t="array" ref="AG194">_xlfn.SWITCH(D194,"PTA12",2,"PTD1",2,"PTD0",3,"PTC16",1,"PTD5",1,"PTA5",2,"PTD6",2,"PTE8",2,(LEN(N194)+LEN(N194)-LEN(SUBSTITUTE(N194,"ADC",))-LEN(SUBSTITUTE(N194,"CMP",)))/3)</f>
        <v>0</v>
      </c>
      <c r="AH194" s="180" t="str">
        <f t="shared" si="5"/>
        <v>ILKG_33/50_S0</v>
      </c>
    </row>
    <row r="195" spans="1:34" x14ac:dyDescent="0.3">
      <c r="A195" s="219"/>
      <c r="B195" s="159"/>
      <c r="C195" s="135" t="s">
        <v>1286</v>
      </c>
      <c r="D195" s="135" t="s">
        <v>1287</v>
      </c>
      <c r="E195" s="135" t="s">
        <v>1288</v>
      </c>
      <c r="F195" s="135" t="s">
        <v>1288</v>
      </c>
      <c r="G195" s="135" t="s">
        <v>349</v>
      </c>
      <c r="H195" s="159"/>
      <c r="I195" s="135" t="s">
        <v>28</v>
      </c>
      <c r="J195" s="159"/>
      <c r="K195" s="159"/>
      <c r="L195" s="159"/>
      <c r="M195" s="159"/>
      <c r="N195" s="159"/>
      <c r="O195" s="159"/>
      <c r="P195" s="135" t="s">
        <v>349</v>
      </c>
      <c r="Q195" s="159"/>
      <c r="R195" s="135" t="s">
        <v>28</v>
      </c>
      <c r="S195" s="159"/>
      <c r="T195" s="159"/>
      <c r="U195" s="159"/>
      <c r="V195" s="159"/>
      <c r="W195" s="135" t="s">
        <v>119</v>
      </c>
      <c r="X195" s="159"/>
      <c r="Y195" s="159"/>
      <c r="Z195" s="159"/>
      <c r="AA195" s="159"/>
      <c r="AB195" s="159"/>
      <c r="AC195" s="135" t="s">
        <v>1289</v>
      </c>
      <c r="AD195" s="68" t="s">
        <v>34</v>
      </c>
      <c r="AE195" s="176"/>
      <c r="AF195" s="91" t="str">
        <f t="shared" ref="AF195:AF222" si="6">IF(ISNUMBER(SEARCH("plus",AD195)),"SP",IF(ISNUMBER(SEARCH("standard",AD195)),"S",IF(ISNUMBER(SEARCH("medium",AD195)),"M",IF(ISNUMBER(SEARCH("fast",AD195)),"F",IF(ISNUMBER(SEARCH("input",AD195)),"I",IF(ISNUMBER(SEARCH("rst",AD195)),"SP"))))))</f>
        <v>S</v>
      </c>
      <c r="AG195" s="91" cm="1">
        <f t="array" ref="AG195">_xlfn.SWITCH(D195,"PTA12",2,"PTD1",2,"PTD0",3,"PTC16",1,"PTD5",1,"PTA5",2,"PTD6",2,"PTE8",2,(LEN(N195)+LEN(N195)-LEN(SUBSTITUTE(N195,"ADC",))-LEN(SUBSTITUTE(N195,"CMP",)))/3)</f>
        <v>0</v>
      </c>
      <c r="AH195" s="180" t="str">
        <f t="shared" ref="AH195:AH258" si="7">IF(ISTEXT(AF195),_xlfn.CONCAT("ILKG_33/50_",AF195,AG195),"")</f>
        <v>ILKG_33/50_S0</v>
      </c>
    </row>
    <row r="196" spans="1:34" x14ac:dyDescent="0.3">
      <c r="A196" s="219"/>
      <c r="B196" s="159"/>
      <c r="C196" s="135" t="s">
        <v>1290</v>
      </c>
      <c r="D196" s="135" t="s">
        <v>1291</v>
      </c>
      <c r="E196" s="135" t="s">
        <v>1292</v>
      </c>
      <c r="F196" s="135" t="s">
        <v>1292</v>
      </c>
      <c r="G196" s="159"/>
      <c r="H196" s="159"/>
      <c r="I196" s="135" t="s">
        <v>371</v>
      </c>
      <c r="J196" s="159"/>
      <c r="K196" s="159"/>
      <c r="L196" s="159"/>
      <c r="M196" s="159"/>
      <c r="N196" s="159"/>
      <c r="O196" s="159"/>
      <c r="P196" s="159"/>
      <c r="Q196" s="159"/>
      <c r="R196" s="135" t="s">
        <v>371</v>
      </c>
      <c r="S196" s="159"/>
      <c r="T196" s="159"/>
      <c r="U196" s="159"/>
      <c r="V196" s="159"/>
      <c r="W196" s="135" t="s">
        <v>109</v>
      </c>
      <c r="X196" s="135" t="s">
        <v>359</v>
      </c>
      <c r="Y196" s="159"/>
      <c r="Z196" s="159"/>
      <c r="AA196" s="159"/>
      <c r="AB196" s="159"/>
      <c r="AC196" s="135" t="s">
        <v>1293</v>
      </c>
      <c r="AD196" s="68" t="s">
        <v>34</v>
      </c>
      <c r="AE196" s="176"/>
      <c r="AF196" s="91" t="str">
        <f t="shared" si="6"/>
        <v>S</v>
      </c>
      <c r="AG196" s="91" cm="1">
        <f t="array" ref="AG196">_xlfn.SWITCH(D196,"PTA12",2,"PTD1",2,"PTD0",3,"PTC16",1,"PTD5",1,"PTA5",2,"PTD6",2,"PTE8",2,(LEN(N196)+LEN(N196)-LEN(SUBSTITUTE(N196,"ADC",))-LEN(SUBSTITUTE(N196,"CMP",)))/3)</f>
        <v>0</v>
      </c>
      <c r="AH196" s="180" t="str">
        <f t="shared" si="7"/>
        <v>ILKG_33/50_S0</v>
      </c>
    </row>
    <row r="197" spans="1:34" x14ac:dyDescent="0.3">
      <c r="A197" s="219"/>
      <c r="B197" s="159"/>
      <c r="C197" s="135" t="s">
        <v>1326</v>
      </c>
      <c r="D197" s="135" t="s">
        <v>1327</v>
      </c>
      <c r="E197" s="135" t="s">
        <v>1328</v>
      </c>
      <c r="F197" s="135" t="s">
        <v>1328</v>
      </c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35" t="s">
        <v>463</v>
      </c>
      <c r="X197" s="159"/>
      <c r="Y197" s="159"/>
      <c r="Z197" s="159"/>
      <c r="AA197" s="159"/>
      <c r="AB197" s="159"/>
      <c r="AC197" s="135" t="s">
        <v>1329</v>
      </c>
      <c r="AD197" s="68" t="s">
        <v>34</v>
      </c>
      <c r="AE197" s="176"/>
      <c r="AF197" s="91" t="str">
        <f t="shared" si="6"/>
        <v>S</v>
      </c>
      <c r="AG197" s="91" cm="1">
        <f t="array" ref="AG197">_xlfn.SWITCH(D197,"PTA12",2,"PTD1",2,"PTD0",3,"PTC16",1,"PTD5",1,"PTA5",2,"PTD6",2,"PTE8",2,(LEN(N197)+LEN(N197)-LEN(SUBSTITUTE(N197,"ADC",))-LEN(SUBSTITUTE(N197,"CMP",)))/3)</f>
        <v>0</v>
      </c>
      <c r="AH197" s="180" t="str">
        <f t="shared" si="7"/>
        <v>ILKG_33/50_S0</v>
      </c>
    </row>
    <row r="198" spans="1:34" x14ac:dyDescent="0.3">
      <c r="A198" s="219"/>
      <c r="B198" s="159"/>
      <c r="C198" s="135" t="s">
        <v>1330</v>
      </c>
      <c r="D198" s="135" t="s">
        <v>1331</v>
      </c>
      <c r="E198" s="135" t="s">
        <v>1332</v>
      </c>
      <c r="F198" s="135" t="s">
        <v>1332</v>
      </c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35" t="s">
        <v>456</v>
      </c>
      <c r="X198" s="159"/>
      <c r="Y198" s="159"/>
      <c r="Z198" s="159"/>
      <c r="AA198" s="159"/>
      <c r="AB198" s="159"/>
      <c r="AC198" s="135" t="s">
        <v>1333</v>
      </c>
      <c r="AD198" s="68" t="s">
        <v>34</v>
      </c>
      <c r="AE198" s="176"/>
      <c r="AF198" s="91" t="str">
        <f t="shared" si="6"/>
        <v>S</v>
      </c>
      <c r="AG198" s="91" cm="1">
        <f t="array" ref="AG198">_xlfn.SWITCH(D198,"PTA12",2,"PTD1",2,"PTD0",3,"PTC16",1,"PTD5",1,"PTA5",2,"PTD6",2,"PTE8",2,(LEN(N198)+LEN(N198)-LEN(SUBSTITUTE(N198,"ADC",))-LEN(SUBSTITUTE(N198,"CMP",)))/3)</f>
        <v>0</v>
      </c>
      <c r="AH198" s="180" t="str">
        <f t="shared" si="7"/>
        <v>ILKG_33/50_S0</v>
      </c>
    </row>
    <row r="199" spans="1:34" x14ac:dyDescent="0.3">
      <c r="A199" s="219"/>
      <c r="B199" s="159"/>
      <c r="C199" s="135" t="s">
        <v>1334</v>
      </c>
      <c r="D199" s="135" t="s">
        <v>1335</v>
      </c>
      <c r="E199" s="135" t="s">
        <v>1336</v>
      </c>
      <c r="F199" s="135" t="s">
        <v>1336</v>
      </c>
      <c r="G199" s="159"/>
      <c r="H199" s="159"/>
      <c r="I199" s="159"/>
      <c r="J199" s="159"/>
      <c r="K199" s="159"/>
      <c r="L199" s="135" t="s">
        <v>983</v>
      </c>
      <c r="M199" s="159"/>
      <c r="N199" s="159"/>
      <c r="O199" s="159"/>
      <c r="P199" s="159"/>
      <c r="Q199" s="159"/>
      <c r="R199" s="159"/>
      <c r="S199" s="159"/>
      <c r="T199" s="159"/>
      <c r="U199" s="135" t="s">
        <v>983</v>
      </c>
      <c r="V199" s="159"/>
      <c r="W199" s="135" t="s">
        <v>448</v>
      </c>
      <c r="X199" s="159"/>
      <c r="Y199" s="159"/>
      <c r="Z199" s="159"/>
      <c r="AA199" s="159"/>
      <c r="AB199" s="159"/>
      <c r="AC199" s="135" t="s">
        <v>1337</v>
      </c>
      <c r="AD199" s="68" t="s">
        <v>34</v>
      </c>
      <c r="AE199" s="176"/>
      <c r="AF199" s="91" t="str">
        <f t="shared" si="6"/>
        <v>S</v>
      </c>
      <c r="AG199" s="91" cm="1">
        <f t="array" ref="AG199">_xlfn.SWITCH(D199,"PTA12",2,"PTD1",2,"PTD0",3,"PTC16",1,"PTD5",1,"PTA5",2,"PTD6",2,"PTE8",2,(LEN(N199)+LEN(N199)-LEN(SUBSTITUTE(N199,"ADC",))-LEN(SUBSTITUTE(N199,"CMP",)))/3)</f>
        <v>0</v>
      </c>
      <c r="AH199" s="180" t="str">
        <f t="shared" si="7"/>
        <v>ILKG_33/50_S0</v>
      </c>
    </row>
    <row r="200" spans="1:34" x14ac:dyDescent="0.3">
      <c r="A200" s="219"/>
      <c r="B200" s="159"/>
      <c r="C200" s="135" t="s">
        <v>1338</v>
      </c>
      <c r="D200" s="135" t="s">
        <v>1339</v>
      </c>
      <c r="E200" s="135" t="s">
        <v>1340</v>
      </c>
      <c r="F200" s="135" t="s">
        <v>1340</v>
      </c>
      <c r="G200" s="135" t="s">
        <v>243</v>
      </c>
      <c r="H200" s="135" t="s">
        <v>432</v>
      </c>
      <c r="I200" s="159"/>
      <c r="J200" s="159"/>
      <c r="K200" s="159"/>
      <c r="L200" s="159"/>
      <c r="M200" s="159"/>
      <c r="N200" s="159"/>
      <c r="O200" s="159"/>
      <c r="P200" s="159"/>
      <c r="Q200" s="135" t="s">
        <v>432</v>
      </c>
      <c r="R200" s="159"/>
      <c r="S200" s="159"/>
      <c r="T200" s="159"/>
      <c r="U200" s="159"/>
      <c r="V200" s="159"/>
      <c r="W200" s="135" t="s">
        <v>344</v>
      </c>
      <c r="X200" s="159"/>
      <c r="Y200" s="159"/>
      <c r="Z200" s="159"/>
      <c r="AA200" s="159"/>
      <c r="AB200" s="159"/>
      <c r="AC200" s="135" t="s">
        <v>1341</v>
      </c>
      <c r="AD200" s="68" t="s">
        <v>231</v>
      </c>
      <c r="AE200" s="176"/>
      <c r="AF200" s="91" t="str">
        <f t="shared" si="6"/>
        <v>SP</v>
      </c>
      <c r="AG200" s="91" cm="1">
        <f t="array" ref="AG200">_xlfn.SWITCH(D200,"PTA12",2,"PTD1",2,"PTD0",3,"PTC16",1,"PTD5",1,"PTA5",2,"PTD6",2,"PTE8",2,(LEN(N200)+LEN(N200)-LEN(SUBSTITUTE(N200,"ADC",))-LEN(SUBSTITUTE(N200,"CMP",)))/3)</f>
        <v>0</v>
      </c>
      <c r="AH200" s="180" t="str">
        <f t="shared" si="7"/>
        <v>ILKG_33/50_SP0</v>
      </c>
    </row>
    <row r="201" spans="1:34" x14ac:dyDescent="0.3">
      <c r="A201" s="219"/>
      <c r="B201" s="159"/>
      <c r="C201" s="135" t="s">
        <v>1342</v>
      </c>
      <c r="D201" s="135" t="s">
        <v>1343</v>
      </c>
      <c r="E201" s="135" t="s">
        <v>1344</v>
      </c>
      <c r="F201" s="135" t="s">
        <v>1344</v>
      </c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35" t="s">
        <v>266</v>
      </c>
      <c r="X201" s="135" t="s">
        <v>334</v>
      </c>
      <c r="Y201" s="159"/>
      <c r="Z201" s="159"/>
      <c r="AA201" s="159"/>
      <c r="AB201" s="159"/>
      <c r="AC201" s="135" t="s">
        <v>1345</v>
      </c>
      <c r="AD201" s="68" t="s">
        <v>34</v>
      </c>
      <c r="AE201" s="176"/>
      <c r="AF201" s="91" t="str">
        <f t="shared" si="6"/>
        <v>S</v>
      </c>
      <c r="AG201" s="91" cm="1">
        <f t="array" ref="AG201">_xlfn.SWITCH(D201,"PTA12",2,"PTD1",2,"PTD0",3,"PTC16",1,"PTD5",1,"PTA5",2,"PTD6",2,"PTE8",2,(LEN(N201)+LEN(N201)-LEN(SUBSTITUTE(N201,"ADC",))-LEN(SUBSTITUTE(N201,"CMP",)))/3)</f>
        <v>0</v>
      </c>
      <c r="AH201" s="180" t="str">
        <f t="shared" si="7"/>
        <v>ILKG_33/50_S0</v>
      </c>
    </row>
    <row r="202" spans="1:34" x14ac:dyDescent="0.3">
      <c r="A202" s="219"/>
      <c r="B202" s="159"/>
      <c r="C202" s="135" t="s">
        <v>1346</v>
      </c>
      <c r="D202" s="135" t="s">
        <v>1347</v>
      </c>
      <c r="E202" s="135" t="s">
        <v>1348</v>
      </c>
      <c r="F202" s="135" t="s">
        <v>1348</v>
      </c>
      <c r="G202" s="159"/>
      <c r="H202" s="135" t="s">
        <v>503</v>
      </c>
      <c r="I202" s="159"/>
      <c r="J202" s="159"/>
      <c r="K202" s="135" t="s">
        <v>356</v>
      </c>
      <c r="L202" s="159"/>
      <c r="M202" s="135" t="s">
        <v>446</v>
      </c>
      <c r="N202" s="159"/>
      <c r="O202" s="159"/>
      <c r="P202" s="159"/>
      <c r="Q202" s="135" t="s">
        <v>503</v>
      </c>
      <c r="R202" s="159"/>
      <c r="S202" s="159"/>
      <c r="T202" s="135" t="s">
        <v>356</v>
      </c>
      <c r="U202" s="159"/>
      <c r="V202" s="159"/>
      <c r="W202" s="135" t="s">
        <v>304</v>
      </c>
      <c r="X202" s="159"/>
      <c r="Y202" s="159"/>
      <c r="Z202" s="159"/>
      <c r="AA202" s="159"/>
      <c r="AB202" s="159"/>
      <c r="AC202" s="135" t="s">
        <v>1349</v>
      </c>
      <c r="AD202" s="68" t="s">
        <v>231</v>
      </c>
      <c r="AE202" s="176"/>
      <c r="AF202" s="91" t="str">
        <f t="shared" si="6"/>
        <v>SP</v>
      </c>
      <c r="AG202" s="91" cm="1">
        <f t="array" ref="AG202">_xlfn.SWITCH(D202,"PTA12",2,"PTD1",2,"PTD0",3,"PTC16",1,"PTD5",1,"PTA5",2,"PTD6",2,"PTE8",2,(LEN(N202)+LEN(N202)-LEN(SUBSTITUTE(N202,"ADC",))-LEN(SUBSTITUTE(N202,"CMP",)))/3)</f>
        <v>0</v>
      </c>
      <c r="AH202" s="180" t="str">
        <f t="shared" si="7"/>
        <v>ILKG_33/50_SP0</v>
      </c>
    </row>
    <row r="203" spans="1:34" x14ac:dyDescent="0.3">
      <c r="A203" s="219"/>
      <c r="B203" s="159"/>
      <c r="C203" s="135" t="s">
        <v>1350</v>
      </c>
      <c r="D203" s="135" t="s">
        <v>1351</v>
      </c>
      <c r="E203" s="135" t="s">
        <v>1352</v>
      </c>
      <c r="F203" s="135" t="s">
        <v>1352</v>
      </c>
      <c r="G203" s="159"/>
      <c r="H203" s="135" t="s">
        <v>365</v>
      </c>
      <c r="I203" s="135" t="s">
        <v>439</v>
      </c>
      <c r="J203" s="159"/>
      <c r="K203" s="159"/>
      <c r="L203" s="159"/>
      <c r="M203" s="135" t="s">
        <v>454</v>
      </c>
      <c r="N203" s="159"/>
      <c r="O203" s="159"/>
      <c r="P203" s="159"/>
      <c r="Q203" s="135" t="s">
        <v>365</v>
      </c>
      <c r="R203" s="135" t="s">
        <v>439</v>
      </c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35" t="s">
        <v>1353</v>
      </c>
      <c r="AD203" s="68" t="s">
        <v>231</v>
      </c>
      <c r="AE203" s="176"/>
      <c r="AF203" s="91" t="str">
        <f t="shared" si="6"/>
        <v>SP</v>
      </c>
      <c r="AG203" s="91" cm="1">
        <f t="array" ref="AG203">_xlfn.SWITCH(D203,"PTA12",2,"PTD1",2,"PTD0",3,"PTC16",1,"PTD5",1,"PTA5",2,"PTD6",2,"PTE8",2,(LEN(N203)+LEN(N203)-LEN(SUBSTITUTE(N203,"ADC",))-LEN(SUBSTITUTE(N203,"CMP",)))/3)</f>
        <v>0</v>
      </c>
      <c r="AH203" s="180" t="str">
        <f t="shared" si="7"/>
        <v>ILKG_33/50_SP0</v>
      </c>
    </row>
    <row r="204" spans="1:34" x14ac:dyDescent="0.3">
      <c r="A204" s="219"/>
      <c r="B204" s="159"/>
      <c r="C204" s="135" t="s">
        <v>1354</v>
      </c>
      <c r="D204" s="135" t="s">
        <v>1355</v>
      </c>
      <c r="E204" s="135" t="s">
        <v>1356</v>
      </c>
      <c r="F204" s="135" t="s">
        <v>1356</v>
      </c>
      <c r="G204" s="159"/>
      <c r="H204" s="135" t="s">
        <v>372</v>
      </c>
      <c r="I204" s="135" t="s">
        <v>557</v>
      </c>
      <c r="J204" s="159"/>
      <c r="K204" s="159"/>
      <c r="L204" s="159"/>
      <c r="M204" s="135" t="s">
        <v>1357</v>
      </c>
      <c r="N204" s="159"/>
      <c r="O204" s="159"/>
      <c r="P204" s="159"/>
      <c r="Q204" s="135" t="s">
        <v>372</v>
      </c>
      <c r="R204" s="135" t="s">
        <v>557</v>
      </c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35" t="s">
        <v>1358</v>
      </c>
      <c r="AD204" s="68" t="s">
        <v>231</v>
      </c>
      <c r="AE204" s="176"/>
      <c r="AF204" s="91" t="str">
        <f t="shared" si="6"/>
        <v>SP</v>
      </c>
      <c r="AG204" s="91" cm="1">
        <f t="array" ref="AG204">_xlfn.SWITCH(D204,"PTA12",2,"PTD1",2,"PTD0",3,"PTC16",1,"PTD5",1,"PTA5",2,"PTD6",2,"PTE8",2,(LEN(N204)+LEN(N204)-LEN(SUBSTITUTE(N204,"ADC",))-LEN(SUBSTITUTE(N204,"CMP",)))/3)</f>
        <v>0</v>
      </c>
      <c r="AH204" s="180" t="str">
        <f t="shared" si="7"/>
        <v>ILKG_33/50_SP0</v>
      </c>
    </row>
    <row r="205" spans="1:34" x14ac:dyDescent="0.3">
      <c r="A205" s="219"/>
      <c r="B205" s="159"/>
      <c r="C205" s="135" t="s">
        <v>1359</v>
      </c>
      <c r="D205" s="135" t="s">
        <v>1360</v>
      </c>
      <c r="E205" s="135" t="s">
        <v>1361</v>
      </c>
      <c r="F205" s="135" t="s">
        <v>1361</v>
      </c>
      <c r="G205" s="159"/>
      <c r="H205" s="135" t="s">
        <v>520</v>
      </c>
      <c r="I205" s="135" t="s">
        <v>584</v>
      </c>
      <c r="J205" s="159"/>
      <c r="K205" s="159"/>
      <c r="L205" s="159"/>
      <c r="M205" s="135" t="s">
        <v>1362</v>
      </c>
      <c r="N205" s="159"/>
      <c r="O205" s="159"/>
      <c r="P205" s="159"/>
      <c r="Q205" s="135" t="s">
        <v>520</v>
      </c>
      <c r="R205" s="135" t="s">
        <v>584</v>
      </c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35" t="s">
        <v>1363</v>
      </c>
      <c r="AD205" s="68" t="s">
        <v>231</v>
      </c>
      <c r="AE205" s="176"/>
      <c r="AF205" s="91" t="str">
        <f t="shared" si="6"/>
        <v>SP</v>
      </c>
      <c r="AG205" s="91" cm="1">
        <f t="array" ref="AG205">_xlfn.SWITCH(D205,"PTA12",2,"PTD1",2,"PTD0",3,"PTC16",1,"PTD5",1,"PTA5",2,"PTD6",2,"PTE8",2,(LEN(N205)+LEN(N205)-LEN(SUBSTITUTE(N205,"ADC",))-LEN(SUBSTITUTE(N205,"CMP",)))/3)</f>
        <v>0</v>
      </c>
      <c r="AH205" s="180" t="str">
        <f t="shared" si="7"/>
        <v>ILKG_33/50_SP0</v>
      </c>
    </row>
    <row r="206" spans="1:34" x14ac:dyDescent="0.3">
      <c r="A206" s="219"/>
      <c r="B206" s="159"/>
      <c r="C206" s="135" t="s">
        <v>1364</v>
      </c>
      <c r="D206" s="135" t="s">
        <v>1365</v>
      </c>
      <c r="E206" s="135" t="s">
        <v>1366</v>
      </c>
      <c r="F206" s="135" t="s">
        <v>1366</v>
      </c>
      <c r="G206" s="159"/>
      <c r="H206" s="135" t="s">
        <v>538</v>
      </c>
      <c r="I206" s="135" t="s">
        <v>609</v>
      </c>
      <c r="J206" s="159"/>
      <c r="K206" s="159"/>
      <c r="L206" s="159"/>
      <c r="M206" s="135" t="s">
        <v>1367</v>
      </c>
      <c r="N206" s="159"/>
      <c r="O206" s="159"/>
      <c r="P206" s="159"/>
      <c r="Q206" s="135" t="s">
        <v>538</v>
      </c>
      <c r="R206" s="135" t="s">
        <v>609</v>
      </c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35" t="s">
        <v>1368</v>
      </c>
      <c r="AD206" s="68" t="s">
        <v>231</v>
      </c>
      <c r="AE206" s="176"/>
      <c r="AF206" s="91" t="str">
        <f t="shared" si="6"/>
        <v>SP</v>
      </c>
      <c r="AG206" s="91" cm="1">
        <f t="array" ref="AG206">_xlfn.SWITCH(D206,"PTA12",2,"PTD1",2,"PTD0",3,"PTC16",1,"PTD5",1,"PTA5",2,"PTD6",2,"PTE8",2,(LEN(N206)+LEN(N206)-LEN(SUBSTITUTE(N206,"ADC",))-LEN(SUBSTITUTE(N206,"CMP",)))/3)</f>
        <v>0</v>
      </c>
      <c r="AH206" s="180" t="str">
        <f t="shared" si="7"/>
        <v>ILKG_33/50_SP0</v>
      </c>
    </row>
    <row r="207" spans="1:34" x14ac:dyDescent="0.3">
      <c r="A207" s="219"/>
      <c r="B207" s="159"/>
      <c r="C207" s="135" t="s">
        <v>1294</v>
      </c>
      <c r="D207" s="135" t="s">
        <v>1295</v>
      </c>
      <c r="E207" s="135" t="s">
        <v>1296</v>
      </c>
      <c r="F207" s="135" t="s">
        <v>1296</v>
      </c>
      <c r="G207" s="135" t="s">
        <v>364</v>
      </c>
      <c r="H207" s="159"/>
      <c r="I207" s="135" t="s">
        <v>519</v>
      </c>
      <c r="J207" s="159"/>
      <c r="K207" s="159"/>
      <c r="L207" s="159"/>
      <c r="M207" s="159"/>
      <c r="N207" s="159"/>
      <c r="O207" s="159"/>
      <c r="P207" s="135" t="s">
        <v>364</v>
      </c>
      <c r="Q207" s="159"/>
      <c r="R207" s="135" t="s">
        <v>519</v>
      </c>
      <c r="S207" s="159"/>
      <c r="T207" s="159"/>
      <c r="U207" s="159"/>
      <c r="V207" s="159"/>
      <c r="W207" s="135" t="s">
        <v>133</v>
      </c>
      <c r="X207" s="159"/>
      <c r="Y207" s="159"/>
      <c r="Z207" s="159"/>
      <c r="AA207" s="159"/>
      <c r="AB207" s="159"/>
      <c r="AC207" s="135" t="s">
        <v>1297</v>
      </c>
      <c r="AD207" s="68" t="s">
        <v>34</v>
      </c>
      <c r="AE207" s="176"/>
      <c r="AF207" s="91" t="str">
        <f t="shared" si="6"/>
        <v>S</v>
      </c>
      <c r="AG207" s="91" cm="1">
        <f t="array" ref="AG207">_xlfn.SWITCH(D207,"PTA12",2,"PTD1",2,"PTD0",3,"PTC16",1,"PTD5",1,"PTA5",2,"PTD6",2,"PTE8",2,(LEN(N207)+LEN(N207)-LEN(SUBSTITUTE(N207,"ADC",))-LEN(SUBSTITUTE(N207,"CMP",)))/3)</f>
        <v>0</v>
      </c>
      <c r="AH207" s="180" t="str">
        <f t="shared" si="7"/>
        <v>ILKG_33/50_S0</v>
      </c>
    </row>
    <row r="208" spans="1:34" x14ac:dyDescent="0.3">
      <c r="A208" s="219"/>
      <c r="B208" s="159"/>
      <c r="C208" s="135" t="s">
        <v>1369</v>
      </c>
      <c r="D208" s="135" t="s">
        <v>1370</v>
      </c>
      <c r="E208" s="135" t="s">
        <v>1371</v>
      </c>
      <c r="F208" s="135" t="s">
        <v>1371</v>
      </c>
      <c r="G208" s="159"/>
      <c r="H208" s="135" t="s">
        <v>549</v>
      </c>
      <c r="I208" s="135" t="s">
        <v>638</v>
      </c>
      <c r="J208" s="159"/>
      <c r="K208" s="159"/>
      <c r="L208" s="159"/>
      <c r="M208" s="135" t="s">
        <v>1372</v>
      </c>
      <c r="N208" s="159"/>
      <c r="O208" s="159"/>
      <c r="P208" s="159"/>
      <c r="Q208" s="135" t="s">
        <v>549</v>
      </c>
      <c r="R208" s="135" t="s">
        <v>638</v>
      </c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35" t="s">
        <v>1373</v>
      </c>
      <c r="AD208" s="68" t="s">
        <v>231</v>
      </c>
      <c r="AE208" s="176"/>
      <c r="AF208" s="91" t="str">
        <f t="shared" si="6"/>
        <v>SP</v>
      </c>
      <c r="AG208" s="91" cm="1">
        <f t="array" ref="AG208">_xlfn.SWITCH(D208,"PTA12",2,"PTD1",2,"PTD0",3,"PTC16",1,"PTD5",1,"PTA5",2,"PTD6",2,"PTE8",2,(LEN(N208)+LEN(N208)-LEN(SUBSTITUTE(N208,"ADC",))-LEN(SUBSTITUTE(N208,"CMP",)))/3)</f>
        <v>0</v>
      </c>
      <c r="AH208" s="180" t="str">
        <f t="shared" si="7"/>
        <v>ILKG_33/50_SP0</v>
      </c>
    </row>
    <row r="209" spans="1:34" x14ac:dyDescent="0.3">
      <c r="A209" s="219"/>
      <c r="B209" s="159"/>
      <c r="C209" s="135" t="s">
        <v>1374</v>
      </c>
      <c r="D209" s="135" t="s">
        <v>1375</v>
      </c>
      <c r="E209" s="135" t="s">
        <v>1376</v>
      </c>
      <c r="F209" s="135" t="s">
        <v>1376</v>
      </c>
      <c r="G209" s="159"/>
      <c r="H209" s="135" t="s">
        <v>566</v>
      </c>
      <c r="I209" s="135" t="s">
        <v>709</v>
      </c>
      <c r="J209" s="159"/>
      <c r="K209" s="159"/>
      <c r="L209" s="159"/>
      <c r="M209" s="135" t="s">
        <v>1377</v>
      </c>
      <c r="N209" s="159"/>
      <c r="O209" s="159"/>
      <c r="P209" s="159"/>
      <c r="Q209" s="135" t="s">
        <v>566</v>
      </c>
      <c r="R209" s="135" t="s">
        <v>709</v>
      </c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35" t="s">
        <v>1378</v>
      </c>
      <c r="AD209" s="68" t="s">
        <v>231</v>
      </c>
      <c r="AE209" s="176"/>
      <c r="AF209" s="91" t="str">
        <f t="shared" si="6"/>
        <v>SP</v>
      </c>
      <c r="AG209" s="91" cm="1">
        <f t="array" ref="AG209">_xlfn.SWITCH(D209,"PTA12",2,"PTD1",2,"PTD0",3,"PTC16",1,"PTD5",1,"PTA5",2,"PTD6",2,"PTE8",2,(LEN(N209)+LEN(N209)-LEN(SUBSTITUTE(N209,"ADC",))-LEN(SUBSTITUTE(N209,"CMP",)))/3)</f>
        <v>0</v>
      </c>
      <c r="AH209" s="180" t="str">
        <f t="shared" si="7"/>
        <v>ILKG_33/50_SP0</v>
      </c>
    </row>
    <row r="210" spans="1:34" x14ac:dyDescent="0.3">
      <c r="A210" s="219"/>
      <c r="B210" s="159"/>
      <c r="C210" s="135" t="s">
        <v>1379</v>
      </c>
      <c r="D210" s="135" t="s">
        <v>1380</v>
      </c>
      <c r="E210" s="135" t="s">
        <v>1381</v>
      </c>
      <c r="F210" s="135" t="s">
        <v>1381</v>
      </c>
      <c r="G210" s="159"/>
      <c r="H210" s="135" t="s">
        <v>572</v>
      </c>
      <c r="I210" s="135" t="s">
        <v>730</v>
      </c>
      <c r="J210" s="159"/>
      <c r="K210" s="159"/>
      <c r="L210" s="159"/>
      <c r="M210" s="135" t="s">
        <v>1382</v>
      </c>
      <c r="N210" s="159"/>
      <c r="O210" s="159"/>
      <c r="P210" s="159"/>
      <c r="Q210" s="135" t="s">
        <v>572</v>
      </c>
      <c r="R210" s="135" t="s">
        <v>730</v>
      </c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35" t="s">
        <v>1383</v>
      </c>
      <c r="AD210" s="68" t="s">
        <v>231</v>
      </c>
      <c r="AE210" s="176"/>
      <c r="AF210" s="91" t="str">
        <f t="shared" si="6"/>
        <v>SP</v>
      </c>
      <c r="AG210" s="91" cm="1">
        <f t="array" ref="AG210">_xlfn.SWITCH(D210,"PTA12",2,"PTD1",2,"PTD0",3,"PTC16",1,"PTD5",1,"PTA5",2,"PTD6",2,"PTE8",2,(LEN(N210)+LEN(N210)-LEN(SUBSTITUTE(N210,"ADC",))-LEN(SUBSTITUTE(N210,"CMP",)))/3)</f>
        <v>0</v>
      </c>
      <c r="AH210" s="180" t="str">
        <f t="shared" si="7"/>
        <v>ILKG_33/50_SP0</v>
      </c>
    </row>
    <row r="211" spans="1:34" x14ac:dyDescent="0.3">
      <c r="A211" s="219"/>
      <c r="B211" s="159"/>
      <c r="C211" s="135" t="s">
        <v>1384</v>
      </c>
      <c r="D211" s="135" t="s">
        <v>1385</v>
      </c>
      <c r="E211" s="135" t="s">
        <v>1386</v>
      </c>
      <c r="F211" s="135" t="s">
        <v>1386</v>
      </c>
      <c r="G211" s="159"/>
      <c r="H211" s="135" t="s">
        <v>592</v>
      </c>
      <c r="I211" s="135" t="s">
        <v>747</v>
      </c>
      <c r="J211" s="159"/>
      <c r="K211" s="159"/>
      <c r="L211" s="159"/>
      <c r="M211" s="135" t="s">
        <v>1387</v>
      </c>
      <c r="N211" s="159"/>
      <c r="O211" s="159"/>
      <c r="P211" s="159"/>
      <c r="Q211" s="135" t="s">
        <v>592</v>
      </c>
      <c r="R211" s="135" t="s">
        <v>747</v>
      </c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35" t="s">
        <v>1388</v>
      </c>
      <c r="AD211" s="68" t="s">
        <v>231</v>
      </c>
      <c r="AE211" s="176"/>
      <c r="AF211" s="91" t="str">
        <f t="shared" si="6"/>
        <v>SP</v>
      </c>
      <c r="AG211" s="91" cm="1">
        <f t="array" ref="AG211">_xlfn.SWITCH(D211,"PTA12",2,"PTD1",2,"PTD0",3,"PTC16",1,"PTD5",1,"PTA5",2,"PTD6",2,"PTE8",2,(LEN(N211)+LEN(N211)-LEN(SUBSTITUTE(N211,"ADC",))-LEN(SUBSTITUTE(N211,"CMP",)))/3)</f>
        <v>0</v>
      </c>
      <c r="AH211" s="180" t="str">
        <f t="shared" si="7"/>
        <v>ILKG_33/50_SP0</v>
      </c>
    </row>
    <row r="212" spans="1:34" x14ac:dyDescent="0.3">
      <c r="A212" s="219"/>
      <c r="B212" s="159"/>
      <c r="C212" s="135" t="s">
        <v>1389</v>
      </c>
      <c r="D212" s="135" t="s">
        <v>1390</v>
      </c>
      <c r="E212" s="135" t="s">
        <v>1391</v>
      </c>
      <c r="F212" s="135" t="s">
        <v>1391</v>
      </c>
      <c r="G212" s="159"/>
      <c r="H212" s="159"/>
      <c r="I212" s="135" t="s">
        <v>760</v>
      </c>
      <c r="J212" s="159"/>
      <c r="K212" s="159"/>
      <c r="L212" s="159"/>
      <c r="M212" s="135" t="s">
        <v>1392</v>
      </c>
      <c r="N212" s="159"/>
      <c r="O212" s="159"/>
      <c r="P212" s="159"/>
      <c r="Q212" s="159"/>
      <c r="R212" s="135" t="s">
        <v>760</v>
      </c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35" t="s">
        <v>1393</v>
      </c>
      <c r="AD212" s="68" t="s">
        <v>231</v>
      </c>
      <c r="AE212" s="176"/>
      <c r="AF212" s="91" t="str">
        <f t="shared" si="6"/>
        <v>SP</v>
      </c>
      <c r="AG212" s="91" cm="1">
        <f t="array" ref="AG212">_xlfn.SWITCH(D212,"PTA12",2,"PTD1",2,"PTD0",3,"PTC16",1,"PTD5",1,"PTA5",2,"PTD6",2,"PTE8",2,(LEN(N212)+LEN(N212)-LEN(SUBSTITUTE(N212,"ADC",))-LEN(SUBSTITUTE(N212,"CMP",)))/3)</f>
        <v>0</v>
      </c>
      <c r="AH212" s="180" t="str">
        <f t="shared" si="7"/>
        <v>ILKG_33/50_SP0</v>
      </c>
    </row>
    <row r="213" spans="1:34" x14ac:dyDescent="0.3">
      <c r="A213" s="219"/>
      <c r="B213" s="159"/>
      <c r="C213" s="135" t="s">
        <v>1394</v>
      </c>
      <c r="D213" s="135" t="s">
        <v>1395</v>
      </c>
      <c r="E213" s="135" t="s">
        <v>1396</v>
      </c>
      <c r="F213" s="135" t="s">
        <v>1396</v>
      </c>
      <c r="G213" s="159"/>
      <c r="H213" s="159"/>
      <c r="I213" s="135" t="s">
        <v>771</v>
      </c>
      <c r="J213" s="159"/>
      <c r="K213" s="159"/>
      <c r="L213" s="159"/>
      <c r="M213" s="135" t="s">
        <v>1397</v>
      </c>
      <c r="N213" s="159"/>
      <c r="O213" s="159"/>
      <c r="P213" s="159"/>
      <c r="Q213" s="159"/>
      <c r="R213" s="135" t="s">
        <v>771</v>
      </c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35" t="s">
        <v>1398</v>
      </c>
      <c r="AD213" s="68" t="s">
        <v>231</v>
      </c>
      <c r="AE213" s="176"/>
      <c r="AF213" s="91" t="str">
        <f t="shared" si="6"/>
        <v>SP</v>
      </c>
      <c r="AG213" s="91" cm="1">
        <f t="array" ref="AG213">_xlfn.SWITCH(D213,"PTA12",2,"PTD1",2,"PTD0",3,"PTC16",1,"PTD5",1,"PTA5",2,"PTD6",2,"PTE8",2,(LEN(N213)+LEN(N213)-LEN(SUBSTITUTE(N213,"ADC",))-LEN(SUBSTITUTE(N213,"CMP",)))/3)</f>
        <v>0</v>
      </c>
      <c r="AH213" s="180" t="str">
        <f t="shared" si="7"/>
        <v>ILKG_33/50_SP0</v>
      </c>
    </row>
    <row r="214" spans="1:34" x14ac:dyDescent="0.3">
      <c r="A214" s="219"/>
      <c r="B214" s="159"/>
      <c r="C214" s="135" t="s">
        <v>1399</v>
      </c>
      <c r="D214" s="135" t="s">
        <v>1400</v>
      </c>
      <c r="E214" s="135" t="s">
        <v>1401</v>
      </c>
      <c r="F214" s="135" t="s">
        <v>1401</v>
      </c>
      <c r="G214" s="159"/>
      <c r="H214" s="159"/>
      <c r="I214" s="135" t="s">
        <v>796</v>
      </c>
      <c r="J214" s="159"/>
      <c r="K214" s="159"/>
      <c r="L214" s="159"/>
      <c r="M214" s="135" t="s">
        <v>1402</v>
      </c>
      <c r="N214" s="159"/>
      <c r="O214" s="159"/>
      <c r="P214" s="159"/>
      <c r="Q214" s="159"/>
      <c r="R214" s="135" t="s">
        <v>796</v>
      </c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35" t="s">
        <v>1403</v>
      </c>
      <c r="AD214" s="68" t="s">
        <v>231</v>
      </c>
      <c r="AE214" s="176"/>
      <c r="AF214" s="91" t="str">
        <f t="shared" si="6"/>
        <v>SP</v>
      </c>
      <c r="AG214" s="91" cm="1">
        <f t="array" ref="AG214">_xlfn.SWITCH(D214,"PTA12",2,"PTD1",2,"PTD0",3,"PTC16",1,"PTD5",1,"PTA5",2,"PTD6",2,"PTE8",2,(LEN(N214)+LEN(N214)-LEN(SUBSTITUTE(N214,"ADC",))-LEN(SUBSTITUTE(N214,"CMP",)))/3)</f>
        <v>0</v>
      </c>
      <c r="AH214" s="180" t="str">
        <f t="shared" si="7"/>
        <v>ILKG_33/50_SP0</v>
      </c>
    </row>
    <row r="215" spans="1:34" x14ac:dyDescent="0.3">
      <c r="A215" s="219"/>
      <c r="B215" s="159"/>
      <c r="C215" s="135" t="s">
        <v>1404</v>
      </c>
      <c r="D215" s="135" t="s">
        <v>1405</v>
      </c>
      <c r="E215" s="135" t="s">
        <v>1406</v>
      </c>
      <c r="F215" s="135" t="s">
        <v>1406</v>
      </c>
      <c r="G215" s="159"/>
      <c r="H215" s="159"/>
      <c r="I215" s="135" t="s">
        <v>819</v>
      </c>
      <c r="J215" s="159"/>
      <c r="K215" s="159"/>
      <c r="L215" s="159"/>
      <c r="M215" s="135" t="s">
        <v>1407</v>
      </c>
      <c r="N215" s="159"/>
      <c r="O215" s="159"/>
      <c r="P215" s="159"/>
      <c r="Q215" s="159"/>
      <c r="R215" s="135" t="s">
        <v>819</v>
      </c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35" t="s">
        <v>1408</v>
      </c>
      <c r="AD215" s="68" t="s">
        <v>231</v>
      </c>
      <c r="AE215" s="176"/>
      <c r="AF215" s="91" t="str">
        <f t="shared" si="6"/>
        <v>SP</v>
      </c>
      <c r="AG215" s="91" cm="1">
        <f t="array" ref="AG215">_xlfn.SWITCH(D215,"PTA12",2,"PTD1",2,"PTD0",3,"PTC16",1,"PTD5",1,"PTA5",2,"PTD6",2,"PTE8",2,(LEN(N215)+LEN(N215)-LEN(SUBSTITUTE(N215,"ADC",))-LEN(SUBSTITUTE(N215,"CMP",)))/3)</f>
        <v>0</v>
      </c>
      <c r="AH215" s="180" t="str">
        <f t="shared" si="7"/>
        <v>ILKG_33/50_SP0</v>
      </c>
    </row>
    <row r="216" spans="1:34" x14ac:dyDescent="0.3">
      <c r="A216" s="219"/>
      <c r="B216" s="159"/>
      <c r="C216" s="135" t="s">
        <v>1298</v>
      </c>
      <c r="D216" s="135" t="s">
        <v>1299</v>
      </c>
      <c r="E216" s="135" t="s">
        <v>1300</v>
      </c>
      <c r="F216" s="135" t="s">
        <v>1300</v>
      </c>
      <c r="G216" s="159"/>
      <c r="H216" s="159"/>
      <c r="I216" s="135" t="s">
        <v>537</v>
      </c>
      <c r="J216" s="159"/>
      <c r="K216" s="159"/>
      <c r="L216" s="159"/>
      <c r="M216" s="159"/>
      <c r="N216" s="159"/>
      <c r="O216" s="159"/>
      <c r="P216" s="159"/>
      <c r="Q216" s="159"/>
      <c r="R216" s="135" t="s">
        <v>537</v>
      </c>
      <c r="S216" s="159"/>
      <c r="T216" s="159"/>
      <c r="U216" s="159"/>
      <c r="V216" s="159"/>
      <c r="W216" s="135" t="s">
        <v>247</v>
      </c>
      <c r="X216" s="135" t="s">
        <v>375</v>
      </c>
      <c r="Y216" s="159"/>
      <c r="Z216" s="159"/>
      <c r="AA216" s="159"/>
      <c r="AB216" s="159"/>
      <c r="AC216" s="135" t="s">
        <v>1301</v>
      </c>
      <c r="AD216" s="68" t="s">
        <v>34</v>
      </c>
      <c r="AE216" s="176"/>
      <c r="AF216" s="91" t="str">
        <f t="shared" si="6"/>
        <v>S</v>
      </c>
      <c r="AG216" s="91" cm="1">
        <f t="array" ref="AG216">_xlfn.SWITCH(D216,"PTA12",2,"PTD1",2,"PTD0",3,"PTC16",1,"PTD5",1,"PTA5",2,"PTD6",2,"PTE8",2,(LEN(N216)+LEN(N216)-LEN(SUBSTITUTE(N216,"ADC",))-LEN(SUBSTITUTE(N216,"CMP",)))/3)</f>
        <v>0</v>
      </c>
      <c r="AH216" s="180" t="str">
        <f t="shared" si="7"/>
        <v>ILKG_33/50_S0</v>
      </c>
    </row>
    <row r="217" spans="1:34" x14ac:dyDescent="0.3">
      <c r="A217" s="219"/>
      <c r="B217" s="159"/>
      <c r="C217" s="135" t="s">
        <v>1302</v>
      </c>
      <c r="D217" s="135" t="s">
        <v>1303</v>
      </c>
      <c r="E217" s="135" t="s">
        <v>1304</v>
      </c>
      <c r="F217" s="135" t="s">
        <v>1304</v>
      </c>
      <c r="G217" s="135" t="s">
        <v>564</v>
      </c>
      <c r="H217" s="159"/>
      <c r="I217" s="135" t="s">
        <v>548</v>
      </c>
      <c r="J217" s="135" t="s">
        <v>1109</v>
      </c>
      <c r="K217" s="159"/>
      <c r="L217" s="159"/>
      <c r="M217" s="159"/>
      <c r="N217" s="159"/>
      <c r="O217" s="159"/>
      <c r="P217" s="135" t="s">
        <v>564</v>
      </c>
      <c r="Q217" s="159"/>
      <c r="R217" s="135" t="s">
        <v>548</v>
      </c>
      <c r="S217" s="159"/>
      <c r="T217" s="159"/>
      <c r="U217" s="159"/>
      <c r="V217" s="159"/>
      <c r="W217" s="135" t="s">
        <v>152</v>
      </c>
      <c r="X217" s="159"/>
      <c r="Y217" s="159"/>
      <c r="Z217" s="159"/>
      <c r="AA217" s="159"/>
      <c r="AB217" s="159"/>
      <c r="AC217" s="135" t="s">
        <v>1305</v>
      </c>
      <c r="AD217" s="68" t="s">
        <v>34</v>
      </c>
      <c r="AE217" s="176"/>
      <c r="AF217" s="91" t="str">
        <f t="shared" si="6"/>
        <v>S</v>
      </c>
      <c r="AG217" s="91" cm="1">
        <f t="array" ref="AG217">_xlfn.SWITCH(D217,"PTA12",2,"PTD1",2,"PTD0",3,"PTC16",1,"PTD5",1,"PTA5",2,"PTD6",2,"PTE8",2,(LEN(N217)+LEN(N217)-LEN(SUBSTITUTE(N217,"ADC",))-LEN(SUBSTITUTE(N217,"CMP",)))/3)</f>
        <v>0</v>
      </c>
      <c r="AH217" s="180" t="str">
        <f t="shared" si="7"/>
        <v>ILKG_33/50_S0</v>
      </c>
    </row>
    <row r="218" spans="1:34" x14ac:dyDescent="0.3">
      <c r="A218" s="219"/>
      <c r="B218" s="159"/>
      <c r="C218" s="135" t="s">
        <v>1306</v>
      </c>
      <c r="D218" s="135" t="s">
        <v>1307</v>
      </c>
      <c r="E218" s="135" t="s">
        <v>1308</v>
      </c>
      <c r="F218" s="135" t="s">
        <v>1308</v>
      </c>
      <c r="G218" s="159"/>
      <c r="H218" s="159"/>
      <c r="I218" s="135" t="s">
        <v>565</v>
      </c>
      <c r="J218" s="135" t="s">
        <v>1084</v>
      </c>
      <c r="K218" s="159"/>
      <c r="L218" s="159"/>
      <c r="M218" s="159"/>
      <c r="N218" s="159"/>
      <c r="O218" s="159"/>
      <c r="P218" s="159"/>
      <c r="Q218" s="159"/>
      <c r="R218" s="135" t="s">
        <v>565</v>
      </c>
      <c r="S218" s="159"/>
      <c r="T218" s="159"/>
      <c r="U218" s="159"/>
      <c r="V218" s="159"/>
      <c r="W218" s="135" t="s">
        <v>220</v>
      </c>
      <c r="X218" s="135" t="s">
        <v>574</v>
      </c>
      <c r="Y218" s="159"/>
      <c r="Z218" s="159"/>
      <c r="AA218" s="159"/>
      <c r="AB218" s="159"/>
      <c r="AC218" s="135" t="s">
        <v>1309</v>
      </c>
      <c r="AD218" s="68" t="s">
        <v>34</v>
      </c>
      <c r="AE218" s="176"/>
      <c r="AF218" s="91" t="str">
        <f t="shared" si="6"/>
        <v>S</v>
      </c>
      <c r="AG218" s="91" cm="1">
        <f t="array" ref="AG218">_xlfn.SWITCH(D218,"PTA12",2,"PTD1",2,"PTD0",3,"PTC16",1,"PTD5",1,"PTA5",2,"PTD6",2,"PTE8",2,(LEN(N218)+LEN(N218)-LEN(SUBSTITUTE(N218,"ADC",))-LEN(SUBSTITUTE(N218,"CMP",)))/3)</f>
        <v>0</v>
      </c>
      <c r="AH218" s="180" t="str">
        <f t="shared" si="7"/>
        <v>ILKG_33/50_S0</v>
      </c>
    </row>
    <row r="219" spans="1:34" x14ac:dyDescent="0.3">
      <c r="A219" s="219"/>
      <c r="B219" s="159"/>
      <c r="C219" s="135" t="s">
        <v>1310</v>
      </c>
      <c r="D219" s="135" t="s">
        <v>1311</v>
      </c>
      <c r="E219" s="135" t="s">
        <v>1312</v>
      </c>
      <c r="F219" s="135" t="s">
        <v>1312</v>
      </c>
      <c r="G219" s="159"/>
      <c r="H219" s="135" t="s">
        <v>301</v>
      </c>
      <c r="I219" s="135" t="s">
        <v>571</v>
      </c>
      <c r="J219" s="159"/>
      <c r="K219" s="159"/>
      <c r="L219" s="159"/>
      <c r="M219" s="135" t="s">
        <v>413</v>
      </c>
      <c r="N219" s="159"/>
      <c r="O219" s="159"/>
      <c r="P219" s="159"/>
      <c r="Q219" s="135" t="s">
        <v>301</v>
      </c>
      <c r="R219" s="135" t="s">
        <v>571</v>
      </c>
      <c r="S219" s="159"/>
      <c r="T219" s="159"/>
      <c r="U219" s="159"/>
      <c r="V219" s="159"/>
      <c r="W219" s="135" t="s">
        <v>82</v>
      </c>
      <c r="X219" s="159"/>
      <c r="Y219" s="159"/>
      <c r="Z219" s="159"/>
      <c r="AA219" s="159"/>
      <c r="AB219" s="159"/>
      <c r="AC219" s="135" t="s">
        <v>1313</v>
      </c>
      <c r="AD219" s="68" t="s">
        <v>231</v>
      </c>
      <c r="AE219" s="176"/>
      <c r="AF219" s="91" t="str">
        <f t="shared" si="6"/>
        <v>SP</v>
      </c>
      <c r="AG219" s="91" cm="1">
        <f t="array" ref="AG219">_xlfn.SWITCH(D219,"PTA12",2,"PTD1",2,"PTD0",3,"PTC16",1,"PTD5",1,"PTA5",2,"PTD6",2,"PTE8",2,(LEN(N219)+LEN(N219)-LEN(SUBSTITUTE(N219,"ADC",))-LEN(SUBSTITUTE(N219,"CMP",)))/3)</f>
        <v>0</v>
      </c>
      <c r="AH219" s="180" t="str">
        <f t="shared" si="7"/>
        <v>ILKG_33/50_SP0</v>
      </c>
    </row>
    <row r="220" spans="1:34" x14ac:dyDescent="0.3">
      <c r="A220" s="219"/>
      <c r="B220" s="159"/>
      <c r="C220" s="135" t="s">
        <v>1314</v>
      </c>
      <c r="D220" s="135" t="s">
        <v>1315</v>
      </c>
      <c r="E220" s="135" t="s">
        <v>1316</v>
      </c>
      <c r="F220" s="135" t="s">
        <v>1316</v>
      </c>
      <c r="G220" s="159"/>
      <c r="H220" s="135" t="s">
        <v>315</v>
      </c>
      <c r="I220" s="135" t="s">
        <v>591</v>
      </c>
      <c r="J220" s="159"/>
      <c r="K220" s="159"/>
      <c r="L220" s="159"/>
      <c r="M220" s="135" t="s">
        <v>423</v>
      </c>
      <c r="N220" s="159"/>
      <c r="O220" s="159"/>
      <c r="P220" s="159"/>
      <c r="Q220" s="135" t="s">
        <v>315</v>
      </c>
      <c r="R220" s="135" t="s">
        <v>591</v>
      </c>
      <c r="S220" s="159"/>
      <c r="T220" s="159"/>
      <c r="U220" s="159"/>
      <c r="V220" s="159"/>
      <c r="W220" s="135" t="s">
        <v>68</v>
      </c>
      <c r="X220" s="159"/>
      <c r="Y220" s="159"/>
      <c r="Z220" s="159"/>
      <c r="AA220" s="159"/>
      <c r="AB220" s="159"/>
      <c r="AC220" s="135" t="s">
        <v>1317</v>
      </c>
      <c r="AD220" s="68" t="s">
        <v>231</v>
      </c>
      <c r="AE220" s="176"/>
      <c r="AF220" s="91" t="str">
        <f t="shared" si="6"/>
        <v>SP</v>
      </c>
      <c r="AG220" s="91" cm="1">
        <f t="array" ref="AG220">_xlfn.SWITCH(D220,"PTA12",2,"PTD1",2,"PTD0",3,"PTC16",1,"PTD5",1,"PTA5",2,"PTD6",2,"PTE8",2,(LEN(N220)+LEN(N220)-LEN(SUBSTITUTE(N220,"ADC",))-LEN(SUBSTITUTE(N220,"CMP",)))/3)</f>
        <v>0</v>
      </c>
      <c r="AH220" s="180" t="str">
        <f t="shared" si="7"/>
        <v>ILKG_33/50_SP0</v>
      </c>
    </row>
    <row r="221" spans="1:34" x14ac:dyDescent="0.3">
      <c r="A221" s="219"/>
      <c r="B221" s="159"/>
      <c r="C221" s="135" t="s">
        <v>1318</v>
      </c>
      <c r="D221" s="135" t="s">
        <v>1319</v>
      </c>
      <c r="E221" s="135" t="s">
        <v>1320</v>
      </c>
      <c r="F221" s="135" t="s">
        <v>1320</v>
      </c>
      <c r="G221" s="135" t="s">
        <v>225</v>
      </c>
      <c r="H221" s="135" t="s">
        <v>383</v>
      </c>
      <c r="I221" s="159"/>
      <c r="J221" s="159"/>
      <c r="K221" s="159"/>
      <c r="L221" s="159"/>
      <c r="M221" s="159"/>
      <c r="N221" s="159"/>
      <c r="O221" s="159"/>
      <c r="P221" s="159"/>
      <c r="Q221" s="135" t="s">
        <v>383</v>
      </c>
      <c r="R221" s="159"/>
      <c r="S221" s="159"/>
      <c r="T221" s="159"/>
      <c r="U221" s="159"/>
      <c r="V221" s="159"/>
      <c r="W221" s="135" t="s">
        <v>267</v>
      </c>
      <c r="X221" s="159"/>
      <c r="Y221" s="159"/>
      <c r="Z221" s="159"/>
      <c r="AA221" s="159"/>
      <c r="AB221" s="159"/>
      <c r="AC221" s="135" t="s">
        <v>1321</v>
      </c>
      <c r="AD221" s="68" t="s">
        <v>231</v>
      </c>
      <c r="AE221" s="176"/>
      <c r="AF221" s="91" t="str">
        <f t="shared" si="6"/>
        <v>SP</v>
      </c>
      <c r="AG221" s="91" cm="1">
        <f t="array" ref="AG221">_xlfn.SWITCH(D221,"PTA12",2,"PTD1",2,"PTD0",3,"PTC16",1,"PTD5",1,"PTA5",2,"PTD6",2,"PTE8",2,(LEN(N221)+LEN(N221)-LEN(SUBSTITUTE(N221,"ADC",))-LEN(SUBSTITUTE(N221,"CMP",)))/3)</f>
        <v>0</v>
      </c>
      <c r="AH221" s="180" t="str">
        <f t="shared" si="7"/>
        <v>ILKG_33/50_SP0</v>
      </c>
    </row>
    <row r="222" spans="1:34" x14ac:dyDescent="0.3">
      <c r="A222" s="219"/>
      <c r="B222" s="159"/>
      <c r="C222" s="135" t="s">
        <v>1322</v>
      </c>
      <c r="D222" s="135" t="s">
        <v>1323</v>
      </c>
      <c r="E222" s="135" t="s">
        <v>1324</v>
      </c>
      <c r="F222" s="135" t="s">
        <v>1324</v>
      </c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35" t="s">
        <v>219</v>
      </c>
      <c r="X222" s="135" t="s">
        <v>488</v>
      </c>
      <c r="Y222" s="159"/>
      <c r="Z222" s="159"/>
      <c r="AA222" s="159"/>
      <c r="AB222" s="159"/>
      <c r="AC222" s="135" t="s">
        <v>1325</v>
      </c>
      <c r="AD222" s="68" t="s">
        <v>34</v>
      </c>
      <c r="AE222" s="176"/>
      <c r="AF222" s="91" t="str">
        <f t="shared" si="6"/>
        <v>S</v>
      </c>
      <c r="AG222" s="91" cm="1">
        <f t="array" ref="AG222">_xlfn.SWITCH(D222,"PTA12",2,"PTD1",2,"PTD0",3,"PTC16",1,"PTD5",1,"PTA5",2,"PTD6",2,"PTE8",2,(LEN(N222)+LEN(N222)-LEN(SUBSTITUTE(N222,"ADC",))-LEN(SUBSTITUTE(N222,"CMP",)))/3)</f>
        <v>0</v>
      </c>
      <c r="AH222" s="180" t="str">
        <f t="shared" si="7"/>
        <v>ILKG_33/50_S0</v>
      </c>
    </row>
    <row r="223" spans="1:34" x14ac:dyDescent="0.3">
      <c r="A223" s="219"/>
      <c r="B223" s="159"/>
      <c r="C223" s="159"/>
      <c r="D223" s="135" t="s">
        <v>1449</v>
      </c>
      <c r="E223" s="135" t="s">
        <v>1449</v>
      </c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91"/>
      <c r="AE223" s="214"/>
      <c r="AF223" s="91" t="str">
        <f>IF(ISNUMBER(SEARCH("plus",AD223)),"SP",IF(ISNUMBER(SEARCH("standard",AD223)),"S",IF(ISNUMBER(SEARCH("medium",AD223)),"M",IF(ISNUMBER(SEARCH("fast",AD223)),"F",IF(ISNUMBER(SEARCH("input",AD223)),"I","")))))</f>
        <v/>
      </c>
      <c r="AG223" s="91"/>
      <c r="AH223" s="91"/>
    </row>
    <row r="224" spans="1:34" x14ac:dyDescent="0.3">
      <c r="A224" s="219"/>
      <c r="B224" s="159"/>
      <c r="C224" s="159"/>
      <c r="D224" s="135" t="s">
        <v>1445</v>
      </c>
      <c r="E224" s="135" t="s">
        <v>1445</v>
      </c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68" t="s">
        <v>34</v>
      </c>
      <c r="AE224" s="176"/>
      <c r="AF224" s="91" t="str">
        <f t="shared" ref="AF224:AF267" si="8">IF(ISNUMBER(SEARCH("plus",AD224)),"SP",IF(ISNUMBER(SEARCH("standard",AD224)),"S",IF(ISNUMBER(SEARCH("medium",AD224)),"M",IF(ISNUMBER(SEARCH("fast",AD224)),"F",IF(ISNUMBER(SEARCH("input",AD224)),"I",IF(ISNUMBER(SEARCH("rst",AD224)),"SP"))))))</f>
        <v>S</v>
      </c>
      <c r="AG224" s="91" cm="1">
        <f t="array" ref="AG224">_xlfn.SWITCH(D224,"PTA12",2,"PTD1",2,"PTD0",3,"PTC16",1,"PTD5",1,"PTA5",2,"PTD6",2,"PTE8",2,(LEN(N224)+LEN(N224)-LEN(SUBSTITUTE(N224,"ADC",))-LEN(SUBSTITUTE(N224,"CMP",)))/3)</f>
        <v>0</v>
      </c>
      <c r="AH224" s="180" t="str">
        <f t="shared" ref="AH224:AH267" si="9">IF(ISTEXT(AF224),_xlfn.CONCAT("ILKG_33/50_",AF224,AG224),"")</f>
        <v>ILKG_33/50_S0</v>
      </c>
    </row>
    <row r="225" spans="1:34" x14ac:dyDescent="0.3">
      <c r="A225" s="218">
        <v>13</v>
      </c>
      <c r="B225" s="135">
        <v>21</v>
      </c>
      <c r="C225" s="135" t="s">
        <v>203</v>
      </c>
      <c r="D225" s="135" t="s">
        <v>204</v>
      </c>
      <c r="E225" s="135" t="s">
        <v>204</v>
      </c>
      <c r="F225" s="159"/>
      <c r="G225" s="159"/>
      <c r="H225" s="159"/>
      <c r="I225" s="159"/>
      <c r="J225" s="159"/>
      <c r="K225" s="159"/>
      <c r="L225" s="159"/>
      <c r="M225" s="159"/>
      <c r="N225" s="135" t="s">
        <v>204</v>
      </c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35" t="s">
        <v>204</v>
      </c>
      <c r="AD225" s="68" t="s">
        <v>199</v>
      </c>
      <c r="AE225" s="176"/>
      <c r="AF225" s="91" t="b">
        <f t="shared" si="8"/>
        <v>0</v>
      </c>
      <c r="AG225" s="91" cm="1">
        <f t="array" ref="AG225">_xlfn.SWITCH(D225,"PTA12",2,"PTD1",2,"PTD0",3,"PTC16",1,"PTD5",1,"PTA5",2,"PTD6",2,"PTE8",2,(LEN(N225)+LEN(N225)-LEN(SUBSTITUTE(N225,"ADC",))-LEN(SUBSTITUTE(N225,"CMP",)))/3)</f>
        <v>0</v>
      </c>
      <c r="AH225" s="180" t="str">
        <f t="shared" si="9"/>
        <v/>
      </c>
    </row>
    <row r="226" spans="1:34" x14ac:dyDescent="0.3">
      <c r="A226" s="220"/>
      <c r="B226" s="135">
        <v>59</v>
      </c>
      <c r="C226" s="135" t="s">
        <v>467</v>
      </c>
      <c r="D226" s="135" t="s">
        <v>204</v>
      </c>
      <c r="E226" s="135" t="s">
        <v>204</v>
      </c>
      <c r="F226" s="159"/>
      <c r="G226" s="159"/>
      <c r="H226" s="159"/>
      <c r="I226" s="159"/>
      <c r="J226" s="159"/>
      <c r="K226" s="159"/>
      <c r="L226" s="159"/>
      <c r="M226" s="159"/>
      <c r="N226" s="135" t="s">
        <v>204</v>
      </c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35" t="s">
        <v>204</v>
      </c>
      <c r="AD226" s="68" t="s">
        <v>199</v>
      </c>
      <c r="AE226" s="176"/>
      <c r="AF226" s="91" t="b">
        <f t="shared" si="8"/>
        <v>0</v>
      </c>
      <c r="AG226" s="91" cm="1">
        <f t="array" ref="AG226">_xlfn.SWITCH(D226,"PTA12",2,"PTD1",2,"PTD0",3,"PTC16",1,"PTD5",1,"PTA5",2,"PTD6",2,"PTE8",2,(LEN(N226)+LEN(N226)-LEN(SUBSTITUTE(N226,"ADC",))-LEN(SUBSTITUTE(N226,"CMP",)))/3)</f>
        <v>0</v>
      </c>
      <c r="AH226" s="180" t="str">
        <f t="shared" si="9"/>
        <v/>
      </c>
    </row>
    <row r="227" spans="1:34" x14ac:dyDescent="0.3">
      <c r="A227" s="218">
        <v>60</v>
      </c>
      <c r="B227" s="135">
        <v>106</v>
      </c>
      <c r="C227" s="135" t="s">
        <v>780</v>
      </c>
      <c r="D227" s="135" t="s">
        <v>204</v>
      </c>
      <c r="E227" s="135" t="s">
        <v>204</v>
      </c>
      <c r="F227" s="159"/>
      <c r="G227" s="159"/>
      <c r="H227" s="159"/>
      <c r="I227" s="159"/>
      <c r="J227" s="159"/>
      <c r="K227" s="159"/>
      <c r="L227" s="159"/>
      <c r="M227" s="159"/>
      <c r="N227" s="135" t="s">
        <v>204</v>
      </c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35" t="s">
        <v>204</v>
      </c>
      <c r="AD227" s="68" t="s">
        <v>199</v>
      </c>
      <c r="AE227" s="176"/>
      <c r="AF227" s="91" t="b">
        <f t="shared" si="8"/>
        <v>0</v>
      </c>
      <c r="AG227" s="91" cm="1">
        <f t="array" ref="AG227">_xlfn.SWITCH(D227,"PTA12",2,"PTD1",2,"PTD0",3,"PTC16",1,"PTD5",1,"PTA5",2,"PTD6",2,"PTE8",2,(LEN(N227)+LEN(N227)-LEN(SUBSTITUTE(N227,"ADC",))-LEN(SUBSTITUTE(N227,"CMP",)))/3)</f>
        <v>0</v>
      </c>
      <c r="AH227" s="180" t="str">
        <f t="shared" si="9"/>
        <v/>
      </c>
    </row>
    <row r="228" spans="1:34" x14ac:dyDescent="0.3">
      <c r="A228" s="219"/>
      <c r="B228" s="135">
        <v>149</v>
      </c>
      <c r="C228" s="135" t="s">
        <v>1009</v>
      </c>
      <c r="D228" s="135" t="s">
        <v>204</v>
      </c>
      <c r="E228" s="135" t="s">
        <v>204</v>
      </c>
      <c r="F228" s="159"/>
      <c r="G228" s="159"/>
      <c r="H228" s="159"/>
      <c r="I228" s="159"/>
      <c r="J228" s="159"/>
      <c r="K228" s="159"/>
      <c r="L228" s="159"/>
      <c r="M228" s="159"/>
      <c r="N228" s="135" t="s">
        <v>204</v>
      </c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35" t="s">
        <v>204</v>
      </c>
      <c r="AD228" s="68" t="s">
        <v>199</v>
      </c>
      <c r="AE228" s="176"/>
      <c r="AF228" s="91" t="b">
        <f t="shared" si="8"/>
        <v>0</v>
      </c>
      <c r="AG228" s="91" cm="1">
        <f t="array" ref="AG228">_xlfn.SWITCH(D228,"PTA12",2,"PTD1",2,"PTD0",3,"PTC16",1,"PTD5",1,"PTA5",2,"PTD6",2,"PTE8",2,(LEN(N228)+LEN(N228)-LEN(SUBSTITUTE(N228,"ADC",))-LEN(SUBSTITUTE(N228,"CMP",)))/3)</f>
        <v>0</v>
      </c>
      <c r="AH228" s="180" t="str">
        <f t="shared" si="9"/>
        <v/>
      </c>
    </row>
    <row r="229" spans="1:34" x14ac:dyDescent="0.3">
      <c r="A229" s="218">
        <v>12</v>
      </c>
      <c r="B229" s="135">
        <v>20</v>
      </c>
      <c r="C229" s="135" t="s">
        <v>200</v>
      </c>
      <c r="D229" s="135" t="s">
        <v>201</v>
      </c>
      <c r="E229" s="135" t="s">
        <v>201</v>
      </c>
      <c r="F229" s="159"/>
      <c r="G229" s="159"/>
      <c r="H229" s="159"/>
      <c r="I229" s="159"/>
      <c r="J229" s="159"/>
      <c r="K229" s="159"/>
      <c r="L229" s="159"/>
      <c r="M229" s="159"/>
      <c r="N229" s="135" t="s">
        <v>201</v>
      </c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35" t="s">
        <v>201</v>
      </c>
      <c r="AD229" s="68" t="s">
        <v>202</v>
      </c>
      <c r="AE229" s="176"/>
      <c r="AF229" s="91" t="b">
        <f t="shared" si="8"/>
        <v>0</v>
      </c>
      <c r="AG229" s="91" cm="1">
        <f t="array" ref="AG229">_xlfn.SWITCH(D229,"PTA12",2,"PTD1",2,"PTD0",3,"PTC16",1,"PTD5",1,"PTA5",2,"PTD6",2,"PTE8",2,(LEN(N229)+LEN(N229)-LEN(SUBSTITUTE(N229,"ADC",))-LEN(SUBSTITUTE(N229,"CMP",)))/3)</f>
        <v>0</v>
      </c>
      <c r="AH229" s="180" t="str">
        <f t="shared" si="9"/>
        <v/>
      </c>
    </row>
    <row r="230" spans="1:34" x14ac:dyDescent="0.3">
      <c r="A230" s="220"/>
      <c r="B230" s="135">
        <v>60</v>
      </c>
      <c r="C230" s="135" t="s">
        <v>468</v>
      </c>
      <c r="D230" s="135" t="s">
        <v>201</v>
      </c>
      <c r="E230" s="135" t="s">
        <v>201</v>
      </c>
      <c r="F230" s="159"/>
      <c r="G230" s="159"/>
      <c r="H230" s="159"/>
      <c r="I230" s="159"/>
      <c r="J230" s="159"/>
      <c r="K230" s="159"/>
      <c r="L230" s="159"/>
      <c r="M230" s="159"/>
      <c r="N230" s="135" t="s">
        <v>201</v>
      </c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35" t="s">
        <v>201</v>
      </c>
      <c r="AD230" s="68" t="s">
        <v>202</v>
      </c>
      <c r="AE230" s="176"/>
      <c r="AF230" s="91" t="b">
        <f t="shared" si="8"/>
        <v>0</v>
      </c>
      <c r="AG230" s="91" cm="1">
        <f t="array" ref="AG230">_xlfn.SWITCH(D230,"PTA12",2,"PTD1",2,"PTD0",3,"PTC16",1,"PTD5",1,"PTA5",2,"PTD6",2,"PTE8",2,(LEN(N230)+LEN(N230)-LEN(SUBSTITUTE(N230,"ADC",))-LEN(SUBSTITUTE(N230,"CMP",)))/3)</f>
        <v>0</v>
      </c>
      <c r="AH230" s="180" t="str">
        <f t="shared" si="9"/>
        <v/>
      </c>
    </row>
    <row r="231" spans="1:34" x14ac:dyDescent="0.3">
      <c r="A231" s="218">
        <v>59</v>
      </c>
      <c r="B231" s="135">
        <v>105</v>
      </c>
      <c r="C231" s="135" t="s">
        <v>779</v>
      </c>
      <c r="D231" s="135" t="s">
        <v>201</v>
      </c>
      <c r="E231" s="135" t="s">
        <v>201</v>
      </c>
      <c r="F231" s="159"/>
      <c r="G231" s="159"/>
      <c r="H231" s="159"/>
      <c r="I231" s="159"/>
      <c r="J231" s="159"/>
      <c r="K231" s="159"/>
      <c r="L231" s="159"/>
      <c r="M231" s="159"/>
      <c r="N231" s="135" t="s">
        <v>201</v>
      </c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35" t="s">
        <v>201</v>
      </c>
      <c r="AD231" s="68" t="s">
        <v>202</v>
      </c>
      <c r="AE231" s="176"/>
      <c r="AF231" s="91" t="b">
        <f t="shared" si="8"/>
        <v>0</v>
      </c>
      <c r="AG231" s="91" cm="1">
        <f t="array" ref="AG231">_xlfn.SWITCH(D231,"PTA12",2,"PTD1",2,"PTD0",3,"PTC16",1,"PTD5",1,"PTA5",2,"PTD6",2,"PTE8",2,(LEN(N231)+LEN(N231)-LEN(SUBSTITUTE(N231,"ADC",))-LEN(SUBSTITUTE(N231,"CMP",)))/3)</f>
        <v>0</v>
      </c>
      <c r="AH231" s="180" t="str">
        <f t="shared" si="9"/>
        <v/>
      </c>
    </row>
    <row r="232" spans="1:34" x14ac:dyDescent="0.3">
      <c r="A232" s="219"/>
      <c r="B232" s="135">
        <v>148</v>
      </c>
      <c r="C232" s="135" t="s">
        <v>1008</v>
      </c>
      <c r="D232" s="135" t="s">
        <v>201</v>
      </c>
      <c r="E232" s="135" t="s">
        <v>201</v>
      </c>
      <c r="F232" s="159"/>
      <c r="G232" s="159"/>
      <c r="H232" s="159"/>
      <c r="I232" s="159"/>
      <c r="J232" s="159"/>
      <c r="K232" s="159"/>
      <c r="L232" s="159"/>
      <c r="M232" s="159"/>
      <c r="N232" s="135" t="s">
        <v>201</v>
      </c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35" t="s">
        <v>201</v>
      </c>
      <c r="AD232" s="68" t="s">
        <v>202</v>
      </c>
      <c r="AE232" s="176"/>
      <c r="AF232" s="91" t="b">
        <f t="shared" si="8"/>
        <v>0</v>
      </c>
      <c r="AG232" s="91" cm="1">
        <f t="array" ref="AG232">_xlfn.SWITCH(D232,"PTA12",2,"PTD1",2,"PTD0",3,"PTC16",1,"PTD5",1,"PTA5",2,"PTD6",2,"PTE8",2,(LEN(N232)+LEN(N232)-LEN(SUBSTITUTE(N232,"ADC",))-LEN(SUBSTITUTE(N232,"CMP",)))/3)</f>
        <v>0</v>
      </c>
      <c r="AH232" s="180" t="str">
        <f t="shared" si="9"/>
        <v/>
      </c>
    </row>
    <row r="233" spans="1:34" x14ac:dyDescent="0.3">
      <c r="A233" s="218">
        <v>11</v>
      </c>
      <c r="B233" s="135">
        <v>19</v>
      </c>
      <c r="C233" s="135" t="s">
        <v>197</v>
      </c>
      <c r="D233" s="135" t="s">
        <v>198</v>
      </c>
      <c r="E233" s="135" t="s">
        <v>198</v>
      </c>
      <c r="F233" s="159"/>
      <c r="G233" s="159"/>
      <c r="H233" s="159"/>
      <c r="I233" s="159"/>
      <c r="J233" s="159"/>
      <c r="K233" s="159"/>
      <c r="L233" s="159"/>
      <c r="M233" s="159"/>
      <c r="N233" s="135" t="s">
        <v>198</v>
      </c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35" t="s">
        <v>198</v>
      </c>
      <c r="AD233" s="68" t="s">
        <v>199</v>
      </c>
      <c r="AE233" s="176"/>
      <c r="AF233" s="91" t="b">
        <f t="shared" si="8"/>
        <v>0</v>
      </c>
      <c r="AG233" s="91" cm="1">
        <f t="array" ref="AG233">_xlfn.SWITCH(D233,"PTA12",2,"PTD1",2,"PTD0",3,"PTC16",1,"PTD5",1,"PTA5",2,"PTD6",2,"PTE8",2,(LEN(N233)+LEN(N233)-LEN(SUBSTITUTE(N233,"ADC",))-LEN(SUBSTITUTE(N233,"CMP",)))/3)</f>
        <v>0</v>
      </c>
      <c r="AH233" s="180" t="str">
        <f t="shared" si="9"/>
        <v/>
      </c>
    </row>
    <row r="234" spans="1:34" x14ac:dyDescent="0.3">
      <c r="A234" s="218">
        <v>10</v>
      </c>
      <c r="B234" s="135">
        <v>18</v>
      </c>
      <c r="C234" s="135" t="s">
        <v>194</v>
      </c>
      <c r="D234" s="135" t="s">
        <v>195</v>
      </c>
      <c r="E234" s="135" t="s">
        <v>195</v>
      </c>
      <c r="F234" s="159"/>
      <c r="G234" s="159"/>
      <c r="H234" s="159"/>
      <c r="I234" s="159"/>
      <c r="J234" s="159"/>
      <c r="K234" s="159"/>
      <c r="L234" s="159"/>
      <c r="M234" s="159"/>
      <c r="N234" s="135" t="s">
        <v>195</v>
      </c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35" t="s">
        <v>195</v>
      </c>
      <c r="AD234" s="68" t="s">
        <v>196</v>
      </c>
      <c r="AE234" s="176"/>
      <c r="AF234" s="91" t="b">
        <f t="shared" si="8"/>
        <v>0</v>
      </c>
      <c r="AG234" s="91" cm="1">
        <f t="array" ref="AG234">_xlfn.SWITCH(D234,"PTA12",2,"PTD1",2,"PTD0",3,"PTC16",1,"PTD5",1,"PTA5",2,"PTD6",2,"PTE8",2,(LEN(N234)+LEN(N234)-LEN(SUBSTITUTE(N234,"ADC",))-LEN(SUBSTITUTE(N234,"CMP",)))/3)</f>
        <v>0</v>
      </c>
      <c r="AH234" s="180" t="str">
        <f t="shared" si="9"/>
        <v/>
      </c>
    </row>
    <row r="235" spans="1:34" x14ac:dyDescent="0.3">
      <c r="A235" s="218">
        <v>62</v>
      </c>
      <c r="B235" s="135">
        <v>108</v>
      </c>
      <c r="C235" s="159"/>
      <c r="D235" s="135" t="s">
        <v>195</v>
      </c>
      <c r="E235" s="135" t="s">
        <v>195</v>
      </c>
      <c r="F235" s="159"/>
      <c r="G235" s="159"/>
      <c r="H235" s="159"/>
      <c r="I235" s="159"/>
      <c r="J235" s="159"/>
      <c r="K235" s="159"/>
      <c r="L235" s="159"/>
      <c r="M235" s="159"/>
      <c r="N235" s="135" t="s">
        <v>195</v>
      </c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35" t="s">
        <v>195</v>
      </c>
      <c r="AD235" s="68" t="s">
        <v>196</v>
      </c>
      <c r="AE235" s="176"/>
      <c r="AF235" s="91" t="b">
        <f t="shared" si="8"/>
        <v>0</v>
      </c>
      <c r="AG235" s="91" cm="1">
        <f t="array" ref="AG235">_xlfn.SWITCH(D235,"PTA12",2,"PTD1",2,"PTD0",3,"PTC16",1,"PTD5",1,"PTA5",2,"PTD6",2,"PTE8",2,(LEN(N235)+LEN(N235)-LEN(SUBSTITUTE(N235,"ADC",))-LEN(SUBSTITUTE(N235,"CMP",)))/3)</f>
        <v>0</v>
      </c>
      <c r="AH235" s="180" t="str">
        <f t="shared" si="9"/>
        <v/>
      </c>
    </row>
    <row r="236" spans="1:34" x14ac:dyDescent="0.3">
      <c r="A236" s="219"/>
      <c r="B236" s="135">
        <v>128</v>
      </c>
      <c r="C236" s="135" t="s">
        <v>896</v>
      </c>
      <c r="D236" s="135" t="s">
        <v>195</v>
      </c>
      <c r="E236" s="135" t="s">
        <v>195</v>
      </c>
      <c r="F236" s="159"/>
      <c r="G236" s="159"/>
      <c r="H236" s="159"/>
      <c r="I236" s="159"/>
      <c r="J236" s="159"/>
      <c r="K236" s="159"/>
      <c r="L236" s="159"/>
      <c r="M236" s="159"/>
      <c r="N236" s="135" t="s">
        <v>195</v>
      </c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35" t="s">
        <v>195</v>
      </c>
      <c r="AD236" s="68" t="s">
        <v>196</v>
      </c>
      <c r="AE236" s="176"/>
      <c r="AF236" s="91" t="b">
        <f t="shared" si="8"/>
        <v>0</v>
      </c>
      <c r="AG236" s="91" cm="1">
        <f t="array" ref="AG236">_xlfn.SWITCH(D236,"PTA12",2,"PTD1",2,"PTD0",3,"PTC16",1,"PTD5",1,"PTA5",2,"PTD6",2,"PTE8",2,(LEN(N236)+LEN(N236)-LEN(SUBSTITUTE(N236,"ADC",))-LEN(SUBSTITUTE(N236,"CMP",)))/3)</f>
        <v>0</v>
      </c>
      <c r="AH236" s="180" t="str">
        <f t="shared" si="9"/>
        <v/>
      </c>
    </row>
    <row r="237" spans="1:34" x14ac:dyDescent="0.3">
      <c r="A237" s="135">
        <v>87</v>
      </c>
      <c r="B237" s="135">
        <v>151</v>
      </c>
      <c r="C237" s="135" t="s">
        <v>1011</v>
      </c>
      <c r="D237" s="135" t="s">
        <v>195</v>
      </c>
      <c r="E237" s="135" t="s">
        <v>195</v>
      </c>
      <c r="F237" s="159"/>
      <c r="G237" s="159"/>
      <c r="H237" s="159"/>
      <c r="I237" s="159"/>
      <c r="J237" s="159"/>
      <c r="K237" s="159"/>
      <c r="L237" s="159"/>
      <c r="M237" s="159"/>
      <c r="N237" s="135" t="s">
        <v>195</v>
      </c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35" t="s">
        <v>195</v>
      </c>
      <c r="AD237" s="68" t="s">
        <v>196</v>
      </c>
      <c r="AE237" s="176"/>
      <c r="AF237" s="91" t="b">
        <f t="shared" si="8"/>
        <v>0</v>
      </c>
      <c r="AG237" s="91" cm="1">
        <f t="array" ref="AG237">_xlfn.SWITCH(D237,"PTA12",2,"PTD1",2,"PTD0",3,"PTC16",1,"PTD5",1,"PTA5",2,"PTD6",2,"PTE8",2,(LEN(N237)+LEN(N237)-LEN(SUBSTITUTE(N237,"ADC",))-LEN(SUBSTITUTE(N237,"CMP",)))/3)</f>
        <v>0</v>
      </c>
      <c r="AH237" s="180" t="str">
        <f t="shared" si="9"/>
        <v/>
      </c>
    </row>
    <row r="238" spans="1:34" x14ac:dyDescent="0.3">
      <c r="A238" s="219"/>
      <c r="B238" s="135">
        <v>169</v>
      </c>
      <c r="C238" s="159"/>
      <c r="D238" s="135" t="s">
        <v>195</v>
      </c>
      <c r="E238" s="135" t="s">
        <v>195</v>
      </c>
      <c r="F238" s="159"/>
      <c r="G238" s="159"/>
      <c r="H238" s="159"/>
      <c r="I238" s="159"/>
      <c r="J238" s="159"/>
      <c r="K238" s="159"/>
      <c r="L238" s="159"/>
      <c r="M238" s="159"/>
      <c r="N238" s="135" t="s">
        <v>195</v>
      </c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35" t="s">
        <v>195</v>
      </c>
      <c r="AD238" s="68" t="s">
        <v>196</v>
      </c>
      <c r="AE238" s="176"/>
      <c r="AF238" s="91" t="b">
        <f t="shared" si="8"/>
        <v>0</v>
      </c>
      <c r="AG238" s="91" cm="1">
        <f t="array" ref="AG238">_xlfn.SWITCH(D238,"PTA12",2,"PTD1",2,"PTD0",3,"PTC16",1,"PTD5",1,"PTA5",2,"PTD6",2,"PTE8",2,(LEN(N238)+LEN(N238)-LEN(SUBSTITUTE(N238,"ADC",))-LEN(SUBSTITUTE(N238,"CMP",)))/3)</f>
        <v>0</v>
      </c>
      <c r="AH238" s="180" t="str">
        <f t="shared" si="9"/>
        <v/>
      </c>
    </row>
    <row r="239" spans="1:34" x14ac:dyDescent="0.3">
      <c r="A239" s="221"/>
      <c r="B239" s="159"/>
      <c r="C239" s="135" t="s">
        <v>1434</v>
      </c>
      <c r="D239" s="135" t="s">
        <v>195</v>
      </c>
      <c r="E239" s="135" t="s">
        <v>195</v>
      </c>
      <c r="F239" s="159"/>
      <c r="G239" s="159"/>
      <c r="H239" s="159"/>
      <c r="I239" s="159"/>
      <c r="J239" s="159"/>
      <c r="K239" s="159"/>
      <c r="L239" s="159"/>
      <c r="M239" s="159"/>
      <c r="N239" s="135" t="s">
        <v>195</v>
      </c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35" t="s">
        <v>195</v>
      </c>
      <c r="AD239" s="68" t="s">
        <v>196</v>
      </c>
      <c r="AE239" s="176"/>
      <c r="AF239" s="91" t="b">
        <f t="shared" si="8"/>
        <v>0</v>
      </c>
      <c r="AG239" s="91" cm="1">
        <f t="array" ref="AG239">_xlfn.SWITCH(D239,"PTA12",2,"PTD1",2,"PTD0",3,"PTC16",1,"PTD5",1,"PTA5",2,"PTD6",2,"PTE8",2,(LEN(N239)+LEN(N239)-LEN(SUBSTITUTE(N239,"ADC",))-LEN(SUBSTITUTE(N239,"CMP",)))/3)</f>
        <v>0</v>
      </c>
      <c r="AH239" s="180" t="str">
        <f t="shared" si="9"/>
        <v/>
      </c>
    </row>
    <row r="240" spans="1:34" x14ac:dyDescent="0.3">
      <c r="A240" s="219"/>
      <c r="B240" s="159"/>
      <c r="C240" s="135" t="s">
        <v>1435</v>
      </c>
      <c r="D240" s="135" t="s">
        <v>195</v>
      </c>
      <c r="E240" s="135" t="s">
        <v>195</v>
      </c>
      <c r="F240" s="159"/>
      <c r="G240" s="159"/>
      <c r="H240" s="159"/>
      <c r="I240" s="159"/>
      <c r="J240" s="159"/>
      <c r="K240" s="159"/>
      <c r="L240" s="159"/>
      <c r="M240" s="159"/>
      <c r="N240" s="135" t="s">
        <v>195</v>
      </c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35" t="s">
        <v>195</v>
      </c>
      <c r="AD240" s="68" t="s">
        <v>207</v>
      </c>
      <c r="AE240" s="176"/>
      <c r="AF240" s="91" t="b">
        <f t="shared" si="8"/>
        <v>0</v>
      </c>
      <c r="AG240" s="91" cm="1">
        <f t="array" ref="AG240">_xlfn.SWITCH(D240,"PTA12",2,"PTD1",2,"PTD0",3,"PTC16",1,"PTD5",1,"PTA5",2,"PTD6",2,"PTE8",2,(LEN(N240)+LEN(N240)-LEN(SUBSTITUTE(N240,"ADC",))-LEN(SUBSTITUTE(N240,"CMP",)))/3)</f>
        <v>0</v>
      </c>
      <c r="AH240" s="180" t="str">
        <f t="shared" si="9"/>
        <v/>
      </c>
    </row>
    <row r="241" spans="1:34" x14ac:dyDescent="0.3">
      <c r="A241" s="220"/>
      <c r="B241" s="135">
        <v>38</v>
      </c>
      <c r="C241" s="135" t="s">
        <v>319</v>
      </c>
      <c r="D241" s="135" t="s">
        <v>320</v>
      </c>
      <c r="E241" s="135" t="s">
        <v>320</v>
      </c>
      <c r="F241" s="159"/>
      <c r="G241" s="159"/>
      <c r="H241" s="159"/>
      <c r="I241" s="159"/>
      <c r="J241" s="159"/>
      <c r="K241" s="159"/>
      <c r="L241" s="159"/>
      <c r="M241" s="159"/>
      <c r="N241" s="135" t="s">
        <v>320</v>
      </c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35" t="s">
        <v>320</v>
      </c>
      <c r="AD241" s="68" t="s">
        <v>196</v>
      </c>
      <c r="AE241" s="176"/>
      <c r="AF241" s="91" t="b">
        <f t="shared" si="8"/>
        <v>0</v>
      </c>
      <c r="AG241" s="91" cm="1">
        <f t="array" ref="AG241">_xlfn.SWITCH(D241,"PTA12",2,"PTD1",2,"PTD0",3,"PTC16",1,"PTD5",1,"PTA5",2,"PTD6",2,"PTE8",2,(LEN(N241)+LEN(N241)-LEN(SUBSTITUTE(N241,"ADC",))-LEN(SUBSTITUTE(N241,"CMP",)))/3)</f>
        <v>0</v>
      </c>
      <c r="AH241" s="180" t="str">
        <f t="shared" si="9"/>
        <v/>
      </c>
    </row>
    <row r="242" spans="1:34" x14ac:dyDescent="0.3">
      <c r="A242" s="218">
        <v>25</v>
      </c>
      <c r="B242" s="135">
        <v>57</v>
      </c>
      <c r="C242" s="135" t="s">
        <v>465</v>
      </c>
      <c r="D242" s="135" t="s">
        <v>320</v>
      </c>
      <c r="E242" s="135" t="s">
        <v>320</v>
      </c>
      <c r="F242" s="159"/>
      <c r="G242" s="159"/>
      <c r="H242" s="159"/>
      <c r="I242" s="159"/>
      <c r="J242" s="159"/>
      <c r="K242" s="159"/>
      <c r="L242" s="159"/>
      <c r="M242" s="159"/>
      <c r="N242" s="135" t="s">
        <v>320</v>
      </c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35" t="s">
        <v>320</v>
      </c>
      <c r="AD242" s="68" t="s">
        <v>196</v>
      </c>
      <c r="AE242" s="176"/>
      <c r="AF242" s="91" t="b">
        <f t="shared" si="8"/>
        <v>0</v>
      </c>
      <c r="AG242" s="91" cm="1">
        <f t="array" ref="AG242">_xlfn.SWITCH(D242,"PTA12",2,"PTD1",2,"PTD0",3,"PTC16",1,"PTD5",1,"PTA5",2,"PTD6",2,"PTE8",2,(LEN(N242)+LEN(N242)-LEN(SUBSTITUTE(N242,"ADC",))-LEN(SUBSTITUTE(N242,"CMP",)))/3)</f>
        <v>0</v>
      </c>
      <c r="AH242" s="180" t="str">
        <f t="shared" si="9"/>
        <v/>
      </c>
    </row>
    <row r="243" spans="1:34" x14ac:dyDescent="0.3">
      <c r="A243" s="218">
        <v>37</v>
      </c>
      <c r="B243" s="135">
        <v>77</v>
      </c>
      <c r="C243" s="135" t="s">
        <v>601</v>
      </c>
      <c r="D243" s="135" t="s">
        <v>320</v>
      </c>
      <c r="E243" s="135" t="s">
        <v>320</v>
      </c>
      <c r="F243" s="159"/>
      <c r="G243" s="159"/>
      <c r="H243" s="159"/>
      <c r="I243" s="159"/>
      <c r="J243" s="159"/>
      <c r="K243" s="159"/>
      <c r="L243" s="159"/>
      <c r="M243" s="159"/>
      <c r="N243" s="135" t="s">
        <v>320</v>
      </c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35" t="s">
        <v>320</v>
      </c>
      <c r="AD243" s="68" t="s">
        <v>196</v>
      </c>
      <c r="AE243" s="176"/>
      <c r="AF243" s="91" t="b">
        <f t="shared" si="8"/>
        <v>0</v>
      </c>
      <c r="AG243" s="91" cm="1">
        <f t="array" ref="AG243">_xlfn.SWITCH(D243,"PTA12",2,"PTD1",2,"PTD0",3,"PTC16",1,"PTD5",1,"PTA5",2,"PTD6",2,"PTE8",2,(LEN(N243)+LEN(N243)-LEN(SUBSTITUTE(N243,"ADC",))-LEN(SUBSTITUTE(N243,"CMP",)))/3)</f>
        <v>0</v>
      </c>
      <c r="AH243" s="180" t="str">
        <f t="shared" si="9"/>
        <v/>
      </c>
    </row>
    <row r="244" spans="1:34" x14ac:dyDescent="0.3">
      <c r="A244" s="219"/>
      <c r="B244" s="159"/>
      <c r="C244" s="159"/>
      <c r="D244" s="135" t="s">
        <v>1447</v>
      </c>
      <c r="E244" s="135" t="s">
        <v>1447</v>
      </c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68" t="s">
        <v>231</v>
      </c>
      <c r="AE244" s="176"/>
      <c r="AF244" s="91" t="str">
        <f t="shared" si="8"/>
        <v>SP</v>
      </c>
      <c r="AG244" s="91" cm="1">
        <f t="array" ref="AG244">_xlfn.SWITCH(D244,"PTA12",2,"PTD1",2,"PTD0",3,"PTC16",1,"PTD5",1,"PTA5",2,"PTD6",2,"PTE8",2,(LEN(N244)+LEN(N244)-LEN(SUBSTITUTE(N244,"ADC",))-LEN(SUBSTITUTE(N244,"CMP",)))/3)</f>
        <v>0</v>
      </c>
      <c r="AH244" s="180" t="str">
        <f t="shared" si="9"/>
        <v>ILKG_33/50_SP0</v>
      </c>
    </row>
    <row r="245" spans="1:34" x14ac:dyDescent="0.3">
      <c r="A245" s="219"/>
      <c r="B245" s="159"/>
      <c r="C245" s="159"/>
      <c r="D245" s="135" t="s">
        <v>1448</v>
      </c>
      <c r="E245" s="135" t="s">
        <v>1448</v>
      </c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68" t="s">
        <v>231</v>
      </c>
      <c r="AE245" s="176"/>
      <c r="AF245" s="91" t="str">
        <f t="shared" si="8"/>
        <v>SP</v>
      </c>
      <c r="AG245" s="91" cm="1">
        <f t="array" ref="AG245">_xlfn.SWITCH(D245,"PTA12",2,"PTD1",2,"PTD0",3,"PTC16",1,"PTD5",1,"PTA5",2,"PTD6",2,"PTE8",2,(LEN(N245)+LEN(N245)-LEN(SUBSTITUTE(N245,"ADC",))-LEN(SUBSTITUTE(N245,"CMP",)))/3)</f>
        <v>0</v>
      </c>
      <c r="AH245" s="180" t="str">
        <f t="shared" si="9"/>
        <v>ILKG_33/50_SP0</v>
      </c>
    </row>
    <row r="246" spans="1:34" x14ac:dyDescent="0.3">
      <c r="A246" s="218">
        <v>8</v>
      </c>
      <c r="B246" s="135">
        <v>16</v>
      </c>
      <c r="C246" s="135" t="s">
        <v>189</v>
      </c>
      <c r="D246" s="135" t="s">
        <v>190</v>
      </c>
      <c r="E246" s="135" t="s">
        <v>190</v>
      </c>
      <c r="F246" s="159"/>
      <c r="G246" s="159"/>
      <c r="H246" s="159"/>
      <c r="I246" s="159"/>
      <c r="J246" s="159"/>
      <c r="K246" s="159"/>
      <c r="L246" s="159"/>
      <c r="M246" s="159"/>
      <c r="N246" s="135" t="s">
        <v>190</v>
      </c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35" t="s">
        <v>190</v>
      </c>
      <c r="AD246" s="68" t="s">
        <v>191</v>
      </c>
      <c r="AE246" s="176"/>
      <c r="AF246" s="91" t="b">
        <f t="shared" si="8"/>
        <v>0</v>
      </c>
      <c r="AG246" s="91" cm="1">
        <f t="array" ref="AG246">_xlfn.SWITCH(D246,"PTA12",2,"PTD1",2,"PTD0",3,"PTC16",1,"PTD5",1,"PTA5",2,"PTD6",2,"PTE8",2,(LEN(N246)+LEN(N246)-LEN(SUBSTITUTE(N246,"ADC",))-LEN(SUBSTITUTE(N246,"CMP",)))/3)</f>
        <v>0</v>
      </c>
      <c r="AH246" s="180" t="str">
        <f t="shared" si="9"/>
        <v/>
      </c>
    </row>
    <row r="247" spans="1:34" x14ac:dyDescent="0.3">
      <c r="A247" s="218">
        <v>9</v>
      </c>
      <c r="B247" s="135">
        <v>17</v>
      </c>
      <c r="C247" s="135" t="s">
        <v>192</v>
      </c>
      <c r="D247" s="135" t="s">
        <v>193</v>
      </c>
      <c r="E247" s="135" t="s">
        <v>193</v>
      </c>
      <c r="F247" s="159"/>
      <c r="G247" s="159"/>
      <c r="H247" s="159"/>
      <c r="I247" s="159"/>
      <c r="J247" s="159"/>
      <c r="K247" s="159"/>
      <c r="L247" s="159"/>
      <c r="M247" s="159"/>
      <c r="N247" s="135" t="s">
        <v>193</v>
      </c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35" t="s">
        <v>193</v>
      </c>
      <c r="AD247" s="68" t="s">
        <v>191</v>
      </c>
      <c r="AE247" s="176"/>
      <c r="AF247" s="91" t="b">
        <f t="shared" si="8"/>
        <v>0</v>
      </c>
      <c r="AG247" s="91" cm="1">
        <f t="array" ref="AG247">_xlfn.SWITCH(D247,"PTA12",2,"PTD1",2,"PTD0",3,"PTC16",1,"PTD5",1,"PTA5",2,"PTD6",2,"PTE8",2,(LEN(N247)+LEN(N247)-LEN(SUBSTITUTE(N247,"ADC",))-LEN(SUBSTITUTE(N247,"CMP",)))/3)</f>
        <v>0</v>
      </c>
      <c r="AH247" s="180" t="str">
        <f t="shared" si="9"/>
        <v/>
      </c>
    </row>
    <row r="248" spans="1:34" x14ac:dyDescent="0.3">
      <c r="A248" s="218">
        <v>14</v>
      </c>
      <c r="B248" s="135">
        <v>22</v>
      </c>
      <c r="C248" s="135" t="s">
        <v>205</v>
      </c>
      <c r="D248" s="135" t="s">
        <v>206</v>
      </c>
      <c r="E248" s="135" t="s">
        <v>206</v>
      </c>
      <c r="F248" s="159"/>
      <c r="G248" s="159"/>
      <c r="H248" s="159"/>
      <c r="I248" s="159"/>
      <c r="J248" s="159"/>
      <c r="K248" s="159"/>
      <c r="L248" s="159"/>
      <c r="M248" s="159"/>
      <c r="N248" s="135" t="s">
        <v>206</v>
      </c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35" t="s">
        <v>206</v>
      </c>
      <c r="AD248" s="68" t="s">
        <v>207</v>
      </c>
      <c r="AE248" s="176"/>
      <c r="AF248" s="91" t="b">
        <f t="shared" si="8"/>
        <v>0</v>
      </c>
      <c r="AG248" s="91" cm="1">
        <f t="array" ref="AG248">_xlfn.SWITCH(D248,"PTA12",2,"PTD1",2,"PTD0",3,"PTC16",1,"PTD5",1,"PTA5",2,"PTD6",2,"PTE8",2,(LEN(N248)+LEN(N248)-LEN(SUBSTITUTE(N248,"ADC",))-LEN(SUBSTITUTE(N248,"CMP",)))/3)</f>
        <v>0</v>
      </c>
      <c r="AH248" s="180" t="str">
        <f t="shared" si="9"/>
        <v/>
      </c>
    </row>
    <row r="249" spans="1:34" x14ac:dyDescent="0.3">
      <c r="A249" s="218">
        <v>16</v>
      </c>
      <c r="B249" s="135">
        <v>24</v>
      </c>
      <c r="C249" s="135" t="s">
        <v>211</v>
      </c>
      <c r="D249" s="135" t="s">
        <v>206</v>
      </c>
      <c r="E249" s="135" t="s">
        <v>206</v>
      </c>
      <c r="F249" s="159"/>
      <c r="G249" s="159"/>
      <c r="H249" s="159"/>
      <c r="I249" s="159"/>
      <c r="J249" s="159"/>
      <c r="K249" s="159"/>
      <c r="L249" s="159"/>
      <c r="M249" s="159"/>
      <c r="N249" s="135" t="s">
        <v>206</v>
      </c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35" t="s">
        <v>206</v>
      </c>
      <c r="AD249" s="68" t="s">
        <v>207</v>
      </c>
      <c r="AE249" s="176"/>
      <c r="AF249" s="91" t="b">
        <f t="shared" si="8"/>
        <v>0</v>
      </c>
      <c r="AG249" s="91" cm="1">
        <f t="array" ref="AG249">_xlfn.SWITCH(D249,"PTA12",2,"PTD1",2,"PTD0",3,"PTC16",1,"PTD5",1,"PTA5",2,"PTD6",2,"PTE8",2,(LEN(N249)+LEN(N249)-LEN(SUBSTITUTE(N249,"ADC",))-LEN(SUBSTITUTE(N249,"CMP",)))/3)</f>
        <v>0</v>
      </c>
      <c r="AH249" s="180" t="str">
        <f t="shared" si="9"/>
        <v/>
      </c>
    </row>
    <row r="250" spans="1:34" x14ac:dyDescent="0.3">
      <c r="A250" s="222">
        <v>24</v>
      </c>
      <c r="B250" s="135">
        <v>37</v>
      </c>
      <c r="C250" s="135" t="s">
        <v>318</v>
      </c>
      <c r="D250" s="135" t="s">
        <v>206</v>
      </c>
      <c r="E250" s="135" t="s">
        <v>206</v>
      </c>
      <c r="F250" s="159"/>
      <c r="G250" s="159"/>
      <c r="H250" s="159"/>
      <c r="I250" s="159"/>
      <c r="J250" s="159"/>
      <c r="K250" s="159"/>
      <c r="L250" s="159"/>
      <c r="M250" s="159"/>
      <c r="N250" s="135" t="s">
        <v>206</v>
      </c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35" t="s">
        <v>206</v>
      </c>
      <c r="AD250" s="68" t="s">
        <v>207</v>
      </c>
      <c r="AE250" s="176"/>
      <c r="AF250" s="91" t="b">
        <f t="shared" si="8"/>
        <v>0</v>
      </c>
      <c r="AG250" s="91" cm="1">
        <f t="array" ref="AG250">_xlfn.SWITCH(D250,"PTA12",2,"PTD1",2,"PTD0",3,"PTC16",1,"PTD5",1,"PTA5",2,"PTD6",2,"PTE8",2,(LEN(N250)+LEN(N250)-LEN(SUBSTITUTE(N250,"ADC",))-LEN(SUBSTITUTE(N250,"CMP",)))/3)</f>
        <v>0</v>
      </c>
      <c r="AH250" s="180" t="str">
        <f t="shared" si="9"/>
        <v/>
      </c>
    </row>
    <row r="251" spans="1:34" x14ac:dyDescent="0.3">
      <c r="A251" s="218">
        <v>38</v>
      </c>
      <c r="B251" s="135">
        <v>58</v>
      </c>
      <c r="C251" s="135" t="s">
        <v>466</v>
      </c>
      <c r="D251" s="135" t="s">
        <v>206</v>
      </c>
      <c r="E251" s="135" t="s">
        <v>206</v>
      </c>
      <c r="F251" s="159"/>
      <c r="G251" s="159"/>
      <c r="H251" s="159"/>
      <c r="I251" s="159"/>
      <c r="J251" s="159"/>
      <c r="K251" s="159"/>
      <c r="L251" s="159"/>
      <c r="M251" s="159"/>
      <c r="N251" s="135" t="s">
        <v>206</v>
      </c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35" t="s">
        <v>206</v>
      </c>
      <c r="AD251" s="68" t="s">
        <v>207</v>
      </c>
      <c r="AE251" s="176"/>
      <c r="AF251" s="91" t="b">
        <f t="shared" si="8"/>
        <v>0</v>
      </c>
      <c r="AG251" s="91" cm="1">
        <f t="array" ref="AG251">_xlfn.SWITCH(D251,"PTA12",2,"PTD1",2,"PTD0",3,"PTC16",1,"PTD5",1,"PTA5",2,"PTD6",2,"PTE8",2,(LEN(N251)+LEN(N251)-LEN(SUBSTITUTE(N251,"ADC",))-LEN(SUBSTITUTE(N251,"CMP",)))/3)</f>
        <v>0</v>
      </c>
      <c r="AH251" s="180" t="str">
        <f t="shared" si="9"/>
        <v/>
      </c>
    </row>
    <row r="252" spans="1:34" x14ac:dyDescent="0.3">
      <c r="A252" s="218"/>
      <c r="B252" s="135">
        <v>78</v>
      </c>
      <c r="C252" s="135" t="s">
        <v>602</v>
      </c>
      <c r="D252" s="135" t="s">
        <v>206</v>
      </c>
      <c r="E252" s="135" t="s">
        <v>206</v>
      </c>
      <c r="F252" s="159"/>
      <c r="G252" s="159"/>
      <c r="H252" s="159"/>
      <c r="I252" s="159"/>
      <c r="J252" s="159"/>
      <c r="K252" s="159"/>
      <c r="L252" s="159"/>
      <c r="M252" s="159"/>
      <c r="N252" s="135" t="s">
        <v>206</v>
      </c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35" t="s">
        <v>206</v>
      </c>
      <c r="AD252" s="68" t="s">
        <v>207</v>
      </c>
      <c r="AE252" s="176"/>
      <c r="AF252" s="91" t="b">
        <f t="shared" si="8"/>
        <v>0</v>
      </c>
      <c r="AG252" s="91" cm="1">
        <f t="array" ref="AG252">_xlfn.SWITCH(D252,"PTA12",2,"PTD1",2,"PTD0",3,"PTC16",1,"PTD5",1,"PTA5",2,"PTD6",2,"PTE8",2,(LEN(N252)+LEN(N252)-LEN(SUBSTITUTE(N252,"ADC",))-LEN(SUBSTITUTE(N252,"CMP",)))/3)</f>
        <v>0</v>
      </c>
      <c r="AH252" s="180" t="str">
        <f t="shared" si="9"/>
        <v/>
      </c>
    </row>
    <row r="253" spans="1:34" x14ac:dyDescent="0.3">
      <c r="A253" s="218">
        <v>61</v>
      </c>
      <c r="B253" s="135">
        <v>107</v>
      </c>
      <c r="C253" s="135" t="s">
        <v>781</v>
      </c>
      <c r="D253" s="135" t="s">
        <v>206</v>
      </c>
      <c r="E253" s="135" t="s">
        <v>206</v>
      </c>
      <c r="F253" s="159"/>
      <c r="G253" s="159"/>
      <c r="H253" s="159"/>
      <c r="I253" s="159"/>
      <c r="J253" s="159"/>
      <c r="K253" s="159"/>
      <c r="L253" s="159"/>
      <c r="M253" s="159"/>
      <c r="N253" s="135" t="s">
        <v>206</v>
      </c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35" t="s">
        <v>206</v>
      </c>
      <c r="AD253" s="68" t="s">
        <v>207</v>
      </c>
      <c r="AE253" s="176"/>
      <c r="AF253" s="91" t="b">
        <f t="shared" si="8"/>
        <v>0</v>
      </c>
      <c r="AG253" s="91" cm="1">
        <f t="array" ref="AG253">_xlfn.SWITCH(D253,"PTA12",2,"PTD1",2,"PTD0",3,"PTC16",1,"PTD5",1,"PTA5",2,"PTD6",2,"PTE8",2,(LEN(N253)+LEN(N253)-LEN(SUBSTITUTE(N253,"ADC",))-LEN(SUBSTITUTE(N253,"CMP",)))/3)</f>
        <v>0</v>
      </c>
      <c r="AH253" s="180" t="str">
        <f t="shared" si="9"/>
        <v/>
      </c>
    </row>
    <row r="254" spans="1:34" x14ac:dyDescent="0.3">
      <c r="A254" s="222"/>
      <c r="B254" s="135">
        <v>127</v>
      </c>
      <c r="C254" s="135" t="s">
        <v>895</v>
      </c>
      <c r="D254" s="135" t="s">
        <v>206</v>
      </c>
      <c r="E254" s="135" t="s">
        <v>206</v>
      </c>
      <c r="F254" s="159"/>
      <c r="G254" s="159"/>
      <c r="H254" s="159"/>
      <c r="I254" s="159"/>
      <c r="J254" s="159"/>
      <c r="K254" s="159"/>
      <c r="L254" s="159"/>
      <c r="M254" s="159"/>
      <c r="N254" s="135" t="s">
        <v>206</v>
      </c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35" t="s">
        <v>206</v>
      </c>
      <c r="AD254" s="68" t="s">
        <v>207</v>
      </c>
      <c r="AE254" s="176"/>
      <c r="AF254" s="91" t="b">
        <f t="shared" si="8"/>
        <v>0</v>
      </c>
      <c r="AG254" s="91" cm="1">
        <f t="array" ref="AG254">_xlfn.SWITCH(D254,"PTA12",2,"PTD1",2,"PTD0",3,"PTC16",1,"PTD5",1,"PTA5",2,"PTD6",2,"PTE8",2,(LEN(N254)+LEN(N254)-LEN(SUBSTITUTE(N254,"ADC",))-LEN(SUBSTITUTE(N254,"CMP",)))/3)</f>
        <v>0</v>
      </c>
      <c r="AH254" s="180" t="str">
        <f t="shared" si="9"/>
        <v/>
      </c>
    </row>
    <row r="255" spans="1:34" x14ac:dyDescent="0.3">
      <c r="A255" s="135">
        <v>86</v>
      </c>
      <c r="B255" s="135">
        <v>150</v>
      </c>
      <c r="C255" s="135" t="s">
        <v>1010</v>
      </c>
      <c r="D255" s="135" t="s">
        <v>206</v>
      </c>
      <c r="E255" s="135" t="s">
        <v>206</v>
      </c>
      <c r="F255" s="159"/>
      <c r="G255" s="159"/>
      <c r="H255" s="159"/>
      <c r="I255" s="159"/>
      <c r="J255" s="159"/>
      <c r="K255" s="159"/>
      <c r="L255" s="159"/>
      <c r="M255" s="159"/>
      <c r="N255" s="135" t="s">
        <v>206</v>
      </c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35" t="s">
        <v>206</v>
      </c>
      <c r="AD255" s="68" t="s">
        <v>207</v>
      </c>
      <c r="AE255" s="176"/>
      <c r="AF255" s="91" t="b">
        <f t="shared" si="8"/>
        <v>0</v>
      </c>
      <c r="AG255" s="91" cm="1">
        <f t="array" ref="AG255">_xlfn.SWITCH(D255,"PTA12",2,"PTD1",2,"PTD0",3,"PTC16",1,"PTD5",1,"PTA5",2,"PTD6",2,"PTE8",2,(LEN(N255)+LEN(N255)-LEN(SUBSTITUTE(N255,"ADC",))-LEN(SUBSTITUTE(N255,"CMP",)))/3)</f>
        <v>0</v>
      </c>
      <c r="AH255" s="180" t="str">
        <f t="shared" si="9"/>
        <v/>
      </c>
    </row>
    <row r="256" spans="1:34" x14ac:dyDescent="0.3">
      <c r="A256" s="135"/>
      <c r="B256" s="135">
        <v>168</v>
      </c>
      <c r="C256" s="135" t="s">
        <v>1099</v>
      </c>
      <c r="D256" s="135" t="s">
        <v>206</v>
      </c>
      <c r="E256" s="135" t="s">
        <v>206</v>
      </c>
      <c r="F256" s="159"/>
      <c r="G256" s="159"/>
      <c r="H256" s="159"/>
      <c r="I256" s="159"/>
      <c r="J256" s="159"/>
      <c r="K256" s="159"/>
      <c r="L256" s="159"/>
      <c r="M256" s="159"/>
      <c r="N256" s="135" t="s">
        <v>206</v>
      </c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35" t="s">
        <v>206</v>
      </c>
      <c r="AD256" s="68" t="s">
        <v>207</v>
      </c>
      <c r="AE256" s="176"/>
      <c r="AF256" s="91" t="b">
        <f t="shared" si="8"/>
        <v>0</v>
      </c>
      <c r="AG256" s="91" cm="1">
        <f t="array" ref="AG256">_xlfn.SWITCH(D256,"PTA12",2,"PTD1",2,"PTD0",3,"PTC16",1,"PTD5",1,"PTA5",2,"PTD6",2,"PTE8",2,(LEN(N256)+LEN(N256)-LEN(SUBSTITUTE(N256,"ADC",))-LEN(SUBSTITUTE(N256,"CMP",)))/3)</f>
        <v>0</v>
      </c>
      <c r="AH256" s="180" t="str">
        <f t="shared" si="9"/>
        <v/>
      </c>
    </row>
    <row r="257" spans="1:34" x14ac:dyDescent="0.3">
      <c r="A257" s="219"/>
      <c r="B257" s="159"/>
      <c r="C257" s="135" t="s">
        <v>1436</v>
      </c>
      <c r="D257" s="135" t="s">
        <v>206</v>
      </c>
      <c r="E257" s="135" t="s">
        <v>206</v>
      </c>
      <c r="F257" s="159"/>
      <c r="G257" s="159"/>
      <c r="H257" s="159"/>
      <c r="I257" s="159"/>
      <c r="J257" s="159"/>
      <c r="K257" s="159"/>
      <c r="L257" s="159"/>
      <c r="M257" s="159"/>
      <c r="N257" s="135" t="s">
        <v>206</v>
      </c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35" t="s">
        <v>206</v>
      </c>
      <c r="AD257" s="68" t="s">
        <v>207</v>
      </c>
      <c r="AE257" s="177"/>
      <c r="AF257" s="91" t="b">
        <f t="shared" si="8"/>
        <v>0</v>
      </c>
      <c r="AG257" s="91" cm="1">
        <f t="array" ref="AG257">_xlfn.SWITCH(D257,"PTA12",2,"PTD1",2,"PTD0",3,"PTC16",1,"PTD5",1,"PTA5",2,"PTD6",2,"PTE8",2,(LEN(N257)+LEN(N257)-LEN(SUBSTITUTE(N257,"ADC",))-LEN(SUBSTITUTE(N257,"CMP",)))/3)</f>
        <v>0</v>
      </c>
      <c r="AH257" s="180" t="str">
        <f t="shared" si="9"/>
        <v/>
      </c>
    </row>
    <row r="258" spans="1:34" x14ac:dyDescent="0.3">
      <c r="A258" s="219"/>
      <c r="B258" s="159"/>
      <c r="C258" s="135" t="s">
        <v>1437</v>
      </c>
      <c r="D258" s="135" t="s">
        <v>206</v>
      </c>
      <c r="E258" s="135" t="s">
        <v>206</v>
      </c>
      <c r="F258" s="159"/>
      <c r="G258" s="159"/>
      <c r="H258" s="159"/>
      <c r="I258" s="159"/>
      <c r="J258" s="159"/>
      <c r="K258" s="159"/>
      <c r="L258" s="159"/>
      <c r="M258" s="159"/>
      <c r="N258" s="135" t="s">
        <v>206</v>
      </c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35" t="s">
        <v>206</v>
      </c>
      <c r="AD258" s="92" t="s">
        <v>207</v>
      </c>
      <c r="AE258" s="178"/>
      <c r="AF258" s="91" t="b">
        <f t="shared" si="8"/>
        <v>0</v>
      </c>
      <c r="AG258" s="91" cm="1">
        <f t="array" ref="AG258">_xlfn.SWITCH(D258,"PTA12",2,"PTD1",2,"PTD0",3,"PTC16",1,"PTD5",1,"PTA5",2,"PTD6",2,"PTE8",2,(LEN(N258)+LEN(N258)-LEN(SUBSTITUTE(N258,"ADC",))-LEN(SUBSTITUTE(N258,"CMP",)))/3)</f>
        <v>0</v>
      </c>
      <c r="AH258" s="180" t="str">
        <f t="shared" si="9"/>
        <v/>
      </c>
    </row>
    <row r="259" spans="1:34" x14ac:dyDescent="0.3">
      <c r="A259" s="219"/>
      <c r="B259" s="159"/>
      <c r="C259" s="135" t="s">
        <v>1438</v>
      </c>
      <c r="D259" s="135" t="s">
        <v>206</v>
      </c>
      <c r="E259" s="135" t="s">
        <v>206</v>
      </c>
      <c r="F259" s="159"/>
      <c r="G259" s="159"/>
      <c r="H259" s="159"/>
      <c r="I259" s="159"/>
      <c r="J259" s="159"/>
      <c r="K259" s="159"/>
      <c r="L259" s="159"/>
      <c r="M259" s="159"/>
      <c r="N259" s="135" t="s">
        <v>206</v>
      </c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35" t="s">
        <v>206</v>
      </c>
      <c r="AD259" s="68" t="s">
        <v>207</v>
      </c>
      <c r="AE259" s="178"/>
      <c r="AF259" s="91" t="b">
        <f t="shared" si="8"/>
        <v>0</v>
      </c>
      <c r="AG259" s="91" cm="1">
        <f t="array" ref="AG259">_xlfn.SWITCH(D259,"PTA12",2,"PTD1",2,"PTD0",3,"PTC16",1,"PTD5",1,"PTA5",2,"PTD6",2,"PTE8",2,(LEN(N259)+LEN(N259)-LEN(SUBSTITUTE(N259,"ADC",))-LEN(SUBSTITUTE(N259,"CMP",)))/3)</f>
        <v>0</v>
      </c>
      <c r="AH259" s="180" t="str">
        <f t="shared" si="9"/>
        <v/>
      </c>
    </row>
    <row r="260" spans="1:34" x14ac:dyDescent="0.3">
      <c r="A260" s="219"/>
      <c r="B260" s="159"/>
      <c r="C260" s="135" t="s">
        <v>1439</v>
      </c>
      <c r="D260" s="135" t="s">
        <v>206</v>
      </c>
      <c r="E260" s="135" t="s">
        <v>206</v>
      </c>
      <c r="F260" s="159"/>
      <c r="G260" s="159"/>
      <c r="H260" s="159"/>
      <c r="I260" s="159"/>
      <c r="J260" s="159"/>
      <c r="K260" s="159"/>
      <c r="L260" s="159"/>
      <c r="M260" s="159"/>
      <c r="N260" s="135" t="s">
        <v>206</v>
      </c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35" t="s">
        <v>206</v>
      </c>
      <c r="AD260" s="68" t="s">
        <v>207</v>
      </c>
      <c r="AE260" s="178"/>
      <c r="AF260" s="91" t="b">
        <f t="shared" si="8"/>
        <v>0</v>
      </c>
      <c r="AG260" s="91" cm="1">
        <f t="array" ref="AG260">_xlfn.SWITCH(D260,"PTA12",2,"PTD1",2,"PTD0",3,"PTC16",1,"PTD5",1,"PTA5",2,"PTD6",2,"PTE8",2,(LEN(N260)+LEN(N260)-LEN(SUBSTITUTE(N260,"ADC",))-LEN(SUBSTITUTE(N260,"CMP",)))/3)</f>
        <v>0</v>
      </c>
      <c r="AH260" s="180" t="str">
        <f t="shared" si="9"/>
        <v/>
      </c>
    </row>
    <row r="261" spans="1:34" x14ac:dyDescent="0.3">
      <c r="A261" s="219"/>
      <c r="B261" s="159"/>
      <c r="C261" s="135" t="s">
        <v>1440</v>
      </c>
      <c r="D261" s="135" t="s">
        <v>206</v>
      </c>
      <c r="E261" s="135" t="s">
        <v>206</v>
      </c>
      <c r="F261" s="159"/>
      <c r="G261" s="159"/>
      <c r="H261" s="159"/>
      <c r="I261" s="159"/>
      <c r="J261" s="159"/>
      <c r="K261" s="159"/>
      <c r="L261" s="159"/>
      <c r="M261" s="159"/>
      <c r="N261" s="135" t="s">
        <v>206</v>
      </c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35" t="s">
        <v>206</v>
      </c>
      <c r="AD261" s="68" t="s">
        <v>207</v>
      </c>
      <c r="AE261" s="178"/>
      <c r="AF261" s="91" t="b">
        <f t="shared" si="8"/>
        <v>0</v>
      </c>
      <c r="AG261" s="91" cm="1">
        <f t="array" ref="AG261">_xlfn.SWITCH(D261,"PTA12",2,"PTD1",2,"PTD0",3,"PTC16",1,"PTD5",1,"PTA5",2,"PTD6",2,"PTE8",2,(LEN(N261)+LEN(N261)-LEN(SUBSTITUTE(N261,"ADC",))-LEN(SUBSTITUTE(N261,"CMP",)))/3)</f>
        <v>0</v>
      </c>
      <c r="AH261" s="180" t="str">
        <f t="shared" si="9"/>
        <v/>
      </c>
    </row>
    <row r="262" spans="1:34" x14ac:dyDescent="0.3">
      <c r="A262" s="219"/>
      <c r="B262" s="159"/>
      <c r="C262" s="135" t="s">
        <v>1441</v>
      </c>
      <c r="D262" s="135" t="s">
        <v>206</v>
      </c>
      <c r="E262" s="135" t="s">
        <v>206</v>
      </c>
      <c r="F262" s="159"/>
      <c r="G262" s="159"/>
      <c r="H262" s="159"/>
      <c r="I262" s="159"/>
      <c r="J262" s="159"/>
      <c r="K262" s="159"/>
      <c r="L262" s="159"/>
      <c r="M262" s="159"/>
      <c r="N262" s="135" t="s">
        <v>206</v>
      </c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35" t="s">
        <v>206</v>
      </c>
      <c r="AD262" s="68" t="s">
        <v>207</v>
      </c>
      <c r="AE262" s="178"/>
      <c r="AF262" s="91" t="b">
        <f t="shared" si="8"/>
        <v>0</v>
      </c>
      <c r="AG262" s="91" cm="1">
        <f t="array" ref="AG262">_xlfn.SWITCH(D262,"PTA12",2,"PTD1",2,"PTD0",3,"PTC16",1,"PTD5",1,"PTA5",2,"PTD6",2,"PTE8",2,(LEN(N262)+LEN(N262)-LEN(SUBSTITUTE(N262,"ADC",))-LEN(SUBSTITUTE(N262,"CMP",)))/3)</f>
        <v>0</v>
      </c>
      <c r="AH262" s="180" t="str">
        <f t="shared" si="9"/>
        <v/>
      </c>
    </row>
    <row r="263" spans="1:34" x14ac:dyDescent="0.3">
      <c r="A263" s="219"/>
      <c r="B263" s="159"/>
      <c r="C263" s="135" t="s">
        <v>1442</v>
      </c>
      <c r="D263" s="135" t="s">
        <v>206</v>
      </c>
      <c r="E263" s="135" t="s">
        <v>206</v>
      </c>
      <c r="F263" s="159"/>
      <c r="G263" s="159"/>
      <c r="H263" s="159"/>
      <c r="I263" s="159"/>
      <c r="J263" s="159"/>
      <c r="K263" s="159"/>
      <c r="L263" s="159"/>
      <c r="M263" s="159"/>
      <c r="N263" s="135" t="s">
        <v>206</v>
      </c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35" t="s">
        <v>206</v>
      </c>
      <c r="AD263" s="68" t="s">
        <v>207</v>
      </c>
      <c r="AE263" s="179"/>
      <c r="AF263" s="91" t="b">
        <f t="shared" si="8"/>
        <v>0</v>
      </c>
      <c r="AG263" s="91" cm="1">
        <f t="array" ref="AG263">_xlfn.SWITCH(D263,"PTA12",2,"PTD1",2,"PTD0",3,"PTC16",1,"PTD5",1,"PTA5",2,"PTD6",2,"PTE8",2,(LEN(N263)+LEN(N263)-LEN(SUBSTITUTE(N263,"ADC",))-LEN(SUBSTITUTE(N263,"CMP",)))/3)</f>
        <v>0</v>
      </c>
      <c r="AH263" s="180" t="str">
        <f t="shared" si="9"/>
        <v/>
      </c>
    </row>
    <row r="264" spans="1:34" x14ac:dyDescent="0.3">
      <c r="A264" s="219"/>
      <c r="B264" s="159"/>
      <c r="C264" s="135" t="s">
        <v>1443</v>
      </c>
      <c r="D264" s="135" t="s">
        <v>206</v>
      </c>
      <c r="E264" s="135" t="s">
        <v>206</v>
      </c>
      <c r="F264" s="159"/>
      <c r="G264" s="159"/>
      <c r="H264" s="159"/>
      <c r="I264" s="159"/>
      <c r="J264" s="159"/>
      <c r="K264" s="159"/>
      <c r="L264" s="159"/>
      <c r="M264" s="159"/>
      <c r="N264" s="135" t="s">
        <v>206</v>
      </c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35" t="s">
        <v>206</v>
      </c>
      <c r="AD264" s="68" t="s">
        <v>207</v>
      </c>
      <c r="AE264" s="179"/>
      <c r="AF264" s="91" t="b">
        <f t="shared" si="8"/>
        <v>0</v>
      </c>
      <c r="AG264" s="91" cm="1">
        <f t="array" ref="AG264">_xlfn.SWITCH(D264,"PTA12",2,"PTD1",2,"PTD0",3,"PTC16",1,"PTD5",1,"PTA5",2,"PTD6",2,"PTE8",2,(LEN(N264)+LEN(N264)-LEN(SUBSTITUTE(N264,"ADC",))-LEN(SUBSTITUTE(N264,"CMP",)))/3)</f>
        <v>0</v>
      </c>
      <c r="AH264" s="180" t="str">
        <f t="shared" si="9"/>
        <v/>
      </c>
    </row>
    <row r="265" spans="1:34" x14ac:dyDescent="0.3">
      <c r="A265" s="219"/>
      <c r="B265" s="159"/>
      <c r="C265" s="135" t="s">
        <v>1444</v>
      </c>
      <c r="D265" s="135" t="s">
        <v>206</v>
      </c>
      <c r="E265" s="135" t="s">
        <v>206</v>
      </c>
      <c r="F265" s="159"/>
      <c r="G265" s="159"/>
      <c r="H265" s="159"/>
      <c r="I265" s="159"/>
      <c r="J265" s="159"/>
      <c r="K265" s="159"/>
      <c r="L265" s="159"/>
      <c r="M265" s="159"/>
      <c r="N265" s="135" t="s">
        <v>206</v>
      </c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35" t="s">
        <v>206</v>
      </c>
      <c r="AD265" s="68" t="s">
        <v>207</v>
      </c>
      <c r="AE265" s="176"/>
      <c r="AF265" s="91" t="b">
        <f t="shared" si="8"/>
        <v>0</v>
      </c>
      <c r="AG265" s="91" cm="1">
        <f t="array" ref="AG265">_xlfn.SWITCH(D265,"PTA12",2,"PTD1",2,"PTD0",3,"PTC16",1,"PTD5",1,"PTA5",2,"PTD6",2,"PTE8",2,(LEN(N265)+LEN(N265)-LEN(SUBSTITUTE(N265,"ADC",))-LEN(SUBSTITUTE(N265,"CMP",)))/3)</f>
        <v>0</v>
      </c>
      <c r="AH265" s="180" t="str">
        <f t="shared" si="9"/>
        <v/>
      </c>
    </row>
    <row r="266" spans="1:34" x14ac:dyDescent="0.3">
      <c r="A266" s="218">
        <v>17</v>
      </c>
      <c r="B266" s="135">
        <v>25</v>
      </c>
      <c r="C266" s="135" t="s">
        <v>212</v>
      </c>
      <c r="D266" s="135" t="s">
        <v>213</v>
      </c>
      <c r="E266" s="135" t="s">
        <v>213</v>
      </c>
      <c r="F266" s="159"/>
      <c r="G266" s="159"/>
      <c r="H266" s="159"/>
      <c r="I266" s="159"/>
      <c r="J266" s="159"/>
      <c r="K266" s="159"/>
      <c r="L266" s="159"/>
      <c r="M266" s="159"/>
      <c r="N266" s="135" t="s">
        <v>213</v>
      </c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35" t="s">
        <v>213</v>
      </c>
      <c r="AD266" s="68" t="s">
        <v>210</v>
      </c>
      <c r="AE266" s="176"/>
      <c r="AF266" s="91" t="b">
        <f t="shared" si="8"/>
        <v>0</v>
      </c>
      <c r="AG266" s="91" cm="1">
        <f t="array" ref="AG266">_xlfn.SWITCH(D266,"PTA12",2,"PTD1",2,"PTD0",3,"PTC16",1,"PTD5",1,"PTA5",2,"PTD6",2,"PTE8",2,(LEN(N266)+LEN(N266)-LEN(SUBSTITUTE(N266,"ADC",))-LEN(SUBSTITUTE(N266,"CMP",)))/3)</f>
        <v>0</v>
      </c>
      <c r="AH266" s="180" t="str">
        <f t="shared" si="9"/>
        <v/>
      </c>
    </row>
    <row r="267" spans="1:34" x14ac:dyDescent="0.3">
      <c r="B267" s="91">
        <v>172</v>
      </c>
      <c r="C267" s="91">
        <v>257</v>
      </c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213"/>
      <c r="AE267" s="215"/>
      <c r="AF267" s="216" t="b">
        <f t="shared" si="8"/>
        <v>0</v>
      </c>
      <c r="AG267" s="216" cm="1">
        <f t="array" ref="AG267">_xlfn.SWITCH(D267,"PTA12",2,"PTD1",2,"PTD0",3,"PTC16",1,"PTD5",1,"PTA5",2,"PTD6",2,"PTE8",2,(LEN(N267)+LEN(N267)-LEN(SUBSTITUTE(N267,"ADC",))-LEN(SUBSTITUTE(N267,"CMP",)))/3)</f>
        <v>0</v>
      </c>
      <c r="AH267" s="217" t="str">
        <f t="shared" si="9"/>
        <v/>
      </c>
    </row>
  </sheetData>
  <autoFilter ref="A1:A267" xr:uid="{F248CA1A-4AF2-40B8-83DA-C10DA0D71C58}"/>
  <mergeCells count="2">
    <mergeCell ref="F1:M1"/>
    <mergeCell ref="O1:AB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CF7D-DC0F-48F1-93A2-5D44260BCBED}">
  <sheetPr>
    <tabColor rgb="FF00B050"/>
  </sheetPr>
  <dimension ref="A2:L9"/>
  <sheetViews>
    <sheetView workbookViewId="0">
      <selection activeCell="F6" sqref="F6"/>
    </sheetView>
  </sheetViews>
  <sheetFormatPr defaultRowHeight="14.4" x14ac:dyDescent="0.3"/>
  <cols>
    <col min="2" max="2" width="20.88671875" customWidth="1"/>
    <col min="3" max="3" width="20.6640625" customWidth="1"/>
    <col min="4" max="4" width="22.6640625" customWidth="1"/>
    <col min="5" max="5" width="20.109375" customWidth="1"/>
    <col min="6" max="6" width="22.6640625" customWidth="1"/>
    <col min="7" max="7" width="21.5546875" customWidth="1"/>
    <col min="8" max="8" width="19.88671875" customWidth="1"/>
    <col min="9" max="9" width="22.5546875" customWidth="1"/>
    <col min="10" max="10" width="18.33203125" customWidth="1"/>
    <col min="11" max="11" width="18.44140625" customWidth="1"/>
    <col min="12" max="12" width="18.33203125" customWidth="1"/>
  </cols>
  <sheetData>
    <row r="2" spans="1:12" x14ac:dyDescent="0.3">
      <c r="A2" s="282"/>
      <c r="B2" s="283" t="s">
        <v>2658</v>
      </c>
      <c r="C2" s="283"/>
      <c r="D2" s="283" t="s">
        <v>2659</v>
      </c>
      <c r="E2" s="283"/>
      <c r="F2" s="283" t="s">
        <v>2660</v>
      </c>
      <c r="G2" s="283"/>
      <c r="H2" s="284"/>
      <c r="I2" s="298"/>
      <c r="J2" s="299"/>
      <c r="K2" s="299"/>
      <c r="L2" s="300"/>
    </row>
    <row r="3" spans="1:12" x14ac:dyDescent="0.3">
      <c r="A3" s="282" t="s">
        <v>2661</v>
      </c>
      <c r="B3" s="282" t="s">
        <v>2662</v>
      </c>
      <c r="C3" s="282" t="s">
        <v>2663</v>
      </c>
      <c r="D3" s="282" t="s">
        <v>2664</v>
      </c>
      <c r="E3" s="282" t="s">
        <v>2665</v>
      </c>
      <c r="F3" s="282" t="s">
        <v>2666</v>
      </c>
      <c r="G3" s="282" t="s">
        <v>2667</v>
      </c>
      <c r="H3" s="293" t="s">
        <v>2668</v>
      </c>
      <c r="J3" s="302"/>
      <c r="K3" s="302"/>
      <c r="L3" s="303"/>
    </row>
    <row r="4" spans="1:12" x14ac:dyDescent="0.3">
      <c r="A4" s="282" t="s">
        <v>2669</v>
      </c>
      <c r="B4" s="285" t="s">
        <v>2670</v>
      </c>
      <c r="C4" s="286"/>
      <c r="D4" s="286"/>
      <c r="E4" s="286"/>
      <c r="F4" s="286"/>
      <c r="G4" s="286"/>
      <c r="H4" s="294"/>
      <c r="I4" s="301"/>
      <c r="J4" s="302"/>
      <c r="K4" s="302"/>
      <c r="L4" s="303"/>
    </row>
    <row r="5" spans="1:12" x14ac:dyDescent="0.3">
      <c r="A5" s="282" t="s">
        <v>2671</v>
      </c>
      <c r="B5" s="287"/>
      <c r="C5" s="288" t="s">
        <v>2672</v>
      </c>
      <c r="D5" s="286"/>
      <c r="E5" s="286"/>
      <c r="F5" s="296" t="s">
        <v>2678</v>
      </c>
      <c r="G5" s="296" t="s">
        <v>2679</v>
      </c>
      <c r="H5" s="296" t="s">
        <v>2657</v>
      </c>
      <c r="I5" s="304"/>
      <c r="J5" s="302"/>
      <c r="K5" s="302"/>
      <c r="L5" s="303"/>
    </row>
    <row r="6" spans="1:12" x14ac:dyDescent="0.3">
      <c r="A6" s="282" t="s">
        <v>2537</v>
      </c>
      <c r="B6" s="288" t="s">
        <v>2604</v>
      </c>
      <c r="C6" s="288" t="s">
        <v>2605</v>
      </c>
      <c r="D6" s="289" t="s">
        <v>2607</v>
      </c>
      <c r="E6" s="289" t="s">
        <v>2607</v>
      </c>
      <c r="F6" s="288" t="s">
        <v>2673</v>
      </c>
      <c r="G6" s="287"/>
      <c r="H6" s="287"/>
      <c r="I6" s="304"/>
      <c r="J6" s="302"/>
      <c r="K6" s="302"/>
      <c r="L6" s="303"/>
    </row>
    <row r="7" spans="1:12" x14ac:dyDescent="0.3">
      <c r="A7" s="282" t="s">
        <v>2674</v>
      </c>
      <c r="B7" s="287"/>
      <c r="C7" s="291" t="s">
        <v>2606</v>
      </c>
      <c r="D7" s="290" t="s">
        <v>2608</v>
      </c>
      <c r="E7" s="290" t="s">
        <v>2608</v>
      </c>
      <c r="F7" s="290" t="s">
        <v>3</v>
      </c>
      <c r="G7" s="290" t="s">
        <v>3</v>
      </c>
      <c r="H7" s="296" t="s">
        <v>3</v>
      </c>
      <c r="I7" s="305"/>
      <c r="J7" s="306"/>
      <c r="K7" s="306"/>
      <c r="L7" s="307"/>
    </row>
    <row r="8" spans="1:12" x14ac:dyDescent="0.3">
      <c r="A8" s="282" t="s">
        <v>2675</v>
      </c>
      <c r="B8" s="287"/>
      <c r="C8" s="287"/>
      <c r="D8" s="287"/>
      <c r="E8" s="287"/>
      <c r="F8" s="292" t="s">
        <v>2676</v>
      </c>
      <c r="G8" s="292" t="s">
        <v>2676</v>
      </c>
      <c r="H8" s="297" t="s">
        <v>2676</v>
      </c>
      <c r="J8" s="302"/>
      <c r="K8" s="302"/>
      <c r="L8" s="303"/>
    </row>
    <row r="9" spans="1:12" x14ac:dyDescent="0.3">
      <c r="A9" s="282" t="s">
        <v>2677</v>
      </c>
      <c r="B9" s="287"/>
      <c r="C9" s="287"/>
      <c r="D9" s="287"/>
      <c r="E9" s="287"/>
      <c r="F9" s="287"/>
      <c r="G9" s="287"/>
      <c r="H9" s="295"/>
      <c r="J9" s="308"/>
      <c r="K9" s="308"/>
      <c r="L9" s="309"/>
    </row>
  </sheetData>
  <mergeCells count="4">
    <mergeCell ref="B2:C2"/>
    <mergeCell ref="D2:E2"/>
    <mergeCell ref="F2:H2"/>
    <mergeCell ref="I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441E-4286-4089-9B80-D2562F43262C}">
  <sheetPr>
    <tabColor rgb="FF00B050"/>
  </sheetPr>
  <dimension ref="A1:AE2286"/>
  <sheetViews>
    <sheetView workbookViewId="0">
      <selection activeCell="E15" sqref="E15"/>
    </sheetView>
  </sheetViews>
  <sheetFormatPr defaultColWidth="8.6640625" defaultRowHeight="14.4" x14ac:dyDescent="0.3"/>
  <cols>
    <col min="1" max="1" width="7" style="71" customWidth="1"/>
    <col min="2" max="2" width="15.33203125" style="71" customWidth="1"/>
    <col min="3" max="3" width="11.6640625" style="71" customWidth="1"/>
    <col min="4" max="4" width="28.109375" style="71" customWidth="1"/>
    <col min="5" max="5" width="18.6640625" style="71" customWidth="1"/>
    <col min="6" max="6" width="63.5546875" style="71" customWidth="1"/>
    <col min="7" max="7" width="4.5546875" style="71" customWidth="1"/>
    <col min="8" max="8" width="20.33203125" style="71" bestFit="1" customWidth="1"/>
    <col min="9" max="9" width="4.5546875" customWidth="1"/>
    <col min="10" max="11" width="4.5546875" style="71" customWidth="1"/>
    <col min="12" max="12" width="20" style="71" customWidth="1"/>
    <col min="13" max="13" width="19.109375" style="71" bestFit="1" customWidth="1"/>
    <col min="14" max="14" width="20.44140625" style="71" bestFit="1" customWidth="1"/>
    <col min="15" max="17" width="20.44140625" style="71" customWidth="1"/>
    <col min="18" max="18" width="19.109375" style="71" bestFit="1" customWidth="1"/>
    <col min="19" max="28" width="2.33203125" style="71" customWidth="1"/>
    <col min="29" max="29" width="4.5546875" style="71" customWidth="1"/>
    <col min="30" max="31" width="41.109375" style="71" customWidth="1"/>
    <col min="32" max="16384" width="8.6640625" style="71"/>
  </cols>
  <sheetData>
    <row r="1" spans="1:31" ht="33" customHeight="1" thickTop="1" thickBot="1" x14ac:dyDescent="0.35">
      <c r="A1" s="187"/>
      <c r="B1" s="162"/>
      <c r="C1" s="162"/>
      <c r="D1" s="162"/>
      <c r="E1" s="162"/>
      <c r="F1" s="162"/>
      <c r="G1" s="162"/>
      <c r="H1" s="162"/>
      <c r="I1" s="223"/>
      <c r="J1" s="162"/>
      <c r="K1" s="162"/>
      <c r="L1" s="162"/>
      <c r="M1" s="162"/>
      <c r="N1" s="162"/>
      <c r="O1" s="162"/>
      <c r="P1" s="162"/>
      <c r="Q1" s="162"/>
      <c r="R1" s="162"/>
      <c r="S1" s="271" t="s">
        <v>1</v>
      </c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162"/>
      <c r="AE1" s="188"/>
    </row>
    <row r="2" spans="1:31" ht="95.4" thickBot="1" x14ac:dyDescent="0.35">
      <c r="A2" s="189" t="s">
        <v>1450</v>
      </c>
      <c r="B2" s="190" t="s">
        <v>1451</v>
      </c>
      <c r="C2" s="190" t="s">
        <v>1452</v>
      </c>
      <c r="D2" s="190" t="s">
        <v>1453</v>
      </c>
      <c r="E2" s="190" t="s">
        <v>1454</v>
      </c>
      <c r="F2" s="190" t="s">
        <v>1455</v>
      </c>
      <c r="G2" s="191" t="s">
        <v>1456</v>
      </c>
      <c r="H2" s="190" t="s">
        <v>1457</v>
      </c>
      <c r="I2" s="224" t="s">
        <v>2657</v>
      </c>
      <c r="J2" s="191" t="s">
        <v>4</v>
      </c>
      <c r="K2" s="191" t="s">
        <v>3</v>
      </c>
      <c r="L2" s="190" t="s">
        <v>1458</v>
      </c>
      <c r="M2" s="94" t="s">
        <v>1459</v>
      </c>
      <c r="N2" s="94" t="s">
        <v>1460</v>
      </c>
      <c r="O2" s="94" t="s">
        <v>1461</v>
      </c>
      <c r="P2" s="94" t="s">
        <v>1462</v>
      </c>
      <c r="Q2" s="94" t="s">
        <v>1463</v>
      </c>
      <c r="R2" s="94" t="s">
        <v>1464</v>
      </c>
      <c r="S2" s="191" t="s">
        <v>1465</v>
      </c>
      <c r="T2" s="191" t="s">
        <v>1466</v>
      </c>
      <c r="U2" s="191" t="s">
        <v>1467</v>
      </c>
      <c r="V2" s="191" t="s">
        <v>1468</v>
      </c>
      <c r="W2" s="191" t="s">
        <v>1469</v>
      </c>
      <c r="X2" s="191" t="s">
        <v>1470</v>
      </c>
      <c r="Y2" s="191" t="s">
        <v>1471</v>
      </c>
      <c r="Z2" s="191" t="s">
        <v>1472</v>
      </c>
      <c r="AA2" s="191" t="s">
        <v>1473</v>
      </c>
      <c r="AB2" s="191" t="s">
        <v>1474</v>
      </c>
      <c r="AC2" s="191" t="s">
        <v>1475</v>
      </c>
      <c r="AD2" s="190" t="s">
        <v>1476</v>
      </c>
      <c r="AE2" s="192" t="s">
        <v>1477</v>
      </c>
    </row>
    <row r="3" spans="1:31" ht="15" thickTop="1" x14ac:dyDescent="0.3">
      <c r="A3" s="72" t="s">
        <v>946</v>
      </c>
      <c r="B3" s="73" t="s">
        <v>1478</v>
      </c>
      <c r="C3" s="74" t="s">
        <v>1479</v>
      </c>
      <c r="D3" s="74" t="s">
        <v>947</v>
      </c>
      <c r="E3" s="74" t="s">
        <v>1480</v>
      </c>
      <c r="F3" s="74"/>
      <c r="G3" s="74" t="s">
        <v>1481</v>
      </c>
      <c r="H3" s="73" t="s">
        <v>1482</v>
      </c>
      <c r="I3" s="225">
        <v>79</v>
      </c>
      <c r="J3" s="73" t="s">
        <v>945</v>
      </c>
      <c r="K3" s="73">
        <v>137</v>
      </c>
      <c r="L3" s="73" t="s">
        <v>195</v>
      </c>
      <c r="M3" s="73" t="s">
        <v>1483</v>
      </c>
      <c r="N3" s="73" t="s">
        <v>1483</v>
      </c>
      <c r="O3" s="73" t="s">
        <v>1483</v>
      </c>
      <c r="P3" s="73" t="s">
        <v>1483</v>
      </c>
      <c r="Q3" s="73" t="s">
        <v>1483</v>
      </c>
      <c r="R3" s="73" t="s">
        <v>1483</v>
      </c>
      <c r="S3" s="73" t="s">
        <v>1484</v>
      </c>
      <c r="T3" s="73" t="s">
        <v>1484</v>
      </c>
      <c r="U3" s="73" t="s">
        <v>1484</v>
      </c>
      <c r="V3" s="73" t="s">
        <v>1484</v>
      </c>
      <c r="W3" s="73" t="s">
        <v>1485</v>
      </c>
      <c r="X3" s="73" t="s">
        <v>1484</v>
      </c>
      <c r="Y3" s="73" t="s">
        <v>1484</v>
      </c>
      <c r="Z3" s="73" t="s">
        <v>1485</v>
      </c>
      <c r="AA3" s="73" t="s">
        <v>1485</v>
      </c>
      <c r="AB3" s="73" t="s">
        <v>1484</v>
      </c>
      <c r="AC3" s="73" t="s">
        <v>1486</v>
      </c>
      <c r="AD3" s="73" t="s">
        <v>1487</v>
      </c>
      <c r="AE3" s="75" t="s">
        <v>1488</v>
      </c>
    </row>
    <row r="4" spans="1:31" x14ac:dyDescent="0.3">
      <c r="A4" s="76"/>
      <c r="B4" s="77"/>
      <c r="C4" s="78" t="s">
        <v>1489</v>
      </c>
      <c r="D4" s="78" t="s">
        <v>948</v>
      </c>
      <c r="E4" s="78" t="s">
        <v>1490</v>
      </c>
      <c r="F4" s="78" t="s">
        <v>1491</v>
      </c>
      <c r="G4" s="78" t="s">
        <v>1492</v>
      </c>
      <c r="H4" s="77"/>
      <c r="I4" s="22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9"/>
    </row>
    <row r="5" spans="1:31" x14ac:dyDescent="0.3">
      <c r="A5" s="76"/>
      <c r="B5" s="77"/>
      <c r="C5" s="78" t="s">
        <v>1493</v>
      </c>
      <c r="D5" s="78" t="s">
        <v>105</v>
      </c>
      <c r="E5" s="78" t="s">
        <v>1494</v>
      </c>
      <c r="F5" s="78" t="s">
        <v>1495</v>
      </c>
      <c r="G5" s="78" t="s">
        <v>1492</v>
      </c>
      <c r="H5" s="77"/>
      <c r="I5" s="226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9"/>
    </row>
    <row r="6" spans="1:31" x14ac:dyDescent="0.3">
      <c r="A6" s="76"/>
      <c r="B6" s="77"/>
      <c r="C6" s="78" t="s">
        <v>1496</v>
      </c>
      <c r="D6" s="78" t="s">
        <v>820</v>
      </c>
      <c r="E6" s="78" t="s">
        <v>1497</v>
      </c>
      <c r="F6" s="78" t="s">
        <v>1498</v>
      </c>
      <c r="G6" s="78" t="s">
        <v>1492</v>
      </c>
      <c r="H6" s="77"/>
      <c r="I6" s="226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9"/>
    </row>
    <row r="7" spans="1:31" x14ac:dyDescent="0.3">
      <c r="A7" s="76"/>
      <c r="B7" s="77"/>
      <c r="C7" s="78" t="s">
        <v>1499</v>
      </c>
      <c r="D7" s="78" t="s">
        <v>79</v>
      </c>
      <c r="E7" s="78" t="s">
        <v>1500</v>
      </c>
      <c r="F7" s="78" t="s">
        <v>1501</v>
      </c>
      <c r="G7" s="78" t="s">
        <v>1492</v>
      </c>
      <c r="H7" s="77"/>
      <c r="I7" s="226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9"/>
    </row>
    <row r="8" spans="1:31" x14ac:dyDescent="0.3">
      <c r="A8" s="76"/>
      <c r="B8" s="77"/>
      <c r="C8" s="78" t="s">
        <v>1502</v>
      </c>
      <c r="D8" s="78" t="s">
        <v>25</v>
      </c>
      <c r="E8" s="78" t="s">
        <v>1503</v>
      </c>
      <c r="F8" s="78" t="s">
        <v>1495</v>
      </c>
      <c r="G8" s="78" t="s">
        <v>1492</v>
      </c>
      <c r="H8" s="77"/>
      <c r="I8" s="226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9"/>
    </row>
    <row r="9" spans="1:31" x14ac:dyDescent="0.3">
      <c r="A9" s="76"/>
      <c r="B9" s="77"/>
      <c r="C9" s="78" t="s">
        <v>1504</v>
      </c>
      <c r="D9" s="78" t="s">
        <v>949</v>
      </c>
      <c r="E9" s="78" t="s">
        <v>1505</v>
      </c>
      <c r="F9" s="78" t="s">
        <v>1506</v>
      </c>
      <c r="G9" s="78" t="s">
        <v>1492</v>
      </c>
      <c r="H9" s="77"/>
      <c r="I9" s="226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9"/>
    </row>
    <row r="10" spans="1:31" x14ac:dyDescent="0.3">
      <c r="A10" s="76"/>
      <c r="B10" s="80"/>
      <c r="C10" s="78" t="s">
        <v>1507</v>
      </c>
      <c r="D10" s="78" t="s">
        <v>950</v>
      </c>
      <c r="E10" s="78" t="s">
        <v>1508</v>
      </c>
      <c r="F10" s="78" t="s">
        <v>1509</v>
      </c>
      <c r="G10" s="78" t="s">
        <v>1492</v>
      </c>
      <c r="H10" s="77"/>
      <c r="I10" s="22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9"/>
    </row>
    <row r="11" spans="1:31" x14ac:dyDescent="0.3">
      <c r="A11" s="76"/>
      <c r="B11" s="78" t="s">
        <v>1485</v>
      </c>
      <c r="C11" s="78" t="s">
        <v>1485</v>
      </c>
      <c r="D11" s="78" t="s">
        <v>1510</v>
      </c>
      <c r="E11" s="78" t="s">
        <v>1511</v>
      </c>
      <c r="F11" s="78" t="s">
        <v>1512</v>
      </c>
      <c r="G11" s="78" t="s">
        <v>1513</v>
      </c>
      <c r="H11" s="77"/>
      <c r="I11" s="22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9"/>
    </row>
    <row r="12" spans="1:31" x14ac:dyDescent="0.3">
      <c r="A12" s="76"/>
      <c r="B12" s="78" t="s">
        <v>1485</v>
      </c>
      <c r="C12" s="78" t="s">
        <v>1485</v>
      </c>
      <c r="D12" s="78" t="s">
        <v>1514</v>
      </c>
      <c r="E12" s="78" t="s">
        <v>1515</v>
      </c>
      <c r="F12" s="78" t="s">
        <v>1516</v>
      </c>
      <c r="G12" s="78" t="s">
        <v>1513</v>
      </c>
      <c r="H12" s="77"/>
      <c r="I12" s="22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9"/>
    </row>
    <row r="13" spans="1:31" x14ac:dyDescent="0.3">
      <c r="A13" s="76"/>
      <c r="B13" s="78" t="s">
        <v>1517</v>
      </c>
      <c r="C13" s="78" t="s">
        <v>1489</v>
      </c>
      <c r="D13" s="78" t="s">
        <v>31</v>
      </c>
      <c r="E13" s="78" t="s">
        <v>1480</v>
      </c>
      <c r="F13" s="78" t="s">
        <v>1518</v>
      </c>
      <c r="G13" s="78" t="s">
        <v>1513</v>
      </c>
      <c r="H13" s="77"/>
      <c r="I13" s="22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9"/>
    </row>
    <row r="14" spans="1:31" x14ac:dyDescent="0.3">
      <c r="A14" s="76"/>
      <c r="B14" s="78" t="s">
        <v>1519</v>
      </c>
      <c r="C14" s="78" t="s">
        <v>1493</v>
      </c>
      <c r="D14" s="78" t="s">
        <v>105</v>
      </c>
      <c r="E14" s="78" t="s">
        <v>1494</v>
      </c>
      <c r="F14" s="78" t="s">
        <v>1518</v>
      </c>
      <c r="G14" s="78" t="s">
        <v>1513</v>
      </c>
      <c r="H14" s="77"/>
      <c r="I14" s="22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9"/>
    </row>
    <row r="15" spans="1:31" x14ac:dyDescent="0.3">
      <c r="A15" s="76"/>
      <c r="B15" s="78" t="s">
        <v>1520</v>
      </c>
      <c r="C15" s="78" t="s">
        <v>1496</v>
      </c>
      <c r="D15" s="78" t="s">
        <v>25</v>
      </c>
      <c r="E15" s="78" t="s">
        <v>1503</v>
      </c>
      <c r="F15" s="78" t="s">
        <v>1495</v>
      </c>
      <c r="G15" s="78" t="s">
        <v>1513</v>
      </c>
      <c r="H15" s="77"/>
      <c r="I15" s="22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9"/>
    </row>
    <row r="16" spans="1:31" x14ac:dyDescent="0.3">
      <c r="A16" s="76"/>
      <c r="B16" s="78" t="s">
        <v>1521</v>
      </c>
      <c r="C16" s="78" t="s">
        <v>1493</v>
      </c>
      <c r="D16" s="78" t="s">
        <v>79</v>
      </c>
      <c r="E16" s="78" t="s">
        <v>1500</v>
      </c>
      <c r="F16" s="78" t="s">
        <v>1501</v>
      </c>
      <c r="G16" s="78" t="s">
        <v>1513</v>
      </c>
      <c r="H16" s="77"/>
      <c r="I16" s="22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9"/>
    </row>
    <row r="17" spans="1:31" x14ac:dyDescent="0.3">
      <c r="A17" s="76"/>
      <c r="B17" s="78" t="s">
        <v>1522</v>
      </c>
      <c r="C17" s="78" t="s">
        <v>1489</v>
      </c>
      <c r="D17" s="78" t="s">
        <v>949</v>
      </c>
      <c r="E17" s="78" t="s">
        <v>1505</v>
      </c>
      <c r="F17" s="78" t="s">
        <v>1506</v>
      </c>
      <c r="G17" s="78" t="s">
        <v>1513</v>
      </c>
      <c r="H17" s="77"/>
      <c r="I17" s="22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9"/>
    </row>
    <row r="18" spans="1:31" x14ac:dyDescent="0.3">
      <c r="A18" s="76"/>
      <c r="B18" s="78" t="s">
        <v>1523</v>
      </c>
      <c r="C18" s="78" t="s">
        <v>1489</v>
      </c>
      <c r="D18" s="78" t="s">
        <v>948</v>
      </c>
      <c r="E18" s="78" t="s">
        <v>1490</v>
      </c>
      <c r="F18" s="78" t="s">
        <v>1491</v>
      </c>
      <c r="G18" s="78" t="s">
        <v>1513</v>
      </c>
      <c r="H18" s="77"/>
      <c r="I18" s="226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9"/>
    </row>
    <row r="19" spans="1:31" ht="15" thickBot="1" x14ac:dyDescent="0.35">
      <c r="A19" s="81"/>
      <c r="B19" s="82" t="s">
        <v>1524</v>
      </c>
      <c r="C19" s="82" t="s">
        <v>1489</v>
      </c>
      <c r="D19" s="82" t="s">
        <v>742</v>
      </c>
      <c r="E19" s="82" t="s">
        <v>1525</v>
      </c>
      <c r="F19" s="82" t="s">
        <v>1526</v>
      </c>
      <c r="G19" s="82" t="s">
        <v>1513</v>
      </c>
      <c r="H19" s="83"/>
      <c r="I19" s="227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4"/>
    </row>
    <row r="20" spans="1:31" x14ac:dyDescent="0.3">
      <c r="A20" s="72" t="s">
        <v>933</v>
      </c>
      <c r="B20" s="73" t="s">
        <v>1527</v>
      </c>
      <c r="C20" s="74" t="s">
        <v>1479</v>
      </c>
      <c r="D20" s="74" t="s">
        <v>934</v>
      </c>
      <c r="E20" s="74" t="s">
        <v>1480</v>
      </c>
      <c r="F20" s="74"/>
      <c r="G20" s="74" t="s">
        <v>1481</v>
      </c>
      <c r="H20" s="73" t="s">
        <v>1482</v>
      </c>
      <c r="I20" s="225">
        <v>78</v>
      </c>
      <c r="J20" s="73" t="s">
        <v>932</v>
      </c>
      <c r="K20" s="73">
        <v>135</v>
      </c>
      <c r="L20" s="73" t="s">
        <v>195</v>
      </c>
      <c r="M20" s="73" t="s">
        <v>1483</v>
      </c>
      <c r="N20" s="73" t="s">
        <v>1483</v>
      </c>
      <c r="O20" s="73" t="s">
        <v>1483</v>
      </c>
      <c r="P20" s="73" t="s">
        <v>1483</v>
      </c>
      <c r="Q20" s="73" t="s">
        <v>1483</v>
      </c>
      <c r="R20" s="73" t="s">
        <v>1483</v>
      </c>
      <c r="S20" s="73" t="s">
        <v>1484</v>
      </c>
      <c r="T20" s="73" t="s">
        <v>1484</v>
      </c>
      <c r="U20" s="73" t="s">
        <v>1484</v>
      </c>
      <c r="V20" s="73" t="s">
        <v>1484</v>
      </c>
      <c r="W20" s="73" t="s">
        <v>1485</v>
      </c>
      <c r="X20" s="73" t="s">
        <v>1484</v>
      </c>
      <c r="Y20" s="73" t="s">
        <v>1484</v>
      </c>
      <c r="Z20" s="73" t="s">
        <v>1485</v>
      </c>
      <c r="AA20" s="73" t="s">
        <v>1485</v>
      </c>
      <c r="AB20" s="73" t="s">
        <v>1484</v>
      </c>
      <c r="AC20" s="73" t="s">
        <v>1486</v>
      </c>
      <c r="AD20" s="73" t="s">
        <v>1487</v>
      </c>
      <c r="AE20" s="75" t="s">
        <v>1488</v>
      </c>
    </row>
    <row r="21" spans="1:31" x14ac:dyDescent="0.3">
      <c r="A21" s="76"/>
      <c r="B21" s="77"/>
      <c r="C21" s="78" t="s">
        <v>1489</v>
      </c>
      <c r="D21" s="78" t="s">
        <v>681</v>
      </c>
      <c r="E21" s="78" t="s">
        <v>1490</v>
      </c>
      <c r="F21" s="78" t="s">
        <v>1528</v>
      </c>
      <c r="G21" s="78" t="s">
        <v>1492</v>
      </c>
      <c r="H21" s="77"/>
      <c r="I21" s="226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9"/>
    </row>
    <row r="22" spans="1:31" x14ac:dyDescent="0.3">
      <c r="A22" s="76"/>
      <c r="B22" s="77"/>
      <c r="C22" s="78" t="s">
        <v>1493</v>
      </c>
      <c r="D22" s="78" t="s">
        <v>580</v>
      </c>
      <c r="E22" s="78" t="s">
        <v>1494</v>
      </c>
      <c r="F22" s="78" t="s">
        <v>1495</v>
      </c>
      <c r="G22" s="78" t="s">
        <v>1492</v>
      </c>
      <c r="H22" s="77"/>
      <c r="I22" s="226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9"/>
    </row>
    <row r="23" spans="1:31" x14ac:dyDescent="0.3">
      <c r="A23" s="76"/>
      <c r="B23" s="77"/>
      <c r="C23" s="78" t="s">
        <v>1496</v>
      </c>
      <c r="D23" s="78" t="s">
        <v>735</v>
      </c>
      <c r="E23" s="78" t="s">
        <v>1525</v>
      </c>
      <c r="F23" s="78" t="s">
        <v>1529</v>
      </c>
      <c r="G23" s="78" t="s">
        <v>1492</v>
      </c>
      <c r="H23" s="77"/>
      <c r="I23" s="226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9"/>
    </row>
    <row r="24" spans="1:31" x14ac:dyDescent="0.3">
      <c r="A24" s="76"/>
      <c r="B24" s="77"/>
      <c r="C24" s="78" t="s">
        <v>1499</v>
      </c>
      <c r="D24" s="78" t="s">
        <v>65</v>
      </c>
      <c r="E24" s="78" t="s">
        <v>1500</v>
      </c>
      <c r="F24" s="78" t="s">
        <v>1501</v>
      </c>
      <c r="G24" s="78" t="s">
        <v>1492</v>
      </c>
      <c r="H24" s="77"/>
      <c r="I24" s="226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9"/>
    </row>
    <row r="25" spans="1:31" x14ac:dyDescent="0.3">
      <c r="A25" s="76"/>
      <c r="B25" s="77"/>
      <c r="C25" s="78" t="s">
        <v>1502</v>
      </c>
      <c r="D25" s="78" t="s">
        <v>839</v>
      </c>
      <c r="E25" s="78" t="s">
        <v>1497</v>
      </c>
      <c r="F25" s="78" t="s">
        <v>1498</v>
      </c>
      <c r="G25" s="78" t="s">
        <v>1492</v>
      </c>
      <c r="H25" s="77"/>
      <c r="I25" s="226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9"/>
    </row>
    <row r="26" spans="1:31" x14ac:dyDescent="0.3">
      <c r="A26" s="76"/>
      <c r="B26" s="77"/>
      <c r="C26" s="78" t="s">
        <v>1504</v>
      </c>
      <c r="D26" s="78" t="s">
        <v>935</v>
      </c>
      <c r="E26" s="78" t="s">
        <v>1505</v>
      </c>
      <c r="F26" s="78" t="s">
        <v>1530</v>
      </c>
      <c r="G26" s="78" t="s">
        <v>1492</v>
      </c>
      <c r="H26" s="77"/>
      <c r="I26" s="226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9"/>
    </row>
    <row r="27" spans="1:31" x14ac:dyDescent="0.3">
      <c r="A27" s="76"/>
      <c r="B27" s="80"/>
      <c r="C27" s="78" t="s">
        <v>1507</v>
      </c>
      <c r="D27" s="78" t="s">
        <v>936</v>
      </c>
      <c r="E27" s="78" t="s">
        <v>1508</v>
      </c>
      <c r="F27" s="78" t="s">
        <v>1509</v>
      </c>
      <c r="G27" s="78" t="s">
        <v>1492</v>
      </c>
      <c r="H27" s="77"/>
      <c r="I27" s="226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9"/>
    </row>
    <row r="28" spans="1:31" x14ac:dyDescent="0.3">
      <c r="A28" s="76"/>
      <c r="B28" s="78" t="s">
        <v>1485</v>
      </c>
      <c r="C28" s="78" t="s">
        <v>1485</v>
      </c>
      <c r="D28" s="78" t="s">
        <v>1531</v>
      </c>
      <c r="E28" s="78" t="s">
        <v>1511</v>
      </c>
      <c r="F28" s="78" t="s">
        <v>1512</v>
      </c>
      <c r="G28" s="78" t="s">
        <v>1513</v>
      </c>
      <c r="H28" s="77"/>
      <c r="I28" s="226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9"/>
    </row>
    <row r="29" spans="1:31" x14ac:dyDescent="0.3">
      <c r="A29" s="76"/>
      <c r="B29" s="78" t="s">
        <v>1485</v>
      </c>
      <c r="C29" s="78" t="s">
        <v>1485</v>
      </c>
      <c r="D29" s="78" t="s">
        <v>1532</v>
      </c>
      <c r="E29" s="78" t="s">
        <v>1515</v>
      </c>
      <c r="F29" s="78" t="s">
        <v>1516</v>
      </c>
      <c r="G29" s="78" t="s">
        <v>1513</v>
      </c>
      <c r="H29" s="77"/>
      <c r="I29" s="226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9"/>
    </row>
    <row r="30" spans="1:31" x14ac:dyDescent="0.3">
      <c r="A30" s="76"/>
      <c r="B30" s="78" t="s">
        <v>1485</v>
      </c>
      <c r="C30" s="78" t="s">
        <v>1485</v>
      </c>
      <c r="D30" s="78" t="s">
        <v>1533</v>
      </c>
      <c r="E30" s="78" t="s">
        <v>1534</v>
      </c>
      <c r="F30" s="78" t="s">
        <v>1535</v>
      </c>
      <c r="G30" s="78" t="s">
        <v>1513</v>
      </c>
      <c r="H30" s="77"/>
      <c r="I30" s="226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9"/>
    </row>
    <row r="31" spans="1:31" x14ac:dyDescent="0.3">
      <c r="A31" s="76"/>
      <c r="B31" s="78" t="s">
        <v>1536</v>
      </c>
      <c r="C31" s="78" t="s">
        <v>1489</v>
      </c>
      <c r="D31" s="78" t="s">
        <v>43</v>
      </c>
      <c r="E31" s="78" t="s">
        <v>1480</v>
      </c>
      <c r="F31" s="78" t="s">
        <v>1518</v>
      </c>
      <c r="G31" s="78" t="s">
        <v>1513</v>
      </c>
      <c r="H31" s="77"/>
      <c r="I31" s="226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9"/>
    </row>
    <row r="32" spans="1:31" x14ac:dyDescent="0.3">
      <c r="A32" s="76"/>
      <c r="B32" s="78" t="s">
        <v>1537</v>
      </c>
      <c r="C32" s="78" t="s">
        <v>1489</v>
      </c>
      <c r="D32" s="78" t="s">
        <v>580</v>
      </c>
      <c r="E32" s="78" t="s">
        <v>1494</v>
      </c>
      <c r="F32" s="78" t="s">
        <v>1495</v>
      </c>
      <c r="G32" s="78" t="s">
        <v>1513</v>
      </c>
      <c r="H32" s="77"/>
      <c r="I32" s="226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9"/>
    </row>
    <row r="33" spans="1:31" x14ac:dyDescent="0.3">
      <c r="A33" s="76"/>
      <c r="B33" s="78" t="s">
        <v>1538</v>
      </c>
      <c r="C33" s="78" t="s">
        <v>1489</v>
      </c>
      <c r="D33" s="78" t="s">
        <v>65</v>
      </c>
      <c r="E33" s="78" t="s">
        <v>1500</v>
      </c>
      <c r="F33" s="78" t="s">
        <v>1501</v>
      </c>
      <c r="G33" s="78" t="s">
        <v>1513</v>
      </c>
      <c r="H33" s="77"/>
      <c r="I33" s="226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9"/>
    </row>
    <row r="34" spans="1:31" x14ac:dyDescent="0.3">
      <c r="A34" s="76"/>
      <c r="B34" s="78" t="s">
        <v>1539</v>
      </c>
      <c r="C34" s="78" t="s">
        <v>1489</v>
      </c>
      <c r="D34" s="78" t="s">
        <v>935</v>
      </c>
      <c r="E34" s="78" t="s">
        <v>1505</v>
      </c>
      <c r="F34" s="78" t="s">
        <v>1530</v>
      </c>
      <c r="G34" s="78" t="s">
        <v>1513</v>
      </c>
      <c r="H34" s="77"/>
      <c r="I34" s="226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9"/>
    </row>
    <row r="35" spans="1:31" ht="15" thickBot="1" x14ac:dyDescent="0.35">
      <c r="A35" s="81"/>
      <c r="B35" s="82" t="s">
        <v>1540</v>
      </c>
      <c r="C35" s="82" t="s">
        <v>1489</v>
      </c>
      <c r="D35" s="82" t="s">
        <v>681</v>
      </c>
      <c r="E35" s="82" t="s">
        <v>1490</v>
      </c>
      <c r="F35" s="82" t="s">
        <v>1528</v>
      </c>
      <c r="G35" s="82" t="s">
        <v>1513</v>
      </c>
      <c r="H35" s="83"/>
      <c r="I35" s="227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4"/>
    </row>
    <row r="36" spans="1:31" x14ac:dyDescent="0.3">
      <c r="A36" s="72" t="s">
        <v>877</v>
      </c>
      <c r="B36" s="73" t="s">
        <v>1541</v>
      </c>
      <c r="C36" s="74" t="s">
        <v>1479</v>
      </c>
      <c r="D36" s="74" t="s">
        <v>878</v>
      </c>
      <c r="E36" s="74" t="s">
        <v>1480</v>
      </c>
      <c r="F36" s="74"/>
      <c r="G36" s="74" t="s">
        <v>1481</v>
      </c>
      <c r="H36" s="73" t="s">
        <v>1482</v>
      </c>
      <c r="I36" s="225">
        <v>73</v>
      </c>
      <c r="J36" s="73" t="s">
        <v>876</v>
      </c>
      <c r="K36" s="73">
        <v>124</v>
      </c>
      <c r="L36" s="73" t="s">
        <v>195</v>
      </c>
      <c r="M36" s="73" t="s">
        <v>1483</v>
      </c>
      <c r="N36" s="73" t="s">
        <v>1483</v>
      </c>
      <c r="O36" s="73" t="s">
        <v>1542</v>
      </c>
      <c r="P36" s="73" t="s">
        <v>1542</v>
      </c>
      <c r="Q36" s="73" t="s">
        <v>1542</v>
      </c>
      <c r="R36" s="73" t="s">
        <v>1542</v>
      </c>
      <c r="S36" s="73" t="s">
        <v>1484</v>
      </c>
      <c r="T36" s="73" t="s">
        <v>1484</v>
      </c>
      <c r="U36" s="73" t="s">
        <v>1484</v>
      </c>
      <c r="V36" s="73" t="s">
        <v>1484</v>
      </c>
      <c r="W36" s="73" t="s">
        <v>1485</v>
      </c>
      <c r="X36" s="73" t="s">
        <v>1484</v>
      </c>
      <c r="Y36" s="73" t="s">
        <v>1484</v>
      </c>
      <c r="Z36" s="73" t="s">
        <v>1485</v>
      </c>
      <c r="AA36" s="73" t="s">
        <v>1485</v>
      </c>
      <c r="AB36" s="73" t="s">
        <v>1484</v>
      </c>
      <c r="AC36" s="73" t="s">
        <v>1486</v>
      </c>
      <c r="AD36" s="73" t="s">
        <v>1487</v>
      </c>
      <c r="AE36" s="75" t="s">
        <v>1488</v>
      </c>
    </row>
    <row r="37" spans="1:31" x14ac:dyDescent="0.3">
      <c r="A37" s="76"/>
      <c r="B37" s="77"/>
      <c r="C37" s="78" t="s">
        <v>1489</v>
      </c>
      <c r="D37" s="78" t="s">
        <v>75</v>
      </c>
      <c r="E37" s="78" t="s">
        <v>1543</v>
      </c>
      <c r="F37" s="78" t="s">
        <v>1544</v>
      </c>
      <c r="G37" s="78" t="s">
        <v>1492</v>
      </c>
      <c r="H37" s="77"/>
      <c r="I37" s="226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9"/>
    </row>
    <row r="38" spans="1:31" x14ac:dyDescent="0.3">
      <c r="A38" s="76"/>
      <c r="B38" s="77"/>
      <c r="C38" s="78" t="s">
        <v>1493</v>
      </c>
      <c r="D38" s="78" t="s">
        <v>537</v>
      </c>
      <c r="E38" s="78" t="s">
        <v>1503</v>
      </c>
      <c r="F38" s="78" t="s">
        <v>1495</v>
      </c>
      <c r="G38" s="78" t="s">
        <v>1492</v>
      </c>
      <c r="H38" s="77"/>
      <c r="I38" s="226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9"/>
    </row>
    <row r="39" spans="1:31" x14ac:dyDescent="0.3">
      <c r="A39" s="76"/>
      <c r="B39" s="77"/>
      <c r="C39" s="78" t="s">
        <v>1502</v>
      </c>
      <c r="D39" s="78" t="s">
        <v>142</v>
      </c>
      <c r="E39" s="78" t="s">
        <v>1500</v>
      </c>
      <c r="F39" s="78" t="s">
        <v>1501</v>
      </c>
      <c r="G39" s="78" t="s">
        <v>1492</v>
      </c>
      <c r="H39" s="77"/>
      <c r="I39" s="226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9"/>
    </row>
    <row r="40" spans="1:31" x14ac:dyDescent="0.3">
      <c r="A40" s="76"/>
      <c r="B40" s="77"/>
      <c r="C40" s="78" t="s">
        <v>1504</v>
      </c>
      <c r="D40" s="78" t="s">
        <v>826</v>
      </c>
      <c r="E40" s="78" t="s">
        <v>1497</v>
      </c>
      <c r="F40" s="78" t="s">
        <v>1498</v>
      </c>
      <c r="G40" s="78" t="s">
        <v>1492</v>
      </c>
      <c r="H40" s="77"/>
      <c r="I40" s="226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9"/>
    </row>
    <row r="41" spans="1:31" x14ac:dyDescent="0.3">
      <c r="A41" s="76"/>
      <c r="B41" s="80"/>
      <c r="C41" s="78" t="s">
        <v>1507</v>
      </c>
      <c r="D41" s="78" t="s">
        <v>340</v>
      </c>
      <c r="E41" s="78" t="s">
        <v>1545</v>
      </c>
      <c r="F41" s="78" t="s">
        <v>1546</v>
      </c>
      <c r="G41" s="78" t="s">
        <v>1492</v>
      </c>
      <c r="H41" s="77"/>
      <c r="I41" s="22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9"/>
    </row>
    <row r="42" spans="1:31" x14ac:dyDescent="0.3">
      <c r="A42" s="76"/>
      <c r="B42" s="78" t="s">
        <v>1485</v>
      </c>
      <c r="C42" s="78" t="s">
        <v>1485</v>
      </c>
      <c r="D42" s="78" t="s">
        <v>1547</v>
      </c>
      <c r="E42" s="78" t="s">
        <v>1548</v>
      </c>
      <c r="F42" s="78" t="s">
        <v>1549</v>
      </c>
      <c r="G42" s="78" t="s">
        <v>1513</v>
      </c>
      <c r="H42" s="77"/>
      <c r="I42" s="226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9"/>
    </row>
    <row r="43" spans="1:31" x14ac:dyDescent="0.3">
      <c r="A43" s="76"/>
      <c r="B43" s="78" t="s">
        <v>1485</v>
      </c>
      <c r="C43" s="78" t="s">
        <v>1485</v>
      </c>
      <c r="D43" s="78" t="s">
        <v>1550</v>
      </c>
      <c r="E43" s="78" t="s">
        <v>1534</v>
      </c>
      <c r="F43" s="78" t="s">
        <v>1535</v>
      </c>
      <c r="G43" s="78" t="s">
        <v>1513</v>
      </c>
      <c r="H43" s="77"/>
      <c r="I43" s="226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9"/>
    </row>
    <row r="44" spans="1:31" x14ac:dyDescent="0.3">
      <c r="A44" s="76"/>
      <c r="B44" s="78" t="s">
        <v>1485</v>
      </c>
      <c r="C44" s="78" t="s">
        <v>1485</v>
      </c>
      <c r="D44" s="78" t="s">
        <v>1551</v>
      </c>
      <c r="E44" s="78" t="s">
        <v>1515</v>
      </c>
      <c r="F44" s="78" t="s">
        <v>1516</v>
      </c>
      <c r="G44" s="78" t="s">
        <v>1513</v>
      </c>
      <c r="H44" s="77"/>
      <c r="I44" s="226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9"/>
    </row>
    <row r="45" spans="1:31" x14ac:dyDescent="0.3">
      <c r="A45" s="76"/>
      <c r="B45" s="78" t="s">
        <v>1552</v>
      </c>
      <c r="C45" s="78" t="s">
        <v>1489</v>
      </c>
      <c r="D45" s="78" t="s">
        <v>54</v>
      </c>
      <c r="E45" s="78" t="s">
        <v>1480</v>
      </c>
      <c r="F45" s="78" t="s">
        <v>1518</v>
      </c>
      <c r="G45" s="78" t="s">
        <v>1513</v>
      </c>
      <c r="H45" s="77"/>
      <c r="I45" s="226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9"/>
    </row>
    <row r="46" spans="1:31" x14ac:dyDescent="0.3">
      <c r="A46" s="76"/>
      <c r="B46" s="78" t="s">
        <v>1553</v>
      </c>
      <c r="C46" s="78" t="s">
        <v>1499</v>
      </c>
      <c r="D46" s="78" t="s">
        <v>537</v>
      </c>
      <c r="E46" s="78" t="s">
        <v>1503</v>
      </c>
      <c r="F46" s="78" t="s">
        <v>1495</v>
      </c>
      <c r="G46" s="78" t="s">
        <v>1513</v>
      </c>
      <c r="H46" s="77"/>
      <c r="I46" s="226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9"/>
    </row>
    <row r="47" spans="1:31" x14ac:dyDescent="0.3">
      <c r="A47" s="76"/>
      <c r="B47" s="78" t="s">
        <v>1554</v>
      </c>
      <c r="C47" s="78" t="s">
        <v>1489</v>
      </c>
      <c r="D47" s="78" t="s">
        <v>83</v>
      </c>
      <c r="E47" s="78" t="s">
        <v>1543</v>
      </c>
      <c r="F47" s="78" t="s">
        <v>1555</v>
      </c>
      <c r="G47" s="78" t="s">
        <v>1513</v>
      </c>
      <c r="H47" s="77"/>
      <c r="I47" s="226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9"/>
    </row>
    <row r="48" spans="1:31" x14ac:dyDescent="0.3">
      <c r="A48" s="76"/>
      <c r="B48" s="78" t="s">
        <v>1556</v>
      </c>
      <c r="C48" s="78" t="s">
        <v>1496</v>
      </c>
      <c r="D48" s="78" t="s">
        <v>142</v>
      </c>
      <c r="E48" s="78" t="s">
        <v>1500</v>
      </c>
      <c r="F48" s="78" t="s">
        <v>1501</v>
      </c>
      <c r="G48" s="78" t="s">
        <v>1513</v>
      </c>
      <c r="H48" s="77"/>
      <c r="I48" s="226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9"/>
    </row>
    <row r="49" spans="1:31" x14ac:dyDescent="0.3">
      <c r="A49" s="76"/>
      <c r="B49" s="78" t="s">
        <v>1557</v>
      </c>
      <c r="C49" s="78" t="s">
        <v>1489</v>
      </c>
      <c r="D49" s="78" t="s">
        <v>256</v>
      </c>
      <c r="E49" s="78" t="s">
        <v>1525</v>
      </c>
      <c r="F49" s="78" t="s">
        <v>1558</v>
      </c>
      <c r="G49" s="78" t="s">
        <v>1513</v>
      </c>
      <c r="H49" s="77"/>
      <c r="I49" s="226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9"/>
    </row>
    <row r="50" spans="1:31" x14ac:dyDescent="0.3">
      <c r="A50" s="76"/>
      <c r="B50" s="78" t="s">
        <v>1559</v>
      </c>
      <c r="C50" s="78" t="s">
        <v>1493</v>
      </c>
      <c r="D50" s="78" t="s">
        <v>51</v>
      </c>
      <c r="E50" s="78" t="s">
        <v>1560</v>
      </c>
      <c r="F50" s="78" t="s">
        <v>1546</v>
      </c>
      <c r="G50" s="78" t="s">
        <v>1513</v>
      </c>
      <c r="H50" s="77"/>
      <c r="I50" s="226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9"/>
    </row>
    <row r="51" spans="1:31" ht="15" thickBot="1" x14ac:dyDescent="0.35">
      <c r="A51" s="81"/>
      <c r="B51" s="82" t="s">
        <v>1561</v>
      </c>
      <c r="C51" s="82" t="s">
        <v>1493</v>
      </c>
      <c r="D51" s="82" t="s">
        <v>340</v>
      </c>
      <c r="E51" s="82" t="s">
        <v>1545</v>
      </c>
      <c r="F51" s="82" t="s">
        <v>1546</v>
      </c>
      <c r="G51" s="82" t="s">
        <v>1513</v>
      </c>
      <c r="H51" s="83"/>
      <c r="I51" s="227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4"/>
    </row>
    <row r="52" spans="1:31" x14ac:dyDescent="0.3">
      <c r="A52" s="72" t="s">
        <v>871</v>
      </c>
      <c r="B52" s="73" t="s">
        <v>1562</v>
      </c>
      <c r="C52" s="74" t="s">
        <v>1479</v>
      </c>
      <c r="D52" s="74" t="s">
        <v>872</v>
      </c>
      <c r="E52" s="74" t="s">
        <v>1480</v>
      </c>
      <c r="F52" s="74"/>
      <c r="G52" s="74" t="s">
        <v>1481</v>
      </c>
      <c r="H52" s="73" t="s">
        <v>1482</v>
      </c>
      <c r="I52" s="225">
        <v>72</v>
      </c>
      <c r="J52" s="73" t="s">
        <v>870</v>
      </c>
      <c r="K52" s="73">
        <v>123</v>
      </c>
      <c r="L52" s="73" t="s">
        <v>195</v>
      </c>
      <c r="M52" s="73" t="s">
        <v>1483</v>
      </c>
      <c r="N52" s="73" t="s">
        <v>1483</v>
      </c>
      <c r="O52" s="73" t="s">
        <v>1542</v>
      </c>
      <c r="P52" s="73" t="s">
        <v>1542</v>
      </c>
      <c r="Q52" s="73" t="s">
        <v>1542</v>
      </c>
      <c r="R52" s="73" t="s">
        <v>1542</v>
      </c>
      <c r="S52" s="73" t="s">
        <v>1484</v>
      </c>
      <c r="T52" s="73" t="s">
        <v>1484</v>
      </c>
      <c r="U52" s="73" t="s">
        <v>1484</v>
      </c>
      <c r="V52" s="73" t="s">
        <v>1484</v>
      </c>
      <c r="W52" s="73" t="s">
        <v>1485</v>
      </c>
      <c r="X52" s="73" t="s">
        <v>1484</v>
      </c>
      <c r="Y52" s="73" t="s">
        <v>1484</v>
      </c>
      <c r="Z52" s="73" t="s">
        <v>1485</v>
      </c>
      <c r="AA52" s="73" t="s">
        <v>1485</v>
      </c>
      <c r="AB52" s="73" t="s">
        <v>1484</v>
      </c>
      <c r="AC52" s="73" t="s">
        <v>1486</v>
      </c>
      <c r="AD52" s="73" t="s">
        <v>1487</v>
      </c>
      <c r="AE52" s="75" t="s">
        <v>1488</v>
      </c>
    </row>
    <row r="53" spans="1:31" x14ac:dyDescent="0.3">
      <c r="A53" s="76"/>
      <c r="B53" s="77"/>
      <c r="C53" s="78" t="s">
        <v>1489</v>
      </c>
      <c r="D53" s="78" t="s">
        <v>60</v>
      </c>
      <c r="E53" s="78" t="s">
        <v>1543</v>
      </c>
      <c r="F53" s="78" t="s">
        <v>1563</v>
      </c>
      <c r="G53" s="78" t="s">
        <v>1492</v>
      </c>
      <c r="H53" s="77"/>
      <c r="I53" s="226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9"/>
    </row>
    <row r="54" spans="1:31" x14ac:dyDescent="0.3">
      <c r="A54" s="76"/>
      <c r="B54" s="77"/>
      <c r="C54" s="78" t="s">
        <v>1493</v>
      </c>
      <c r="D54" s="78" t="s">
        <v>548</v>
      </c>
      <c r="E54" s="78" t="s">
        <v>1503</v>
      </c>
      <c r="F54" s="78" t="s">
        <v>1495</v>
      </c>
      <c r="G54" s="78" t="s">
        <v>1492</v>
      </c>
      <c r="H54" s="77"/>
      <c r="I54" s="226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9"/>
    </row>
    <row r="55" spans="1:31" x14ac:dyDescent="0.3">
      <c r="A55" s="76"/>
      <c r="B55" s="77"/>
      <c r="C55" s="78" t="s">
        <v>1496</v>
      </c>
      <c r="D55" s="78" t="s">
        <v>40</v>
      </c>
      <c r="E55" s="78" t="s">
        <v>1560</v>
      </c>
      <c r="F55" s="78" t="s">
        <v>1564</v>
      </c>
      <c r="G55" s="78" t="s">
        <v>1492</v>
      </c>
      <c r="H55" s="77"/>
      <c r="I55" s="226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9"/>
    </row>
    <row r="56" spans="1:31" x14ac:dyDescent="0.3">
      <c r="A56" s="76"/>
      <c r="B56" s="77"/>
      <c r="C56" s="78" t="s">
        <v>1499</v>
      </c>
      <c r="D56" s="78" t="s">
        <v>832</v>
      </c>
      <c r="E56" s="78" t="s">
        <v>1497</v>
      </c>
      <c r="F56" s="78" t="s">
        <v>1498</v>
      </c>
      <c r="G56" s="78" t="s">
        <v>1492</v>
      </c>
      <c r="H56" s="77"/>
      <c r="I56" s="226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9"/>
    </row>
    <row r="57" spans="1:31" x14ac:dyDescent="0.3">
      <c r="A57" s="76"/>
      <c r="B57" s="77"/>
      <c r="C57" s="78" t="s">
        <v>1502</v>
      </c>
      <c r="D57" s="78" t="s">
        <v>130</v>
      </c>
      <c r="E57" s="78" t="s">
        <v>1500</v>
      </c>
      <c r="F57" s="78" t="s">
        <v>1501</v>
      </c>
      <c r="G57" s="78" t="s">
        <v>1492</v>
      </c>
      <c r="H57" s="77"/>
      <c r="I57" s="226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9"/>
    </row>
    <row r="58" spans="1:31" x14ac:dyDescent="0.3">
      <c r="A58" s="76"/>
      <c r="B58" s="77"/>
      <c r="C58" s="78" t="s">
        <v>1504</v>
      </c>
      <c r="D58" s="78" t="s">
        <v>236</v>
      </c>
      <c r="E58" s="78" t="s">
        <v>1525</v>
      </c>
      <c r="F58" s="78" t="s">
        <v>1565</v>
      </c>
      <c r="G58" s="78" t="s">
        <v>1492</v>
      </c>
      <c r="H58" s="77"/>
      <c r="I58" s="226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9"/>
    </row>
    <row r="59" spans="1:31" x14ac:dyDescent="0.3">
      <c r="A59" s="76"/>
      <c r="B59" s="80"/>
      <c r="C59" s="78" t="s">
        <v>1507</v>
      </c>
      <c r="D59" s="78" t="s">
        <v>330</v>
      </c>
      <c r="E59" s="78" t="s">
        <v>1545</v>
      </c>
      <c r="F59" s="78" t="s">
        <v>1564</v>
      </c>
      <c r="G59" s="78" t="s">
        <v>1492</v>
      </c>
      <c r="H59" s="77"/>
      <c r="I59" s="226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9"/>
    </row>
    <row r="60" spans="1:31" x14ac:dyDescent="0.3">
      <c r="A60" s="76"/>
      <c r="B60" s="78" t="s">
        <v>1485</v>
      </c>
      <c r="C60" s="78" t="s">
        <v>1485</v>
      </c>
      <c r="D60" s="78" t="s">
        <v>873</v>
      </c>
      <c r="E60" s="78" t="s">
        <v>1548</v>
      </c>
      <c r="F60" s="78" t="s">
        <v>1512</v>
      </c>
      <c r="G60" s="78" t="s">
        <v>1513</v>
      </c>
      <c r="H60" s="77"/>
      <c r="I60" s="226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9"/>
    </row>
    <row r="61" spans="1:31" x14ac:dyDescent="0.3">
      <c r="A61" s="76"/>
      <c r="B61" s="78" t="s">
        <v>1566</v>
      </c>
      <c r="C61" s="78" t="s">
        <v>1489</v>
      </c>
      <c r="D61" s="78" t="s">
        <v>96</v>
      </c>
      <c r="E61" s="78" t="s">
        <v>1480</v>
      </c>
      <c r="F61" s="78" t="s">
        <v>1518</v>
      </c>
      <c r="G61" s="78" t="s">
        <v>1513</v>
      </c>
      <c r="H61" s="77"/>
      <c r="I61" s="226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9"/>
    </row>
    <row r="62" spans="1:31" x14ac:dyDescent="0.3">
      <c r="A62" s="76"/>
      <c r="B62" s="78" t="s">
        <v>1567</v>
      </c>
      <c r="C62" s="78" t="s">
        <v>1499</v>
      </c>
      <c r="D62" s="78" t="s">
        <v>548</v>
      </c>
      <c r="E62" s="78" t="s">
        <v>1503</v>
      </c>
      <c r="F62" s="78" t="s">
        <v>1495</v>
      </c>
      <c r="G62" s="78" t="s">
        <v>1513</v>
      </c>
      <c r="H62" s="77"/>
      <c r="I62" s="226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9"/>
    </row>
    <row r="63" spans="1:31" x14ac:dyDescent="0.3">
      <c r="A63" s="76"/>
      <c r="B63" s="78" t="s">
        <v>1568</v>
      </c>
      <c r="C63" s="78" t="s">
        <v>1489</v>
      </c>
      <c r="D63" s="78" t="s">
        <v>69</v>
      </c>
      <c r="E63" s="78" t="s">
        <v>1543</v>
      </c>
      <c r="F63" s="78" t="s">
        <v>1569</v>
      </c>
      <c r="G63" s="78" t="s">
        <v>1513</v>
      </c>
      <c r="H63" s="77"/>
      <c r="I63" s="226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9"/>
    </row>
    <row r="64" spans="1:31" x14ac:dyDescent="0.3">
      <c r="A64" s="76"/>
      <c r="B64" s="78" t="s">
        <v>1570</v>
      </c>
      <c r="C64" s="78" t="s">
        <v>1496</v>
      </c>
      <c r="D64" s="78" t="s">
        <v>130</v>
      </c>
      <c r="E64" s="78" t="s">
        <v>1500</v>
      </c>
      <c r="F64" s="78" t="s">
        <v>1501</v>
      </c>
      <c r="G64" s="78" t="s">
        <v>1513</v>
      </c>
      <c r="H64" s="77"/>
      <c r="I64" s="226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9"/>
    </row>
    <row r="65" spans="1:31" x14ac:dyDescent="0.3">
      <c r="A65" s="76"/>
      <c r="B65" s="78" t="s">
        <v>1571</v>
      </c>
      <c r="C65" s="78" t="s">
        <v>1489</v>
      </c>
      <c r="D65" s="78" t="s">
        <v>40</v>
      </c>
      <c r="E65" s="78" t="s">
        <v>1560</v>
      </c>
      <c r="F65" s="78" t="s">
        <v>1564</v>
      </c>
      <c r="G65" s="78" t="s">
        <v>1513</v>
      </c>
      <c r="H65" s="77"/>
      <c r="I65" s="226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9"/>
    </row>
    <row r="66" spans="1:31" x14ac:dyDescent="0.3">
      <c r="A66" s="76"/>
      <c r="B66" s="78" t="s">
        <v>1572</v>
      </c>
      <c r="C66" s="78" t="s">
        <v>1493</v>
      </c>
      <c r="D66" s="78" t="s">
        <v>330</v>
      </c>
      <c r="E66" s="78" t="s">
        <v>1545</v>
      </c>
      <c r="F66" s="78" t="s">
        <v>1564</v>
      </c>
      <c r="G66" s="78" t="s">
        <v>1513</v>
      </c>
      <c r="H66" s="77"/>
      <c r="I66" s="226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9"/>
    </row>
    <row r="67" spans="1:31" ht="15" thickBot="1" x14ac:dyDescent="0.35">
      <c r="A67" s="81"/>
      <c r="B67" s="82" t="s">
        <v>1573</v>
      </c>
      <c r="C67" s="82" t="s">
        <v>1489</v>
      </c>
      <c r="D67" s="82" t="s">
        <v>236</v>
      </c>
      <c r="E67" s="82" t="s">
        <v>1525</v>
      </c>
      <c r="F67" s="82" t="s">
        <v>1565</v>
      </c>
      <c r="G67" s="82" t="s">
        <v>1513</v>
      </c>
      <c r="H67" s="83"/>
      <c r="I67" s="227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4"/>
    </row>
    <row r="68" spans="1:31" x14ac:dyDescent="0.3">
      <c r="A68" s="72" t="s">
        <v>1101</v>
      </c>
      <c r="B68" s="73" t="s">
        <v>1574</v>
      </c>
      <c r="C68" s="74" t="s">
        <v>1479</v>
      </c>
      <c r="D68" s="74" t="s">
        <v>1103</v>
      </c>
      <c r="E68" s="74" t="s">
        <v>1480</v>
      </c>
      <c r="F68" s="74"/>
      <c r="G68" s="74" t="s">
        <v>1481</v>
      </c>
      <c r="H68" s="73" t="s">
        <v>1575</v>
      </c>
      <c r="I68" s="225">
        <v>98</v>
      </c>
      <c r="J68" s="73" t="s">
        <v>1100</v>
      </c>
      <c r="K68" s="73">
        <v>170</v>
      </c>
      <c r="L68" s="73" t="s">
        <v>195</v>
      </c>
      <c r="M68" s="199" t="s">
        <v>2649</v>
      </c>
      <c r="N68" s="73" t="s">
        <v>1483</v>
      </c>
      <c r="O68" s="73" t="s">
        <v>1102</v>
      </c>
      <c r="P68" s="73" t="s">
        <v>1102</v>
      </c>
      <c r="Q68" s="73" t="s">
        <v>1102</v>
      </c>
      <c r="R68" s="73" t="s">
        <v>1102</v>
      </c>
      <c r="S68" s="73" t="s">
        <v>1484</v>
      </c>
      <c r="T68" s="73" t="s">
        <v>1576</v>
      </c>
      <c r="U68" s="73" t="s">
        <v>1484</v>
      </c>
      <c r="V68" s="73" t="s">
        <v>1484</v>
      </c>
      <c r="W68" s="73" t="s">
        <v>1485</v>
      </c>
      <c r="X68" s="73" t="s">
        <v>1576</v>
      </c>
      <c r="Y68" s="73" t="s">
        <v>1576</v>
      </c>
      <c r="Z68" s="73" t="s">
        <v>1484</v>
      </c>
      <c r="AA68" s="73" t="s">
        <v>1485</v>
      </c>
      <c r="AB68" s="73" t="s">
        <v>1576</v>
      </c>
      <c r="AC68" s="73" t="s">
        <v>1577</v>
      </c>
      <c r="AD68" s="73" t="s">
        <v>1578</v>
      </c>
      <c r="AE68" s="75" t="s">
        <v>1579</v>
      </c>
    </row>
    <row r="69" spans="1:31" x14ac:dyDescent="0.3">
      <c r="A69" s="76"/>
      <c r="B69" s="77"/>
      <c r="C69" s="78" t="s">
        <v>1496</v>
      </c>
      <c r="D69" s="78" t="s">
        <v>171</v>
      </c>
      <c r="E69" s="78" t="s">
        <v>1500</v>
      </c>
      <c r="F69" s="78" t="s">
        <v>1501</v>
      </c>
      <c r="G69" s="78" t="s">
        <v>1492</v>
      </c>
      <c r="H69" s="77"/>
      <c r="I69" s="226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9"/>
    </row>
    <row r="70" spans="1:31" x14ac:dyDescent="0.3">
      <c r="A70" s="76"/>
      <c r="B70" s="77"/>
      <c r="C70" s="78" t="s">
        <v>1499</v>
      </c>
      <c r="D70" s="78" t="s">
        <v>228</v>
      </c>
      <c r="E70" s="78" t="s">
        <v>1580</v>
      </c>
      <c r="F70" s="78" t="s">
        <v>1581</v>
      </c>
      <c r="G70" s="78" t="s">
        <v>1492</v>
      </c>
      <c r="H70" s="77"/>
      <c r="I70" s="226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9"/>
    </row>
    <row r="71" spans="1:31" x14ac:dyDescent="0.3">
      <c r="A71" s="76"/>
      <c r="B71" s="80"/>
      <c r="C71" s="78" t="s">
        <v>1507</v>
      </c>
      <c r="D71" s="78" t="s">
        <v>1102</v>
      </c>
      <c r="E71" s="78" t="s">
        <v>1582</v>
      </c>
      <c r="F71" s="78" t="s">
        <v>1583</v>
      </c>
      <c r="G71" s="78" t="s">
        <v>1492</v>
      </c>
      <c r="H71" s="77"/>
      <c r="I71" s="226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9"/>
    </row>
    <row r="72" spans="1:31" x14ac:dyDescent="0.3">
      <c r="A72" s="76"/>
      <c r="B72" s="78" t="s">
        <v>1485</v>
      </c>
      <c r="C72" s="78" t="s">
        <v>1485</v>
      </c>
      <c r="D72" s="78" t="s">
        <v>1104</v>
      </c>
      <c r="E72" s="78" t="s">
        <v>1548</v>
      </c>
      <c r="F72" s="78" t="s">
        <v>1512</v>
      </c>
      <c r="G72" s="78" t="s">
        <v>1513</v>
      </c>
      <c r="H72" s="77"/>
      <c r="I72" s="226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9"/>
    </row>
    <row r="73" spans="1:31" x14ac:dyDescent="0.3">
      <c r="A73" s="76"/>
      <c r="B73" s="78" t="s">
        <v>1584</v>
      </c>
      <c r="C73" s="78" t="s">
        <v>1489</v>
      </c>
      <c r="D73" s="78" t="s">
        <v>173</v>
      </c>
      <c r="E73" s="78" t="s">
        <v>1480</v>
      </c>
      <c r="F73" s="78" t="s">
        <v>1518</v>
      </c>
      <c r="G73" s="78" t="s">
        <v>1513</v>
      </c>
      <c r="H73" s="85"/>
      <c r="I73" s="226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9"/>
    </row>
    <row r="74" spans="1:31" x14ac:dyDescent="0.3">
      <c r="A74" s="76"/>
      <c r="B74" s="78" t="s">
        <v>1585</v>
      </c>
      <c r="C74" s="78" t="s">
        <v>1586</v>
      </c>
      <c r="D74" s="78" t="s">
        <v>171</v>
      </c>
      <c r="E74" s="78" t="s">
        <v>1500</v>
      </c>
      <c r="F74" s="78" t="s">
        <v>1501</v>
      </c>
      <c r="G74" s="78" t="s">
        <v>1513</v>
      </c>
      <c r="H74" s="85"/>
      <c r="I74" s="226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9"/>
    </row>
    <row r="75" spans="1:31" ht="15" thickBot="1" x14ac:dyDescent="0.35">
      <c r="A75" s="81"/>
      <c r="B75" s="82" t="s">
        <v>1587</v>
      </c>
      <c r="C75" s="82" t="s">
        <v>1479</v>
      </c>
      <c r="D75" s="82" t="s">
        <v>1102</v>
      </c>
      <c r="E75" s="82" t="s">
        <v>1582</v>
      </c>
      <c r="F75" s="82" t="s">
        <v>1583</v>
      </c>
      <c r="G75" s="82" t="s">
        <v>1513</v>
      </c>
      <c r="H75" s="83"/>
      <c r="I75" s="227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4"/>
    </row>
    <row r="76" spans="1:31" x14ac:dyDescent="0.3">
      <c r="A76" s="72" t="s">
        <v>1094</v>
      </c>
      <c r="B76" s="73" t="s">
        <v>1588</v>
      </c>
      <c r="C76" s="74" t="s">
        <v>1479</v>
      </c>
      <c r="D76" s="74" t="s">
        <v>1096</v>
      </c>
      <c r="E76" s="74" t="s">
        <v>1480</v>
      </c>
      <c r="F76" s="74"/>
      <c r="G76" s="74" t="s">
        <v>1481</v>
      </c>
      <c r="H76" s="73" t="s">
        <v>1575</v>
      </c>
      <c r="I76" s="225">
        <v>97</v>
      </c>
      <c r="J76" s="73" t="s">
        <v>1093</v>
      </c>
      <c r="K76" s="73">
        <v>167</v>
      </c>
      <c r="L76" s="73" t="s">
        <v>195</v>
      </c>
      <c r="M76" s="73" t="s">
        <v>1589</v>
      </c>
      <c r="N76" s="73" t="s">
        <v>1542</v>
      </c>
      <c r="O76" s="73" t="s">
        <v>1542</v>
      </c>
      <c r="P76" s="73" t="s">
        <v>1542</v>
      </c>
      <c r="Q76" s="73" t="s">
        <v>1542</v>
      </c>
      <c r="R76" s="73" t="s">
        <v>1542</v>
      </c>
      <c r="S76" s="73" t="s">
        <v>1484</v>
      </c>
      <c r="T76" s="73" t="s">
        <v>1484</v>
      </c>
      <c r="U76" s="73" t="s">
        <v>1484</v>
      </c>
      <c r="V76" s="73" t="s">
        <v>1484</v>
      </c>
      <c r="W76" s="73" t="s">
        <v>1485</v>
      </c>
      <c r="X76" s="73" t="s">
        <v>1484</v>
      </c>
      <c r="Y76" s="73" t="s">
        <v>1484</v>
      </c>
      <c r="Z76" s="73" t="s">
        <v>1484</v>
      </c>
      <c r="AA76" s="73" t="s">
        <v>1484</v>
      </c>
      <c r="AB76" s="73" t="s">
        <v>1484</v>
      </c>
      <c r="AC76" s="73" t="s">
        <v>1486</v>
      </c>
      <c r="AD76" s="73" t="s">
        <v>1487</v>
      </c>
      <c r="AE76" s="75" t="s">
        <v>1590</v>
      </c>
    </row>
    <row r="77" spans="1:31" x14ac:dyDescent="0.3">
      <c r="A77" s="76"/>
      <c r="B77" s="80"/>
      <c r="C77" s="78" t="s">
        <v>1507</v>
      </c>
      <c r="D77" s="78" t="s">
        <v>1095</v>
      </c>
      <c r="E77" s="78" t="s">
        <v>1591</v>
      </c>
      <c r="F77" s="78" t="s">
        <v>1592</v>
      </c>
      <c r="G77" s="78" t="s">
        <v>1481</v>
      </c>
      <c r="H77" s="77"/>
      <c r="I77" s="226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9"/>
    </row>
    <row r="78" spans="1:31" ht="15" thickBot="1" x14ac:dyDescent="0.35">
      <c r="A78" s="81"/>
      <c r="B78" s="82" t="s">
        <v>1593</v>
      </c>
      <c r="C78" s="82" t="s">
        <v>1489</v>
      </c>
      <c r="D78" s="82" t="s">
        <v>160</v>
      </c>
      <c r="E78" s="82" t="s">
        <v>1480</v>
      </c>
      <c r="F78" s="82" t="s">
        <v>1518</v>
      </c>
      <c r="G78" s="82" t="s">
        <v>1513</v>
      </c>
      <c r="H78" s="82"/>
      <c r="I78" s="227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4"/>
    </row>
    <row r="79" spans="1:31" x14ac:dyDescent="0.3">
      <c r="A79" s="72" t="s">
        <v>763</v>
      </c>
      <c r="B79" s="73" t="s">
        <v>1594</v>
      </c>
      <c r="C79" s="74" t="s">
        <v>1479</v>
      </c>
      <c r="D79" s="74" t="s">
        <v>764</v>
      </c>
      <c r="E79" s="74" t="s">
        <v>1480</v>
      </c>
      <c r="F79" s="74"/>
      <c r="G79" s="74" t="s">
        <v>1481</v>
      </c>
      <c r="H79" s="73" t="s">
        <v>1482</v>
      </c>
      <c r="I79" s="225">
        <v>58</v>
      </c>
      <c r="J79" s="73" t="s">
        <v>762</v>
      </c>
      <c r="K79" s="73">
        <v>102</v>
      </c>
      <c r="L79" s="73" t="s">
        <v>195</v>
      </c>
      <c r="M79" s="73" t="s">
        <v>1483</v>
      </c>
      <c r="N79" s="73" t="s">
        <v>1483</v>
      </c>
      <c r="O79" s="73" t="s">
        <v>1483</v>
      </c>
      <c r="P79" s="73" t="s">
        <v>1483</v>
      </c>
      <c r="Q79" s="73" t="s">
        <v>1483</v>
      </c>
      <c r="R79" s="73" t="s">
        <v>1483</v>
      </c>
      <c r="S79" s="73" t="s">
        <v>1484</v>
      </c>
      <c r="T79" s="73" t="s">
        <v>1484</v>
      </c>
      <c r="U79" s="73" t="s">
        <v>1484</v>
      </c>
      <c r="V79" s="73" t="s">
        <v>1484</v>
      </c>
      <c r="W79" s="73" t="s">
        <v>1485</v>
      </c>
      <c r="X79" s="73" t="s">
        <v>1484</v>
      </c>
      <c r="Y79" s="73" t="s">
        <v>1484</v>
      </c>
      <c r="Z79" s="73" t="s">
        <v>1485</v>
      </c>
      <c r="AA79" s="73" t="s">
        <v>1485</v>
      </c>
      <c r="AB79" s="73" t="s">
        <v>1484</v>
      </c>
      <c r="AC79" s="73" t="s">
        <v>1486</v>
      </c>
      <c r="AD79" s="73" t="s">
        <v>1487</v>
      </c>
      <c r="AE79" s="75" t="s">
        <v>1488</v>
      </c>
    </row>
    <row r="80" spans="1:31" x14ac:dyDescent="0.3">
      <c r="A80" s="76"/>
      <c r="B80" s="77"/>
      <c r="C80" s="78" t="s">
        <v>1496</v>
      </c>
      <c r="D80" s="78" t="s">
        <v>167</v>
      </c>
      <c r="E80" s="78" t="s">
        <v>1560</v>
      </c>
      <c r="F80" s="78" t="s">
        <v>1528</v>
      </c>
      <c r="G80" s="78" t="s">
        <v>1492</v>
      </c>
      <c r="H80" s="77"/>
      <c r="I80" s="226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9"/>
    </row>
    <row r="81" spans="1:31" x14ac:dyDescent="0.3">
      <c r="A81" s="76"/>
      <c r="B81" s="77"/>
      <c r="C81" s="78" t="s">
        <v>1499</v>
      </c>
      <c r="D81" s="78" t="s">
        <v>279</v>
      </c>
      <c r="E81" s="78" t="s">
        <v>1503</v>
      </c>
      <c r="F81" s="78" t="s">
        <v>1495</v>
      </c>
      <c r="G81" s="78" t="s">
        <v>1492</v>
      </c>
      <c r="H81" s="77"/>
      <c r="I81" s="226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9"/>
    </row>
    <row r="82" spans="1:31" x14ac:dyDescent="0.3">
      <c r="A82" s="76"/>
      <c r="B82" s="77"/>
      <c r="C82" s="78" t="s">
        <v>1502</v>
      </c>
      <c r="D82" s="78" t="s">
        <v>638</v>
      </c>
      <c r="E82" s="78" t="s">
        <v>1500</v>
      </c>
      <c r="F82" s="78" t="s">
        <v>1501</v>
      </c>
      <c r="G82" s="78" t="s">
        <v>1492</v>
      </c>
      <c r="H82" s="77"/>
      <c r="I82" s="226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9"/>
    </row>
    <row r="83" spans="1:31" x14ac:dyDescent="0.3">
      <c r="A83" s="76"/>
      <c r="B83" s="80"/>
      <c r="C83" s="78" t="s">
        <v>1504</v>
      </c>
      <c r="D83" s="78" t="s">
        <v>380</v>
      </c>
      <c r="E83" s="78" t="s">
        <v>1595</v>
      </c>
      <c r="F83" s="78" t="s">
        <v>1528</v>
      </c>
      <c r="G83" s="78" t="s">
        <v>1492</v>
      </c>
      <c r="H83" s="77"/>
      <c r="I83" s="226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9"/>
    </row>
    <row r="84" spans="1:31" x14ac:dyDescent="0.3">
      <c r="A84" s="76"/>
      <c r="B84" s="78" t="s">
        <v>1485</v>
      </c>
      <c r="C84" s="78" t="s">
        <v>1485</v>
      </c>
      <c r="D84" s="78" t="s">
        <v>1596</v>
      </c>
      <c r="E84" s="78" t="s">
        <v>1534</v>
      </c>
      <c r="F84" s="78" t="s">
        <v>1535</v>
      </c>
      <c r="G84" s="78" t="s">
        <v>1513</v>
      </c>
      <c r="H84" s="77"/>
      <c r="I84" s="226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9"/>
    </row>
    <row r="85" spans="1:31" x14ac:dyDescent="0.3">
      <c r="A85" s="76"/>
      <c r="B85" s="78" t="s">
        <v>1485</v>
      </c>
      <c r="C85" s="78" t="s">
        <v>1485</v>
      </c>
      <c r="D85" s="78" t="s">
        <v>1597</v>
      </c>
      <c r="E85" s="78" t="s">
        <v>1511</v>
      </c>
      <c r="F85" s="78" t="s">
        <v>1512</v>
      </c>
      <c r="G85" s="78" t="s">
        <v>1513</v>
      </c>
      <c r="H85" s="77"/>
      <c r="I85" s="226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9"/>
    </row>
    <row r="86" spans="1:31" x14ac:dyDescent="0.3">
      <c r="A86" s="76"/>
      <c r="B86" s="78" t="s">
        <v>1598</v>
      </c>
      <c r="C86" s="78" t="s">
        <v>1493</v>
      </c>
      <c r="D86" s="78" t="s">
        <v>254</v>
      </c>
      <c r="E86" s="78" t="s">
        <v>1599</v>
      </c>
      <c r="F86" s="78" t="s">
        <v>1600</v>
      </c>
      <c r="G86" s="78" t="s">
        <v>1513</v>
      </c>
      <c r="H86" s="77"/>
      <c r="I86" s="226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9"/>
    </row>
    <row r="87" spans="1:31" x14ac:dyDescent="0.3">
      <c r="A87" s="76"/>
      <c r="B87" s="78" t="s">
        <v>1601</v>
      </c>
      <c r="C87" s="78" t="s">
        <v>1489</v>
      </c>
      <c r="D87" s="78" t="s">
        <v>255</v>
      </c>
      <c r="E87" s="78" t="s">
        <v>1480</v>
      </c>
      <c r="F87" s="78" t="s">
        <v>1518</v>
      </c>
      <c r="G87" s="78" t="s">
        <v>1513</v>
      </c>
      <c r="H87" s="77"/>
      <c r="I87" s="226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9"/>
    </row>
    <row r="88" spans="1:31" x14ac:dyDescent="0.3">
      <c r="A88" s="76"/>
      <c r="B88" s="78" t="s">
        <v>1602</v>
      </c>
      <c r="C88" s="78" t="s">
        <v>1489</v>
      </c>
      <c r="D88" s="78" t="s">
        <v>279</v>
      </c>
      <c r="E88" s="78" t="s">
        <v>1503</v>
      </c>
      <c r="F88" s="78" t="s">
        <v>1495</v>
      </c>
      <c r="G88" s="78" t="s">
        <v>1513</v>
      </c>
      <c r="H88" s="77"/>
      <c r="I88" s="226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9"/>
    </row>
    <row r="89" spans="1:31" x14ac:dyDescent="0.3">
      <c r="A89" s="76"/>
      <c r="B89" s="78" t="s">
        <v>1603</v>
      </c>
      <c r="C89" s="78" t="s">
        <v>1499</v>
      </c>
      <c r="D89" s="78" t="s">
        <v>638</v>
      </c>
      <c r="E89" s="78" t="s">
        <v>1500</v>
      </c>
      <c r="F89" s="78" t="s">
        <v>1501</v>
      </c>
      <c r="G89" s="78" t="s">
        <v>1513</v>
      </c>
      <c r="H89" s="77"/>
      <c r="I89" s="226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9"/>
    </row>
    <row r="90" spans="1:31" x14ac:dyDescent="0.3">
      <c r="A90" s="76"/>
      <c r="B90" s="78" t="s">
        <v>1604</v>
      </c>
      <c r="C90" s="78" t="s">
        <v>1493</v>
      </c>
      <c r="D90" s="78" t="s">
        <v>85</v>
      </c>
      <c r="E90" s="78" t="s">
        <v>1605</v>
      </c>
      <c r="F90" s="78" t="s">
        <v>1558</v>
      </c>
      <c r="G90" s="78" t="s">
        <v>1513</v>
      </c>
      <c r="H90" s="77"/>
      <c r="I90" s="226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9"/>
    </row>
    <row r="91" spans="1:31" x14ac:dyDescent="0.3">
      <c r="A91" s="76"/>
      <c r="B91" s="78" t="s">
        <v>1606</v>
      </c>
      <c r="C91" s="78" t="s">
        <v>1489</v>
      </c>
      <c r="D91" s="78" t="s">
        <v>167</v>
      </c>
      <c r="E91" s="78" t="s">
        <v>1560</v>
      </c>
      <c r="F91" s="78" t="s">
        <v>1528</v>
      </c>
      <c r="G91" s="78" t="s">
        <v>1513</v>
      </c>
      <c r="H91" s="77"/>
      <c r="I91" s="226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9"/>
    </row>
    <row r="92" spans="1:31" x14ac:dyDescent="0.3">
      <c r="A92" s="76"/>
      <c r="B92" s="78" t="s">
        <v>1607</v>
      </c>
      <c r="C92" s="78" t="s">
        <v>1502</v>
      </c>
      <c r="D92" s="78" t="s">
        <v>380</v>
      </c>
      <c r="E92" s="78" t="s">
        <v>1595</v>
      </c>
      <c r="F92" s="78" t="s">
        <v>1528</v>
      </c>
      <c r="G92" s="78" t="s">
        <v>1513</v>
      </c>
      <c r="H92" s="77"/>
      <c r="I92" s="226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9"/>
    </row>
    <row r="93" spans="1:31" ht="15" thickBot="1" x14ac:dyDescent="0.35">
      <c r="A93" s="81"/>
      <c r="B93" s="82" t="s">
        <v>1608</v>
      </c>
      <c r="C93" s="82" t="s">
        <v>1493</v>
      </c>
      <c r="D93" s="82" t="s">
        <v>84</v>
      </c>
      <c r="E93" s="82" t="s">
        <v>1609</v>
      </c>
      <c r="F93" s="82" t="s">
        <v>1526</v>
      </c>
      <c r="G93" s="82" t="s">
        <v>1513</v>
      </c>
      <c r="H93" s="83"/>
      <c r="I93" s="227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4"/>
    </row>
    <row r="94" spans="1:31" x14ac:dyDescent="0.3">
      <c r="A94" s="72" t="s">
        <v>752</v>
      </c>
      <c r="B94" s="73" t="s">
        <v>1610</v>
      </c>
      <c r="C94" s="74" t="s">
        <v>1479</v>
      </c>
      <c r="D94" s="74" t="s">
        <v>753</v>
      </c>
      <c r="E94" s="74" t="s">
        <v>1480</v>
      </c>
      <c r="F94" s="74"/>
      <c r="G94" s="74" t="s">
        <v>1481</v>
      </c>
      <c r="H94" s="73" t="s">
        <v>1575</v>
      </c>
      <c r="I94" s="225">
        <v>57</v>
      </c>
      <c r="J94" s="73" t="s">
        <v>751</v>
      </c>
      <c r="K94" s="73">
        <v>100</v>
      </c>
      <c r="L94" s="73" t="s">
        <v>195</v>
      </c>
      <c r="M94" s="73" t="s">
        <v>1483</v>
      </c>
      <c r="N94" s="73" t="s">
        <v>1483</v>
      </c>
      <c r="O94" s="73" t="s">
        <v>1483</v>
      </c>
      <c r="P94" s="73" t="s">
        <v>1483</v>
      </c>
      <c r="Q94" s="73" t="s">
        <v>1483</v>
      </c>
      <c r="R94" s="73" t="s">
        <v>1483</v>
      </c>
      <c r="S94" s="73" t="s">
        <v>1484</v>
      </c>
      <c r="T94" s="73" t="s">
        <v>1484</v>
      </c>
      <c r="U94" s="73" t="s">
        <v>1484</v>
      </c>
      <c r="V94" s="73" t="s">
        <v>1484</v>
      </c>
      <c r="W94" s="73" t="s">
        <v>1485</v>
      </c>
      <c r="X94" s="73" t="s">
        <v>1484</v>
      </c>
      <c r="Y94" s="73" t="s">
        <v>1484</v>
      </c>
      <c r="Z94" s="73" t="s">
        <v>1484</v>
      </c>
      <c r="AA94" s="73" t="s">
        <v>1485</v>
      </c>
      <c r="AB94" s="73" t="s">
        <v>1484</v>
      </c>
      <c r="AC94" s="73" t="s">
        <v>1486</v>
      </c>
      <c r="AD94" s="73" t="s">
        <v>1487</v>
      </c>
      <c r="AE94" s="75" t="s">
        <v>1579</v>
      </c>
    </row>
    <row r="95" spans="1:31" x14ac:dyDescent="0.3">
      <c r="A95" s="76"/>
      <c r="B95" s="77"/>
      <c r="C95" s="78" t="s">
        <v>1489</v>
      </c>
      <c r="D95" s="78" t="s">
        <v>61</v>
      </c>
      <c r="E95" s="78" t="s">
        <v>1605</v>
      </c>
      <c r="F95" s="78" t="s">
        <v>1565</v>
      </c>
      <c r="G95" s="78" t="s">
        <v>1492</v>
      </c>
      <c r="H95" s="77"/>
      <c r="I95" s="226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9"/>
    </row>
    <row r="96" spans="1:31" x14ac:dyDescent="0.3">
      <c r="A96" s="76"/>
      <c r="B96" s="77"/>
      <c r="C96" s="78" t="s">
        <v>1493</v>
      </c>
      <c r="D96" s="78" t="s">
        <v>324</v>
      </c>
      <c r="E96" s="78" t="s">
        <v>1505</v>
      </c>
      <c r="F96" s="78" t="s">
        <v>1528</v>
      </c>
      <c r="G96" s="78" t="s">
        <v>1492</v>
      </c>
      <c r="H96" s="77"/>
      <c r="I96" s="226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9"/>
    </row>
    <row r="97" spans="1:31" x14ac:dyDescent="0.3">
      <c r="A97" s="76"/>
      <c r="B97" s="77"/>
      <c r="C97" s="78" t="s">
        <v>1496</v>
      </c>
      <c r="D97" s="78" t="s">
        <v>252</v>
      </c>
      <c r="E97" s="78" t="s">
        <v>1503</v>
      </c>
      <c r="F97" s="78" t="s">
        <v>1495</v>
      </c>
      <c r="G97" s="78" t="s">
        <v>1492</v>
      </c>
      <c r="H97" s="77"/>
      <c r="I97" s="226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9"/>
    </row>
    <row r="98" spans="1:31" x14ac:dyDescent="0.3">
      <c r="A98" s="76"/>
      <c r="B98" s="77"/>
      <c r="C98" s="78" t="s">
        <v>1499</v>
      </c>
      <c r="D98" s="78" t="s">
        <v>237</v>
      </c>
      <c r="E98" s="78" t="s">
        <v>1599</v>
      </c>
      <c r="F98" s="78" t="s">
        <v>1611</v>
      </c>
      <c r="G98" s="78" t="s">
        <v>1492</v>
      </c>
      <c r="H98" s="77"/>
      <c r="I98" s="226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9"/>
    </row>
    <row r="99" spans="1:31" x14ac:dyDescent="0.3">
      <c r="A99" s="76"/>
      <c r="B99" s="77"/>
      <c r="C99" s="78" t="s">
        <v>1502</v>
      </c>
      <c r="D99" s="78" t="s">
        <v>64</v>
      </c>
      <c r="E99" s="78" t="s">
        <v>1609</v>
      </c>
      <c r="F99" s="78" t="s">
        <v>1529</v>
      </c>
      <c r="G99" s="78" t="s">
        <v>1492</v>
      </c>
      <c r="H99" s="77"/>
      <c r="I99" s="226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9"/>
    </row>
    <row r="100" spans="1:31" x14ac:dyDescent="0.3">
      <c r="A100" s="76"/>
      <c r="B100" s="80"/>
      <c r="C100" s="78" t="s">
        <v>1504</v>
      </c>
      <c r="D100" s="78" t="s">
        <v>264</v>
      </c>
      <c r="E100" s="78" t="s">
        <v>1500</v>
      </c>
      <c r="F100" s="78" t="s">
        <v>1501</v>
      </c>
      <c r="G100" s="78" t="s">
        <v>1492</v>
      </c>
      <c r="H100" s="77"/>
      <c r="I100" s="226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9"/>
    </row>
    <row r="101" spans="1:31" x14ac:dyDescent="0.3">
      <c r="A101" s="76"/>
      <c r="B101" s="78" t="s">
        <v>1485</v>
      </c>
      <c r="C101" s="78" t="s">
        <v>1485</v>
      </c>
      <c r="D101" s="78" t="s">
        <v>754</v>
      </c>
      <c r="E101" s="78" t="s">
        <v>1511</v>
      </c>
      <c r="F101" s="78" t="s">
        <v>1512</v>
      </c>
      <c r="G101" s="78" t="s">
        <v>1513</v>
      </c>
      <c r="H101" s="77"/>
      <c r="I101" s="226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9"/>
    </row>
    <row r="102" spans="1:31" x14ac:dyDescent="0.3">
      <c r="A102" s="76"/>
      <c r="B102" s="78" t="s">
        <v>1612</v>
      </c>
      <c r="C102" s="78" t="s">
        <v>1489</v>
      </c>
      <c r="D102" s="78" t="s">
        <v>283</v>
      </c>
      <c r="E102" s="78" t="s">
        <v>1480</v>
      </c>
      <c r="F102" s="78" t="s">
        <v>1518</v>
      </c>
      <c r="G102" s="78" t="s">
        <v>1513</v>
      </c>
      <c r="H102" s="85"/>
      <c r="I102" s="226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9"/>
    </row>
    <row r="103" spans="1:31" x14ac:dyDescent="0.3">
      <c r="A103" s="76"/>
      <c r="B103" s="78" t="s">
        <v>1613</v>
      </c>
      <c r="C103" s="78" t="s">
        <v>1489</v>
      </c>
      <c r="D103" s="78" t="s">
        <v>252</v>
      </c>
      <c r="E103" s="78" t="s">
        <v>1503</v>
      </c>
      <c r="F103" s="78" t="s">
        <v>1495</v>
      </c>
      <c r="G103" s="78" t="s">
        <v>1513</v>
      </c>
      <c r="H103" s="85"/>
      <c r="I103" s="226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9"/>
    </row>
    <row r="104" spans="1:31" x14ac:dyDescent="0.3">
      <c r="A104" s="76"/>
      <c r="B104" s="78" t="s">
        <v>1614</v>
      </c>
      <c r="C104" s="78" t="s">
        <v>1496</v>
      </c>
      <c r="D104" s="78" t="s">
        <v>264</v>
      </c>
      <c r="E104" s="78" t="s">
        <v>1500</v>
      </c>
      <c r="F104" s="78" t="s">
        <v>1501</v>
      </c>
      <c r="G104" s="78" t="s">
        <v>1513</v>
      </c>
      <c r="H104" s="77"/>
      <c r="I104" s="226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9"/>
    </row>
    <row r="105" spans="1:31" x14ac:dyDescent="0.3">
      <c r="A105" s="76"/>
      <c r="B105" s="78" t="s">
        <v>1615</v>
      </c>
      <c r="C105" s="78" t="s">
        <v>1496</v>
      </c>
      <c r="D105" s="78" t="s">
        <v>324</v>
      </c>
      <c r="E105" s="78" t="s">
        <v>1505</v>
      </c>
      <c r="F105" s="78" t="s">
        <v>1528</v>
      </c>
      <c r="G105" s="78" t="s">
        <v>1513</v>
      </c>
      <c r="H105" s="77"/>
      <c r="I105" s="226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9"/>
    </row>
    <row r="106" spans="1:31" ht="15" thickBot="1" x14ac:dyDescent="0.35">
      <c r="A106" s="81"/>
      <c r="B106" s="82" t="s">
        <v>1616</v>
      </c>
      <c r="C106" s="82" t="s">
        <v>1489</v>
      </c>
      <c r="D106" s="82" t="s">
        <v>61</v>
      </c>
      <c r="E106" s="82" t="s">
        <v>1605</v>
      </c>
      <c r="F106" s="82" t="s">
        <v>1565</v>
      </c>
      <c r="G106" s="82" t="s">
        <v>1513</v>
      </c>
      <c r="H106" s="83"/>
      <c r="I106" s="227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4"/>
    </row>
    <row r="107" spans="1:31" x14ac:dyDescent="0.3">
      <c r="A107" s="72" t="s">
        <v>1113</v>
      </c>
      <c r="B107" s="73" t="s">
        <v>1617</v>
      </c>
      <c r="C107" s="74" t="s">
        <v>1479</v>
      </c>
      <c r="D107" s="74" t="s">
        <v>1114</v>
      </c>
      <c r="E107" s="74" t="s">
        <v>1480</v>
      </c>
      <c r="F107" s="74"/>
      <c r="G107" s="74" t="s">
        <v>1481</v>
      </c>
      <c r="H107" s="73" t="s">
        <v>1482</v>
      </c>
      <c r="I107" s="225">
        <v>100</v>
      </c>
      <c r="J107" s="73" t="s">
        <v>1112</v>
      </c>
      <c r="K107" s="73">
        <v>172</v>
      </c>
      <c r="L107" s="73" t="s">
        <v>195</v>
      </c>
      <c r="M107" s="73" t="s">
        <v>1483</v>
      </c>
      <c r="N107" s="73" t="s">
        <v>1483</v>
      </c>
      <c r="O107" s="73" t="s">
        <v>1483</v>
      </c>
      <c r="P107" s="73" t="s">
        <v>1483</v>
      </c>
      <c r="Q107" s="73" t="s">
        <v>1483</v>
      </c>
      <c r="R107" s="73" t="s">
        <v>1483</v>
      </c>
      <c r="S107" s="73" t="s">
        <v>1484</v>
      </c>
      <c r="T107" s="73" t="s">
        <v>1484</v>
      </c>
      <c r="U107" s="73" t="s">
        <v>1484</v>
      </c>
      <c r="V107" s="73" t="s">
        <v>1484</v>
      </c>
      <c r="W107" s="73" t="s">
        <v>1485</v>
      </c>
      <c r="X107" s="73" t="s">
        <v>1484</v>
      </c>
      <c r="Y107" s="73" t="s">
        <v>1484</v>
      </c>
      <c r="Z107" s="73" t="s">
        <v>1485</v>
      </c>
      <c r="AA107" s="73" t="s">
        <v>1485</v>
      </c>
      <c r="AB107" s="73" t="s">
        <v>1484</v>
      </c>
      <c r="AC107" s="73" t="s">
        <v>1486</v>
      </c>
      <c r="AD107" s="73" t="s">
        <v>1487</v>
      </c>
      <c r="AE107" s="75" t="s">
        <v>1488</v>
      </c>
    </row>
    <row r="108" spans="1:31" x14ac:dyDescent="0.3">
      <c r="A108" s="76"/>
      <c r="B108" s="77"/>
      <c r="C108" s="78" t="s">
        <v>1493</v>
      </c>
      <c r="D108" s="78" t="s">
        <v>273</v>
      </c>
      <c r="E108" s="78" t="s">
        <v>1503</v>
      </c>
      <c r="F108" s="78" t="s">
        <v>1495</v>
      </c>
      <c r="G108" s="78" t="s">
        <v>1492</v>
      </c>
      <c r="H108" s="85"/>
      <c r="I108" s="226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9"/>
    </row>
    <row r="109" spans="1:31" x14ac:dyDescent="0.3">
      <c r="A109" s="76"/>
      <c r="B109" s="77"/>
      <c r="C109" s="78" t="s">
        <v>1496</v>
      </c>
      <c r="D109" s="78" t="s">
        <v>581</v>
      </c>
      <c r="E109" s="78" t="s">
        <v>1618</v>
      </c>
      <c r="F109" s="78" t="s">
        <v>1619</v>
      </c>
      <c r="G109" s="78" t="s">
        <v>1492</v>
      </c>
      <c r="H109" s="85"/>
      <c r="I109" s="226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9"/>
    </row>
    <row r="110" spans="1:31" x14ac:dyDescent="0.3">
      <c r="A110" s="76"/>
      <c r="B110" s="77"/>
      <c r="C110" s="78" t="s">
        <v>1499</v>
      </c>
      <c r="D110" s="78" t="s">
        <v>171</v>
      </c>
      <c r="E110" s="78" t="s">
        <v>1500</v>
      </c>
      <c r="F110" s="78" t="s">
        <v>1501</v>
      </c>
      <c r="G110" s="78" t="s">
        <v>1492</v>
      </c>
      <c r="H110" s="77"/>
      <c r="I110" s="226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9"/>
    </row>
    <row r="111" spans="1:31" x14ac:dyDescent="0.3">
      <c r="A111" s="76"/>
      <c r="B111" s="80"/>
      <c r="C111" s="78" t="s">
        <v>1504</v>
      </c>
      <c r="D111" s="78" t="s">
        <v>911</v>
      </c>
      <c r="E111" s="78" t="s">
        <v>1620</v>
      </c>
      <c r="F111" s="78" t="s">
        <v>1495</v>
      </c>
      <c r="G111" s="78" t="s">
        <v>1492</v>
      </c>
      <c r="H111" s="77"/>
      <c r="I111" s="226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9"/>
    </row>
    <row r="112" spans="1:31" x14ac:dyDescent="0.3">
      <c r="A112" s="76"/>
      <c r="B112" s="78" t="s">
        <v>1485</v>
      </c>
      <c r="C112" s="78" t="s">
        <v>1485</v>
      </c>
      <c r="D112" s="78" t="s">
        <v>1621</v>
      </c>
      <c r="E112" s="78" t="s">
        <v>1534</v>
      </c>
      <c r="F112" s="78" t="s">
        <v>1535</v>
      </c>
      <c r="G112" s="78" t="s">
        <v>1513</v>
      </c>
      <c r="H112" s="77"/>
      <c r="I112" s="226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9"/>
    </row>
    <row r="113" spans="1:31" x14ac:dyDescent="0.3">
      <c r="A113" s="76"/>
      <c r="B113" s="78" t="s">
        <v>1485</v>
      </c>
      <c r="C113" s="78" t="s">
        <v>1485</v>
      </c>
      <c r="D113" s="78" t="s">
        <v>1622</v>
      </c>
      <c r="E113" s="78" t="s">
        <v>1511</v>
      </c>
      <c r="F113" s="78" t="s">
        <v>1623</v>
      </c>
      <c r="G113" s="78" t="s">
        <v>1513</v>
      </c>
      <c r="H113" s="77"/>
      <c r="I113" s="226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9"/>
    </row>
    <row r="114" spans="1:31" x14ac:dyDescent="0.3">
      <c r="A114" s="76"/>
      <c r="B114" s="78" t="s">
        <v>1624</v>
      </c>
      <c r="C114" s="78" t="s">
        <v>1489</v>
      </c>
      <c r="D114" s="78" t="s">
        <v>656</v>
      </c>
      <c r="E114" s="78" t="s">
        <v>1480</v>
      </c>
      <c r="F114" s="78" t="s">
        <v>1518</v>
      </c>
      <c r="G114" s="78" t="s">
        <v>1513</v>
      </c>
      <c r="H114" s="77"/>
      <c r="I114" s="226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9"/>
    </row>
    <row r="115" spans="1:31" x14ac:dyDescent="0.3">
      <c r="A115" s="76"/>
      <c r="B115" s="78" t="s">
        <v>1625</v>
      </c>
      <c r="C115" s="78" t="s">
        <v>1493</v>
      </c>
      <c r="D115" s="78" t="s">
        <v>273</v>
      </c>
      <c r="E115" s="78" t="s">
        <v>1503</v>
      </c>
      <c r="F115" s="78" t="s">
        <v>1495</v>
      </c>
      <c r="G115" s="78" t="s">
        <v>1513</v>
      </c>
      <c r="H115" s="85"/>
      <c r="I115" s="226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9"/>
    </row>
    <row r="116" spans="1:31" x14ac:dyDescent="0.3">
      <c r="A116" s="76"/>
      <c r="B116" s="78" t="s">
        <v>1626</v>
      </c>
      <c r="C116" s="78" t="s">
        <v>1496</v>
      </c>
      <c r="D116" s="78" t="s">
        <v>911</v>
      </c>
      <c r="E116" s="78" t="s">
        <v>1620</v>
      </c>
      <c r="F116" s="78" t="s">
        <v>1495</v>
      </c>
      <c r="G116" s="78" t="s">
        <v>1513</v>
      </c>
      <c r="H116" s="85"/>
      <c r="I116" s="226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9"/>
    </row>
    <row r="117" spans="1:31" x14ac:dyDescent="0.3">
      <c r="A117" s="76"/>
      <c r="B117" s="78" t="s">
        <v>1585</v>
      </c>
      <c r="C117" s="78" t="s">
        <v>1493</v>
      </c>
      <c r="D117" s="78" t="s">
        <v>171</v>
      </c>
      <c r="E117" s="78" t="s">
        <v>1500</v>
      </c>
      <c r="F117" s="78" t="s">
        <v>1501</v>
      </c>
      <c r="G117" s="78" t="s">
        <v>1513</v>
      </c>
      <c r="H117" s="77"/>
      <c r="I117" s="22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9"/>
    </row>
    <row r="118" spans="1:31" x14ac:dyDescent="0.3">
      <c r="A118" s="76"/>
      <c r="B118" s="78" t="s">
        <v>1627</v>
      </c>
      <c r="C118" s="78" t="s">
        <v>1496</v>
      </c>
      <c r="D118" s="78" t="s">
        <v>268</v>
      </c>
      <c r="E118" s="78" t="s">
        <v>1628</v>
      </c>
      <c r="F118" s="78" t="s">
        <v>1558</v>
      </c>
      <c r="G118" s="78" t="s">
        <v>1513</v>
      </c>
      <c r="H118" s="77"/>
      <c r="I118" s="226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9"/>
    </row>
    <row r="119" spans="1:31" ht="15" thickBot="1" x14ac:dyDescent="0.35">
      <c r="A119" s="81"/>
      <c r="B119" s="82" t="s">
        <v>1629</v>
      </c>
      <c r="C119" s="82" t="s">
        <v>1489</v>
      </c>
      <c r="D119" s="82" t="s">
        <v>581</v>
      </c>
      <c r="E119" s="82" t="s">
        <v>1618</v>
      </c>
      <c r="F119" s="82" t="s">
        <v>1619</v>
      </c>
      <c r="G119" s="82" t="s">
        <v>1513</v>
      </c>
      <c r="H119" s="83"/>
      <c r="I119" s="227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4"/>
    </row>
    <row r="120" spans="1:31" x14ac:dyDescent="0.3">
      <c r="A120" s="72" t="s">
        <v>1107</v>
      </c>
      <c r="B120" s="73" t="s">
        <v>1630</v>
      </c>
      <c r="C120" s="74" t="s">
        <v>1479</v>
      </c>
      <c r="D120" s="74" t="s">
        <v>1108</v>
      </c>
      <c r="E120" s="74" t="s">
        <v>1480</v>
      </c>
      <c r="F120" s="74"/>
      <c r="G120" s="74" t="s">
        <v>1481</v>
      </c>
      <c r="H120" s="73" t="s">
        <v>1482</v>
      </c>
      <c r="I120" s="225">
        <v>99</v>
      </c>
      <c r="J120" s="73" t="s">
        <v>1106</v>
      </c>
      <c r="K120" s="73">
        <v>171</v>
      </c>
      <c r="L120" s="73" t="s">
        <v>195</v>
      </c>
      <c r="M120" s="73" t="s">
        <v>1483</v>
      </c>
      <c r="N120" s="73" t="s">
        <v>1483</v>
      </c>
      <c r="O120" s="73" t="s">
        <v>1483</v>
      </c>
      <c r="P120" s="73" t="s">
        <v>1483</v>
      </c>
      <c r="Q120" s="73" t="s">
        <v>1483</v>
      </c>
      <c r="R120" s="73" t="s">
        <v>1483</v>
      </c>
      <c r="S120" s="73" t="s">
        <v>1484</v>
      </c>
      <c r="T120" s="73" t="s">
        <v>1484</v>
      </c>
      <c r="U120" s="73" t="s">
        <v>1484</v>
      </c>
      <c r="V120" s="73" t="s">
        <v>1484</v>
      </c>
      <c r="W120" s="73" t="s">
        <v>1485</v>
      </c>
      <c r="X120" s="73" t="s">
        <v>1484</v>
      </c>
      <c r="Y120" s="73" t="s">
        <v>1484</v>
      </c>
      <c r="Z120" s="73" t="s">
        <v>1485</v>
      </c>
      <c r="AA120" s="73" t="s">
        <v>1485</v>
      </c>
      <c r="AB120" s="73" t="s">
        <v>1484</v>
      </c>
      <c r="AC120" s="73" t="s">
        <v>1486</v>
      </c>
      <c r="AD120" s="73" t="s">
        <v>1487</v>
      </c>
      <c r="AE120" s="75" t="s">
        <v>1488</v>
      </c>
    </row>
    <row r="121" spans="1:31" x14ac:dyDescent="0.3">
      <c r="A121" s="76"/>
      <c r="B121" s="77"/>
      <c r="C121" s="78" t="s">
        <v>1493</v>
      </c>
      <c r="D121" s="78" t="s">
        <v>244</v>
      </c>
      <c r="E121" s="78" t="s">
        <v>1628</v>
      </c>
      <c r="F121" s="78" t="s">
        <v>1565</v>
      </c>
      <c r="G121" s="78" t="s">
        <v>1492</v>
      </c>
      <c r="H121" s="77"/>
      <c r="I121" s="226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9"/>
    </row>
    <row r="122" spans="1:31" x14ac:dyDescent="0.3">
      <c r="A122" s="76"/>
      <c r="B122" s="77"/>
      <c r="C122" s="78" t="s">
        <v>1496</v>
      </c>
      <c r="D122" s="78" t="s">
        <v>127</v>
      </c>
      <c r="E122" s="78" t="s">
        <v>1618</v>
      </c>
      <c r="F122" s="78" t="s">
        <v>1631</v>
      </c>
      <c r="G122" s="78" t="s">
        <v>1492</v>
      </c>
      <c r="H122" s="77"/>
      <c r="I122" s="226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9"/>
    </row>
    <row r="123" spans="1:31" x14ac:dyDescent="0.3">
      <c r="A123" s="76"/>
      <c r="B123" s="77"/>
      <c r="C123" s="78" t="s">
        <v>1499</v>
      </c>
      <c r="D123" s="78" t="s">
        <v>158</v>
      </c>
      <c r="E123" s="78" t="s">
        <v>1500</v>
      </c>
      <c r="F123" s="78" t="s">
        <v>1501</v>
      </c>
      <c r="G123" s="78" t="s">
        <v>1492</v>
      </c>
      <c r="H123" s="77"/>
      <c r="I123" s="226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9"/>
    </row>
    <row r="124" spans="1:31" x14ac:dyDescent="0.3">
      <c r="A124" s="76"/>
      <c r="B124" s="77"/>
      <c r="C124" s="78" t="s">
        <v>1504</v>
      </c>
      <c r="D124" s="78" t="s">
        <v>263</v>
      </c>
      <c r="E124" s="78" t="s">
        <v>1595</v>
      </c>
      <c r="F124" s="78" t="s">
        <v>1631</v>
      </c>
      <c r="G124" s="78" t="s">
        <v>1492</v>
      </c>
      <c r="H124" s="77"/>
      <c r="I124" s="226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9"/>
    </row>
    <row r="125" spans="1:31" x14ac:dyDescent="0.3">
      <c r="A125" s="76"/>
      <c r="B125" s="80"/>
      <c r="C125" s="78" t="s">
        <v>1507</v>
      </c>
      <c r="D125" s="78" t="s">
        <v>1109</v>
      </c>
      <c r="E125" s="78" t="s">
        <v>1632</v>
      </c>
      <c r="F125" s="78" t="s">
        <v>1581</v>
      </c>
      <c r="G125" s="78" t="s">
        <v>1492</v>
      </c>
      <c r="H125" s="77"/>
      <c r="I125" s="226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9"/>
    </row>
    <row r="126" spans="1:31" x14ac:dyDescent="0.3">
      <c r="A126" s="76"/>
      <c r="B126" s="78" t="s">
        <v>1485</v>
      </c>
      <c r="C126" s="78" t="s">
        <v>1485</v>
      </c>
      <c r="D126" s="78" t="s">
        <v>1633</v>
      </c>
      <c r="E126" s="78" t="s">
        <v>1534</v>
      </c>
      <c r="F126" s="78" t="s">
        <v>1535</v>
      </c>
      <c r="G126" s="78" t="s">
        <v>1513</v>
      </c>
      <c r="H126" s="77"/>
      <c r="I126" s="226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9"/>
    </row>
    <row r="127" spans="1:31" x14ac:dyDescent="0.3">
      <c r="A127" s="76"/>
      <c r="B127" s="78" t="s">
        <v>1485</v>
      </c>
      <c r="C127" s="78" t="s">
        <v>1485</v>
      </c>
      <c r="D127" s="78" t="s">
        <v>1634</v>
      </c>
      <c r="E127" s="78" t="s">
        <v>1511</v>
      </c>
      <c r="F127" s="78" t="s">
        <v>1623</v>
      </c>
      <c r="G127" s="78" t="s">
        <v>1513</v>
      </c>
      <c r="H127" s="77"/>
      <c r="I127" s="226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9"/>
    </row>
    <row r="128" spans="1:31" x14ac:dyDescent="0.3">
      <c r="A128" s="76"/>
      <c r="B128" s="78" t="s">
        <v>1635</v>
      </c>
      <c r="C128" s="78" t="s">
        <v>1489</v>
      </c>
      <c r="D128" s="78" t="s">
        <v>663</v>
      </c>
      <c r="E128" s="78" t="s">
        <v>1480</v>
      </c>
      <c r="F128" s="78" t="s">
        <v>1518</v>
      </c>
      <c r="G128" s="78" t="s">
        <v>1513</v>
      </c>
      <c r="H128" s="77"/>
      <c r="I128" s="226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9"/>
    </row>
    <row r="129" spans="1:31" x14ac:dyDescent="0.3">
      <c r="A129" s="76"/>
      <c r="B129" s="78" t="s">
        <v>1636</v>
      </c>
      <c r="C129" s="78" t="s">
        <v>1493</v>
      </c>
      <c r="D129" s="78" t="s">
        <v>158</v>
      </c>
      <c r="E129" s="78" t="s">
        <v>1500</v>
      </c>
      <c r="F129" s="78" t="s">
        <v>1501</v>
      </c>
      <c r="G129" s="78" t="s">
        <v>1513</v>
      </c>
      <c r="H129" s="77"/>
      <c r="I129" s="226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9"/>
    </row>
    <row r="130" spans="1:31" x14ac:dyDescent="0.3">
      <c r="A130" s="76"/>
      <c r="B130" s="78" t="s">
        <v>1637</v>
      </c>
      <c r="C130" s="78" t="s">
        <v>1489</v>
      </c>
      <c r="D130" s="78" t="s">
        <v>127</v>
      </c>
      <c r="E130" s="78" t="s">
        <v>1618</v>
      </c>
      <c r="F130" s="78" t="s">
        <v>1631</v>
      </c>
      <c r="G130" s="78" t="s">
        <v>1513</v>
      </c>
      <c r="H130" s="77"/>
      <c r="I130" s="226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9"/>
    </row>
    <row r="131" spans="1:31" x14ac:dyDescent="0.3">
      <c r="A131" s="76"/>
      <c r="B131" s="78" t="s">
        <v>1638</v>
      </c>
      <c r="C131" s="78" t="s">
        <v>1496</v>
      </c>
      <c r="D131" s="78" t="s">
        <v>263</v>
      </c>
      <c r="E131" s="78" t="s">
        <v>1595</v>
      </c>
      <c r="F131" s="78" t="s">
        <v>1631</v>
      </c>
      <c r="G131" s="78" t="s">
        <v>1513</v>
      </c>
      <c r="H131" s="77"/>
      <c r="I131" s="226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9"/>
    </row>
    <row r="132" spans="1:31" ht="15" thickBot="1" x14ac:dyDescent="0.35">
      <c r="A132" s="81"/>
      <c r="B132" s="82" t="s">
        <v>1639</v>
      </c>
      <c r="C132" s="82" t="s">
        <v>1489</v>
      </c>
      <c r="D132" s="82" t="s">
        <v>244</v>
      </c>
      <c r="E132" s="82" t="s">
        <v>1628</v>
      </c>
      <c r="F132" s="82" t="s">
        <v>1565</v>
      </c>
      <c r="G132" s="82" t="s">
        <v>1513</v>
      </c>
      <c r="H132" s="83"/>
      <c r="I132" s="227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4"/>
    </row>
    <row r="133" spans="1:31" x14ac:dyDescent="0.3">
      <c r="A133" s="72" t="s">
        <v>1061</v>
      </c>
      <c r="B133" s="73" t="s">
        <v>1640</v>
      </c>
      <c r="C133" s="74" t="s">
        <v>1479</v>
      </c>
      <c r="D133" s="74" t="s">
        <v>1063</v>
      </c>
      <c r="E133" s="74" t="s">
        <v>1480</v>
      </c>
      <c r="F133" s="74"/>
      <c r="G133" s="74" t="s">
        <v>1481</v>
      </c>
      <c r="H133" s="73" t="s">
        <v>1641</v>
      </c>
      <c r="I133" s="225">
        <v>92</v>
      </c>
      <c r="J133" s="73" t="s">
        <v>1060</v>
      </c>
      <c r="K133" s="73">
        <v>161</v>
      </c>
      <c r="L133" s="73" t="s">
        <v>195</v>
      </c>
      <c r="M133" s="73" t="s">
        <v>1483</v>
      </c>
      <c r="N133" s="73" t="s">
        <v>1483</v>
      </c>
      <c r="O133" s="73" t="s">
        <v>1642</v>
      </c>
      <c r="P133" s="73" t="s">
        <v>1642</v>
      </c>
      <c r="Q133" s="73" t="s">
        <v>1642</v>
      </c>
      <c r="R133" s="73" t="s">
        <v>1642</v>
      </c>
      <c r="S133" s="73" t="s">
        <v>1484</v>
      </c>
      <c r="T133" s="73" t="s">
        <v>1484</v>
      </c>
      <c r="U133" s="73" t="s">
        <v>1484</v>
      </c>
      <c r="V133" s="73" t="s">
        <v>1484</v>
      </c>
      <c r="W133" s="73" t="s">
        <v>1484</v>
      </c>
      <c r="X133" s="73" t="s">
        <v>1484</v>
      </c>
      <c r="Y133" s="73" t="s">
        <v>1484</v>
      </c>
      <c r="Z133" s="73" t="s">
        <v>1576</v>
      </c>
      <c r="AA133" s="73" t="s">
        <v>1485</v>
      </c>
      <c r="AB133" s="73" t="s">
        <v>1576</v>
      </c>
      <c r="AC133" s="73" t="s">
        <v>1577</v>
      </c>
      <c r="AD133" s="73" t="s">
        <v>1643</v>
      </c>
      <c r="AE133" s="75" t="s">
        <v>1644</v>
      </c>
    </row>
    <row r="134" spans="1:31" x14ac:dyDescent="0.3">
      <c r="A134" s="76"/>
      <c r="B134" s="77"/>
      <c r="C134" s="78" t="s">
        <v>1493</v>
      </c>
      <c r="D134" s="78" t="s">
        <v>494</v>
      </c>
      <c r="E134" s="78" t="s">
        <v>1494</v>
      </c>
      <c r="F134" s="78" t="s">
        <v>1495</v>
      </c>
      <c r="G134" s="78" t="s">
        <v>1492</v>
      </c>
      <c r="H134" s="77"/>
      <c r="I134" s="226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9"/>
    </row>
    <row r="135" spans="1:31" x14ac:dyDescent="0.3">
      <c r="A135" s="76"/>
      <c r="B135" s="77"/>
      <c r="C135" s="78" t="s">
        <v>1499</v>
      </c>
      <c r="D135" s="78" t="s">
        <v>92</v>
      </c>
      <c r="E135" s="78" t="s">
        <v>1500</v>
      </c>
      <c r="F135" s="78" t="s">
        <v>1501</v>
      </c>
      <c r="G135" s="78" t="s">
        <v>1492</v>
      </c>
      <c r="H135" s="77"/>
      <c r="I135" s="226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9"/>
    </row>
    <row r="136" spans="1:31" x14ac:dyDescent="0.3">
      <c r="A136" s="76"/>
      <c r="B136" s="80"/>
      <c r="C136" s="78" t="s">
        <v>1507</v>
      </c>
      <c r="D136" s="78" t="s">
        <v>1062</v>
      </c>
      <c r="E136" s="78" t="s">
        <v>1645</v>
      </c>
      <c r="F136" s="78" t="s">
        <v>1646</v>
      </c>
      <c r="G136" s="78" t="s">
        <v>1492</v>
      </c>
      <c r="H136" s="77"/>
      <c r="I136" s="226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9"/>
    </row>
    <row r="137" spans="1:31" x14ac:dyDescent="0.3">
      <c r="A137" s="76"/>
      <c r="B137" s="78" t="s">
        <v>1647</v>
      </c>
      <c r="C137" s="78" t="s">
        <v>1489</v>
      </c>
      <c r="D137" s="78" t="s">
        <v>669</v>
      </c>
      <c r="E137" s="78" t="s">
        <v>1480</v>
      </c>
      <c r="F137" s="78" t="s">
        <v>1518</v>
      </c>
      <c r="G137" s="78" t="s">
        <v>1513</v>
      </c>
      <c r="H137" s="85"/>
      <c r="I137" s="226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9"/>
    </row>
    <row r="138" spans="1:31" x14ac:dyDescent="0.3">
      <c r="A138" s="76"/>
      <c r="B138" s="78" t="s">
        <v>1648</v>
      </c>
      <c r="C138" s="78" t="s">
        <v>1493</v>
      </c>
      <c r="D138" s="78" t="s">
        <v>494</v>
      </c>
      <c r="E138" s="78" t="s">
        <v>1494</v>
      </c>
      <c r="F138" s="78" t="s">
        <v>1495</v>
      </c>
      <c r="G138" s="78" t="s">
        <v>1513</v>
      </c>
      <c r="H138" s="85"/>
      <c r="I138" s="226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9"/>
    </row>
    <row r="139" spans="1:31" ht="15" thickBot="1" x14ac:dyDescent="0.35">
      <c r="A139" s="81"/>
      <c r="B139" s="82" t="s">
        <v>1649</v>
      </c>
      <c r="C139" s="82" t="s">
        <v>1493</v>
      </c>
      <c r="D139" s="82" t="s">
        <v>92</v>
      </c>
      <c r="E139" s="82" t="s">
        <v>1500</v>
      </c>
      <c r="F139" s="82" t="s">
        <v>1501</v>
      </c>
      <c r="G139" s="82" t="s">
        <v>1513</v>
      </c>
      <c r="H139" s="83"/>
      <c r="I139" s="227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4"/>
    </row>
    <row r="140" spans="1:31" x14ac:dyDescent="0.3">
      <c r="A140" s="72" t="s">
        <v>1056</v>
      </c>
      <c r="B140" s="73" t="s">
        <v>1650</v>
      </c>
      <c r="C140" s="74" t="s">
        <v>1479</v>
      </c>
      <c r="D140" s="74" t="s">
        <v>1057</v>
      </c>
      <c r="E140" s="74" t="s">
        <v>1480</v>
      </c>
      <c r="F140" s="74"/>
      <c r="G140" s="74" t="s">
        <v>1481</v>
      </c>
      <c r="H140" s="73" t="s">
        <v>1575</v>
      </c>
      <c r="I140" s="225">
        <v>91</v>
      </c>
      <c r="J140" s="73" t="s">
        <v>1055</v>
      </c>
      <c r="K140" s="73">
        <v>160</v>
      </c>
      <c r="L140" s="73" t="s">
        <v>195</v>
      </c>
      <c r="M140" s="73" t="s">
        <v>1483</v>
      </c>
      <c r="N140" s="73" t="s">
        <v>1483</v>
      </c>
      <c r="O140" s="73" t="s">
        <v>1483</v>
      </c>
      <c r="P140" s="73" t="s">
        <v>1483</v>
      </c>
      <c r="Q140" s="73" t="s">
        <v>1483</v>
      </c>
      <c r="R140" s="73" t="s">
        <v>1483</v>
      </c>
      <c r="S140" s="73" t="s">
        <v>1484</v>
      </c>
      <c r="T140" s="73" t="s">
        <v>1484</v>
      </c>
      <c r="U140" s="73" t="s">
        <v>1484</v>
      </c>
      <c r="V140" s="73" t="s">
        <v>1484</v>
      </c>
      <c r="W140" s="73" t="s">
        <v>1485</v>
      </c>
      <c r="X140" s="73" t="s">
        <v>1484</v>
      </c>
      <c r="Y140" s="73" t="s">
        <v>1484</v>
      </c>
      <c r="Z140" s="73" t="s">
        <v>1484</v>
      </c>
      <c r="AA140" s="73" t="s">
        <v>1485</v>
      </c>
      <c r="AB140" s="73" t="s">
        <v>1484</v>
      </c>
      <c r="AC140" s="73" t="s">
        <v>1486</v>
      </c>
      <c r="AD140" s="73" t="s">
        <v>1487</v>
      </c>
      <c r="AE140" s="75" t="s">
        <v>1579</v>
      </c>
    </row>
    <row r="141" spans="1:31" x14ac:dyDescent="0.3">
      <c r="A141" s="76"/>
      <c r="B141" s="77"/>
      <c r="C141" s="78" t="s">
        <v>1489</v>
      </c>
      <c r="D141" s="78" t="s">
        <v>518</v>
      </c>
      <c r="E141" s="78" t="s">
        <v>1651</v>
      </c>
      <c r="F141" s="78" t="s">
        <v>1611</v>
      </c>
      <c r="G141" s="78" t="s">
        <v>1492</v>
      </c>
      <c r="H141" s="77"/>
      <c r="I141" s="226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9"/>
    </row>
    <row r="142" spans="1:31" x14ac:dyDescent="0.3">
      <c r="A142" s="76"/>
      <c r="B142" s="77"/>
      <c r="C142" s="78" t="s">
        <v>1493</v>
      </c>
      <c r="D142" s="78" t="s">
        <v>486</v>
      </c>
      <c r="E142" s="78" t="s">
        <v>1494</v>
      </c>
      <c r="F142" s="78" t="s">
        <v>1495</v>
      </c>
      <c r="G142" s="78" t="s">
        <v>1492</v>
      </c>
      <c r="H142" s="77"/>
      <c r="I142" s="226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9"/>
    </row>
    <row r="143" spans="1:31" x14ac:dyDescent="0.3">
      <c r="A143" s="76"/>
      <c r="B143" s="77"/>
      <c r="C143" s="78" t="s">
        <v>1496</v>
      </c>
      <c r="D143" s="78" t="s">
        <v>39</v>
      </c>
      <c r="E143" s="78" t="s">
        <v>1503</v>
      </c>
      <c r="F143" s="78" t="s">
        <v>1495</v>
      </c>
      <c r="G143" s="78" t="s">
        <v>1492</v>
      </c>
      <c r="H143" s="77"/>
      <c r="I143" s="226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9"/>
    </row>
    <row r="144" spans="1:31" x14ac:dyDescent="0.3">
      <c r="A144" s="76"/>
      <c r="B144" s="77"/>
      <c r="C144" s="78" t="s">
        <v>1499</v>
      </c>
      <c r="D144" s="78" t="s">
        <v>106</v>
      </c>
      <c r="E144" s="78" t="s">
        <v>1500</v>
      </c>
      <c r="F144" s="78" t="s">
        <v>1501</v>
      </c>
      <c r="G144" s="78" t="s">
        <v>1492</v>
      </c>
      <c r="H144" s="77"/>
      <c r="I144" s="226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9"/>
    </row>
    <row r="145" spans="1:31" x14ac:dyDescent="0.3">
      <c r="A145" s="76"/>
      <c r="B145" s="77"/>
      <c r="C145" s="78" t="s">
        <v>1502</v>
      </c>
      <c r="D145" s="200" t="s">
        <v>2651</v>
      </c>
      <c r="E145" s="78" t="s">
        <v>1580</v>
      </c>
      <c r="F145" s="78" t="s">
        <v>1652</v>
      </c>
      <c r="G145" s="78" t="s">
        <v>1492</v>
      </c>
      <c r="H145" s="77"/>
      <c r="I145" s="226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9"/>
    </row>
    <row r="146" spans="1:31" x14ac:dyDescent="0.3">
      <c r="A146" s="76"/>
      <c r="B146" s="80"/>
      <c r="C146" s="78" t="s">
        <v>1504</v>
      </c>
      <c r="D146" s="78" t="s">
        <v>93</v>
      </c>
      <c r="E146" s="78" t="s">
        <v>1560</v>
      </c>
      <c r="F146" s="78" t="s">
        <v>1631</v>
      </c>
      <c r="G146" s="78" t="s">
        <v>1492</v>
      </c>
      <c r="H146" s="85"/>
      <c r="I146" s="226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9"/>
    </row>
    <row r="147" spans="1:31" x14ac:dyDescent="0.3">
      <c r="A147" s="76"/>
      <c r="B147" s="78" t="s">
        <v>1485</v>
      </c>
      <c r="C147" s="78" t="s">
        <v>1485</v>
      </c>
      <c r="D147" s="78" t="s">
        <v>1058</v>
      </c>
      <c r="E147" s="78" t="s">
        <v>1548</v>
      </c>
      <c r="F147" s="78" t="s">
        <v>1512</v>
      </c>
      <c r="G147" s="78" t="s">
        <v>1513</v>
      </c>
      <c r="H147" s="85"/>
      <c r="I147" s="226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9"/>
    </row>
    <row r="148" spans="1:31" x14ac:dyDescent="0.3">
      <c r="A148" s="76"/>
      <c r="B148" s="78" t="s">
        <v>1653</v>
      </c>
      <c r="C148" s="78" t="s">
        <v>1489</v>
      </c>
      <c r="D148" s="78" t="s">
        <v>676</v>
      </c>
      <c r="E148" s="78" t="s">
        <v>1480</v>
      </c>
      <c r="F148" s="78" t="s">
        <v>1518</v>
      </c>
      <c r="G148" s="78" t="s">
        <v>1513</v>
      </c>
      <c r="H148" s="85"/>
      <c r="I148" s="226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9"/>
    </row>
    <row r="149" spans="1:31" x14ac:dyDescent="0.3">
      <c r="A149" s="76"/>
      <c r="B149" s="78" t="s">
        <v>1654</v>
      </c>
      <c r="C149" s="78" t="s">
        <v>1489</v>
      </c>
      <c r="D149" s="78" t="s">
        <v>486</v>
      </c>
      <c r="E149" s="78" t="s">
        <v>1494</v>
      </c>
      <c r="F149" s="78" t="s">
        <v>1495</v>
      </c>
      <c r="G149" s="78" t="s">
        <v>1513</v>
      </c>
      <c r="H149" s="85"/>
      <c r="I149" s="226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9"/>
    </row>
    <row r="150" spans="1:31" x14ac:dyDescent="0.3">
      <c r="A150" s="76"/>
      <c r="B150" s="78" t="s">
        <v>1655</v>
      </c>
      <c r="C150" s="78" t="s">
        <v>1496</v>
      </c>
      <c r="D150" s="78" t="s">
        <v>39</v>
      </c>
      <c r="E150" s="78" t="s">
        <v>1503</v>
      </c>
      <c r="F150" s="78" t="s">
        <v>1495</v>
      </c>
      <c r="G150" s="78" t="s">
        <v>1513</v>
      </c>
      <c r="H150" s="77"/>
      <c r="I150" s="226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9"/>
    </row>
    <row r="151" spans="1:31" ht="15" thickBot="1" x14ac:dyDescent="0.35">
      <c r="A151" s="76"/>
      <c r="B151" s="78" t="s">
        <v>1656</v>
      </c>
      <c r="C151" s="78" t="s">
        <v>1493</v>
      </c>
      <c r="D151" s="78" t="s">
        <v>106</v>
      </c>
      <c r="E151" s="78" t="s">
        <v>1500</v>
      </c>
      <c r="F151" s="78" t="s">
        <v>1501</v>
      </c>
      <c r="G151" s="78" t="s">
        <v>1513</v>
      </c>
      <c r="H151" s="77"/>
      <c r="I151" s="226"/>
      <c r="J151" s="77"/>
      <c r="K151" s="77"/>
      <c r="L151" s="77"/>
      <c r="M151" s="83"/>
      <c r="N151" s="83"/>
      <c r="O151" s="83"/>
      <c r="P151" s="83"/>
      <c r="Q151" s="83"/>
      <c r="R151" s="83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9"/>
    </row>
    <row r="152" spans="1:31" ht="15" thickBot="1" x14ac:dyDescent="0.35">
      <c r="A152" s="81"/>
      <c r="B152" s="82" t="s">
        <v>1657</v>
      </c>
      <c r="C152" s="82" t="s">
        <v>1493</v>
      </c>
      <c r="D152" s="82" t="s">
        <v>93</v>
      </c>
      <c r="E152" s="82" t="s">
        <v>1560</v>
      </c>
      <c r="F152" s="82" t="s">
        <v>1631</v>
      </c>
      <c r="G152" s="82" t="s">
        <v>1513</v>
      </c>
      <c r="H152" s="82"/>
      <c r="I152" s="227"/>
      <c r="J152" s="83"/>
      <c r="K152" s="83"/>
      <c r="L152" s="83"/>
      <c r="M152" s="77"/>
      <c r="N152" s="77"/>
      <c r="O152" s="77"/>
      <c r="P152" s="77"/>
      <c r="Q152" s="77"/>
      <c r="R152" s="77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4"/>
    </row>
    <row r="153" spans="1:31" x14ac:dyDescent="0.3">
      <c r="A153" s="72" t="s">
        <v>1049</v>
      </c>
      <c r="B153" s="73" t="s">
        <v>1658</v>
      </c>
      <c r="C153" s="74" t="s">
        <v>1479</v>
      </c>
      <c r="D153" s="74" t="s">
        <v>1050</v>
      </c>
      <c r="E153" s="74" t="s">
        <v>1480</v>
      </c>
      <c r="F153" s="74"/>
      <c r="G153" s="74" t="s">
        <v>1481</v>
      </c>
      <c r="H153" s="73" t="s">
        <v>1482</v>
      </c>
      <c r="I153" s="225">
        <v>90</v>
      </c>
      <c r="J153" s="73" t="s">
        <v>1048</v>
      </c>
      <c r="K153" s="73">
        <v>159</v>
      </c>
      <c r="L153" s="73" t="s">
        <v>195</v>
      </c>
      <c r="M153" s="73" t="s">
        <v>1483</v>
      </c>
      <c r="N153" s="73" t="s">
        <v>1483</v>
      </c>
      <c r="O153" s="73" t="s">
        <v>1483</v>
      </c>
      <c r="P153" s="73" t="s">
        <v>1483</v>
      </c>
      <c r="Q153" s="73" t="s">
        <v>1483</v>
      </c>
      <c r="R153" s="73" t="s">
        <v>1483</v>
      </c>
      <c r="S153" s="73" t="s">
        <v>1484</v>
      </c>
      <c r="T153" s="73" t="s">
        <v>1484</v>
      </c>
      <c r="U153" s="73" t="s">
        <v>1484</v>
      </c>
      <c r="V153" s="73" t="s">
        <v>1484</v>
      </c>
      <c r="W153" s="73" t="s">
        <v>1485</v>
      </c>
      <c r="X153" s="73" t="s">
        <v>1484</v>
      </c>
      <c r="Y153" s="73" t="s">
        <v>1484</v>
      </c>
      <c r="Z153" s="73" t="s">
        <v>1485</v>
      </c>
      <c r="AA153" s="73" t="s">
        <v>1485</v>
      </c>
      <c r="AB153" s="73" t="s">
        <v>1484</v>
      </c>
      <c r="AC153" s="73" t="s">
        <v>1659</v>
      </c>
      <c r="AD153" s="73" t="s">
        <v>1660</v>
      </c>
      <c r="AE153" s="75" t="s">
        <v>1488</v>
      </c>
    </row>
    <row r="154" spans="1:31" x14ac:dyDescent="0.3">
      <c r="A154" s="76"/>
      <c r="B154" s="77"/>
      <c r="C154" s="78" t="s">
        <v>1489</v>
      </c>
      <c r="D154" s="78" t="s">
        <v>1051</v>
      </c>
      <c r="E154" s="78" t="s">
        <v>1560</v>
      </c>
      <c r="F154" s="78" t="s">
        <v>1661</v>
      </c>
      <c r="G154" s="78" t="s">
        <v>1492</v>
      </c>
      <c r="H154" s="77"/>
      <c r="I154" s="226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9"/>
    </row>
    <row r="155" spans="1:31" x14ac:dyDescent="0.3">
      <c r="A155" s="76"/>
      <c r="B155" s="77"/>
      <c r="C155" s="78" t="s">
        <v>1493</v>
      </c>
      <c r="D155" s="78" t="s">
        <v>479</v>
      </c>
      <c r="E155" s="78" t="s">
        <v>1494</v>
      </c>
      <c r="F155" s="78" t="s">
        <v>1495</v>
      </c>
      <c r="G155" s="78" t="s">
        <v>1492</v>
      </c>
      <c r="H155" s="77"/>
      <c r="I155" s="22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9"/>
    </row>
    <row r="156" spans="1:31" x14ac:dyDescent="0.3">
      <c r="A156" s="76"/>
      <c r="B156" s="77"/>
      <c r="C156" s="78" t="s">
        <v>1496</v>
      </c>
      <c r="D156" s="78" t="s">
        <v>141</v>
      </c>
      <c r="E156" s="78" t="s">
        <v>1591</v>
      </c>
      <c r="F156" s="200" t="s">
        <v>1819</v>
      </c>
      <c r="G156" s="78" t="s">
        <v>1492</v>
      </c>
      <c r="H156" s="77"/>
      <c r="I156" s="226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9"/>
    </row>
    <row r="157" spans="1:31" x14ac:dyDescent="0.3">
      <c r="A157" s="76"/>
      <c r="B157" s="77"/>
      <c r="C157" s="78" t="s">
        <v>1502</v>
      </c>
      <c r="D157" s="78" t="s">
        <v>264</v>
      </c>
      <c r="E157" s="78" t="s">
        <v>1500</v>
      </c>
      <c r="F157" s="78" t="s">
        <v>1501</v>
      </c>
      <c r="G157" s="78" t="s">
        <v>1492</v>
      </c>
      <c r="H157" s="77"/>
      <c r="I157" s="226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9"/>
    </row>
    <row r="158" spans="1:31" x14ac:dyDescent="0.3">
      <c r="A158" s="76"/>
      <c r="B158" s="77"/>
      <c r="C158" s="78" t="s">
        <v>1504</v>
      </c>
      <c r="D158" s="78" t="s">
        <v>50</v>
      </c>
      <c r="E158" s="78" t="s">
        <v>1503</v>
      </c>
      <c r="F158" s="78" t="s">
        <v>1495</v>
      </c>
      <c r="G158" s="78" t="s">
        <v>1492</v>
      </c>
      <c r="H158" s="77"/>
      <c r="I158" s="226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9"/>
    </row>
    <row r="159" spans="1:31" x14ac:dyDescent="0.3">
      <c r="A159" s="76"/>
      <c r="B159" s="80"/>
      <c r="C159" s="78" t="s">
        <v>1507</v>
      </c>
      <c r="D159" s="78" t="s">
        <v>1052</v>
      </c>
      <c r="E159" s="78" t="s">
        <v>1515</v>
      </c>
      <c r="F159" s="78" t="s">
        <v>1581</v>
      </c>
      <c r="G159" s="78" t="s">
        <v>1492</v>
      </c>
      <c r="H159" s="77"/>
      <c r="I159" s="226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9"/>
    </row>
    <row r="160" spans="1:31" x14ac:dyDescent="0.3">
      <c r="A160" s="76"/>
      <c r="B160" s="78" t="s">
        <v>1485</v>
      </c>
      <c r="C160" s="78" t="s">
        <v>1485</v>
      </c>
      <c r="D160" s="78" t="s">
        <v>1053</v>
      </c>
      <c r="E160" s="78" t="s">
        <v>1548</v>
      </c>
      <c r="F160" s="78" t="s">
        <v>1623</v>
      </c>
      <c r="G160" s="78" t="s">
        <v>1513</v>
      </c>
      <c r="H160" s="77"/>
      <c r="I160" s="226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9"/>
    </row>
    <row r="161" spans="1:31" x14ac:dyDescent="0.3">
      <c r="A161" s="76"/>
      <c r="B161" s="78" t="s">
        <v>1662</v>
      </c>
      <c r="C161" s="78" t="s">
        <v>1493</v>
      </c>
      <c r="D161" s="78" t="s">
        <v>541</v>
      </c>
      <c r="E161" s="78" t="s">
        <v>1651</v>
      </c>
      <c r="F161" s="78" t="s">
        <v>1600</v>
      </c>
      <c r="G161" s="78" t="s">
        <v>1513</v>
      </c>
      <c r="H161" s="77"/>
      <c r="I161" s="226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9"/>
    </row>
    <row r="162" spans="1:31" x14ac:dyDescent="0.3">
      <c r="A162" s="76"/>
      <c r="B162" s="78" t="s">
        <v>1663</v>
      </c>
      <c r="C162" s="78" t="s">
        <v>1489</v>
      </c>
      <c r="D162" s="78" t="s">
        <v>641</v>
      </c>
      <c r="E162" s="78" t="s">
        <v>1480</v>
      </c>
      <c r="F162" s="78" t="s">
        <v>1518</v>
      </c>
      <c r="G162" s="78" t="s">
        <v>1513</v>
      </c>
      <c r="H162" s="77"/>
      <c r="I162" s="226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9"/>
    </row>
    <row r="163" spans="1:31" x14ac:dyDescent="0.3">
      <c r="A163" s="76"/>
      <c r="B163" s="78" t="s">
        <v>1664</v>
      </c>
      <c r="C163" s="78" t="s">
        <v>1489</v>
      </c>
      <c r="D163" s="78" t="s">
        <v>479</v>
      </c>
      <c r="E163" s="78" t="s">
        <v>1494</v>
      </c>
      <c r="F163" s="78" t="s">
        <v>1495</v>
      </c>
      <c r="G163" s="78" t="s">
        <v>1513</v>
      </c>
      <c r="H163" s="77"/>
      <c r="I163" s="226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9"/>
    </row>
    <row r="164" spans="1:31" x14ac:dyDescent="0.3">
      <c r="A164" s="76"/>
      <c r="B164" s="78" t="s">
        <v>1665</v>
      </c>
      <c r="C164" s="78" t="s">
        <v>1499</v>
      </c>
      <c r="D164" s="78" t="s">
        <v>50</v>
      </c>
      <c r="E164" s="78" t="s">
        <v>1503</v>
      </c>
      <c r="F164" s="78" t="s">
        <v>1495</v>
      </c>
      <c r="G164" s="78" t="s">
        <v>1513</v>
      </c>
      <c r="H164" s="77"/>
      <c r="I164" s="226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9"/>
    </row>
    <row r="165" spans="1:31" x14ac:dyDescent="0.3">
      <c r="A165" s="76"/>
      <c r="B165" s="78" t="s">
        <v>1614</v>
      </c>
      <c r="C165" s="78" t="s">
        <v>1499</v>
      </c>
      <c r="D165" s="78" t="s">
        <v>264</v>
      </c>
      <c r="E165" s="78" t="s">
        <v>1500</v>
      </c>
      <c r="F165" s="78" t="s">
        <v>1501</v>
      </c>
      <c r="G165" s="78" t="s">
        <v>1513</v>
      </c>
      <c r="H165" s="77"/>
      <c r="I165" s="226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9"/>
    </row>
    <row r="166" spans="1:31" x14ac:dyDescent="0.3">
      <c r="A166" s="76"/>
      <c r="B166" s="78" t="s">
        <v>1666</v>
      </c>
      <c r="C166" s="78" t="s">
        <v>1493</v>
      </c>
      <c r="D166" s="78" t="s">
        <v>689</v>
      </c>
      <c r="E166" s="78" t="s">
        <v>1667</v>
      </c>
      <c r="F166" s="78" t="s">
        <v>1558</v>
      </c>
      <c r="G166" s="78" t="s">
        <v>1513</v>
      </c>
      <c r="H166" s="77"/>
      <c r="I166" s="226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9"/>
    </row>
    <row r="167" spans="1:31" ht="15" thickBot="1" x14ac:dyDescent="0.35">
      <c r="A167" s="81"/>
      <c r="B167" s="82" t="s">
        <v>1668</v>
      </c>
      <c r="C167" s="82" t="s">
        <v>1489</v>
      </c>
      <c r="D167" s="82" t="s">
        <v>1051</v>
      </c>
      <c r="E167" s="82" t="s">
        <v>1560</v>
      </c>
      <c r="F167" s="82" t="s">
        <v>1661</v>
      </c>
      <c r="G167" s="82" t="s">
        <v>1513</v>
      </c>
      <c r="H167" s="83"/>
      <c r="I167" s="227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4"/>
    </row>
    <row r="168" spans="1:31" x14ac:dyDescent="0.3">
      <c r="A168" s="72" t="s">
        <v>1028</v>
      </c>
      <c r="B168" s="73" t="s">
        <v>1669</v>
      </c>
      <c r="C168" s="74" t="s">
        <v>1479</v>
      </c>
      <c r="D168" s="74" t="s">
        <v>1029</v>
      </c>
      <c r="E168" s="74" t="s">
        <v>1480</v>
      </c>
      <c r="F168" s="74"/>
      <c r="G168" s="74" t="s">
        <v>1481</v>
      </c>
      <c r="H168" s="73" t="s">
        <v>1482</v>
      </c>
      <c r="I168" s="225">
        <v>89</v>
      </c>
      <c r="J168" s="73" t="s">
        <v>1027</v>
      </c>
      <c r="K168" s="73">
        <v>155</v>
      </c>
      <c r="L168" s="73" t="s">
        <v>195</v>
      </c>
      <c r="M168" s="73" t="s">
        <v>1483</v>
      </c>
      <c r="N168" s="73" t="s">
        <v>1483</v>
      </c>
      <c r="O168" s="73" t="s">
        <v>1483</v>
      </c>
      <c r="P168" s="73" t="s">
        <v>1483</v>
      </c>
      <c r="Q168" s="73" t="s">
        <v>1483</v>
      </c>
      <c r="R168" s="73" t="s">
        <v>1483</v>
      </c>
      <c r="S168" s="73" t="s">
        <v>1484</v>
      </c>
      <c r="T168" s="73" t="s">
        <v>1484</v>
      </c>
      <c r="U168" s="73" t="s">
        <v>1484</v>
      </c>
      <c r="V168" s="73" t="s">
        <v>1484</v>
      </c>
      <c r="W168" s="73" t="s">
        <v>1485</v>
      </c>
      <c r="X168" s="73" t="s">
        <v>1484</v>
      </c>
      <c r="Y168" s="73" t="s">
        <v>1484</v>
      </c>
      <c r="Z168" s="73" t="s">
        <v>1485</v>
      </c>
      <c r="AA168" s="73" t="s">
        <v>1485</v>
      </c>
      <c r="AB168" s="73" t="s">
        <v>1484</v>
      </c>
      <c r="AC168" s="73" t="s">
        <v>1486</v>
      </c>
      <c r="AD168" s="73" t="s">
        <v>1487</v>
      </c>
      <c r="AE168" s="75" t="s">
        <v>1488</v>
      </c>
    </row>
    <row r="169" spans="1:31" x14ac:dyDescent="0.3">
      <c r="A169" s="76"/>
      <c r="B169" s="77"/>
      <c r="C169" s="78" t="s">
        <v>1489</v>
      </c>
      <c r="D169" s="78" t="s">
        <v>1030</v>
      </c>
      <c r="E169" s="78" t="s">
        <v>1560</v>
      </c>
      <c r="F169" s="78" t="s">
        <v>1670</v>
      </c>
      <c r="G169" s="78" t="s">
        <v>1492</v>
      </c>
      <c r="H169" s="77"/>
      <c r="I169" s="226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9"/>
    </row>
    <row r="170" spans="1:31" x14ac:dyDescent="0.3">
      <c r="A170" s="76"/>
      <c r="B170" s="77"/>
      <c r="C170" s="78" t="s">
        <v>1493</v>
      </c>
      <c r="D170" s="78" t="s">
        <v>472</v>
      </c>
      <c r="E170" s="78" t="s">
        <v>1494</v>
      </c>
      <c r="F170" s="78" t="s">
        <v>1495</v>
      </c>
      <c r="G170" s="78" t="s">
        <v>1492</v>
      </c>
      <c r="H170" s="77"/>
      <c r="I170" s="226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9"/>
    </row>
    <row r="171" spans="1:31" x14ac:dyDescent="0.3">
      <c r="A171" s="76"/>
      <c r="B171" s="77"/>
      <c r="C171" s="78" t="s">
        <v>1502</v>
      </c>
      <c r="D171" s="78" t="s">
        <v>246</v>
      </c>
      <c r="E171" s="78" t="s">
        <v>1500</v>
      </c>
      <c r="F171" s="78" t="s">
        <v>1501</v>
      </c>
      <c r="G171" s="78" t="s">
        <v>1492</v>
      </c>
      <c r="H171" s="77"/>
      <c r="I171" s="226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9"/>
    </row>
    <row r="172" spans="1:31" x14ac:dyDescent="0.3">
      <c r="A172" s="76"/>
      <c r="B172" s="77"/>
      <c r="C172" s="78" t="s">
        <v>1504</v>
      </c>
      <c r="D172" s="78" t="s">
        <v>91</v>
      </c>
      <c r="E172" s="78" t="s">
        <v>1503</v>
      </c>
      <c r="F172" s="78" t="s">
        <v>1495</v>
      </c>
      <c r="G172" s="78" t="s">
        <v>1492</v>
      </c>
      <c r="H172" s="77"/>
      <c r="I172" s="226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9"/>
    </row>
    <row r="173" spans="1:31" x14ac:dyDescent="0.3">
      <c r="A173" s="76"/>
      <c r="B173" s="80"/>
      <c r="C173" s="78" t="s">
        <v>1507</v>
      </c>
      <c r="D173" s="78" t="s">
        <v>701</v>
      </c>
      <c r="E173" s="78" t="s">
        <v>1667</v>
      </c>
      <c r="F173" s="78" t="s">
        <v>1565</v>
      </c>
      <c r="G173" s="78" t="s">
        <v>1492</v>
      </c>
      <c r="H173" s="77"/>
      <c r="I173" s="226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9"/>
    </row>
    <row r="174" spans="1:31" x14ac:dyDescent="0.3">
      <c r="A174" s="76"/>
      <c r="B174" s="78" t="s">
        <v>1485</v>
      </c>
      <c r="C174" s="78" t="s">
        <v>1485</v>
      </c>
      <c r="D174" s="78" t="s">
        <v>1671</v>
      </c>
      <c r="E174" s="78" t="s">
        <v>1534</v>
      </c>
      <c r="F174" s="78" t="s">
        <v>1535</v>
      </c>
      <c r="G174" s="78" t="s">
        <v>1513</v>
      </c>
      <c r="H174" s="77"/>
      <c r="I174" s="226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9"/>
    </row>
    <row r="175" spans="1:31" x14ac:dyDescent="0.3">
      <c r="A175" s="76"/>
      <c r="B175" s="78" t="s">
        <v>1485</v>
      </c>
      <c r="C175" s="78" t="s">
        <v>1485</v>
      </c>
      <c r="D175" s="78" t="s">
        <v>1672</v>
      </c>
      <c r="E175" s="78" t="s">
        <v>1548</v>
      </c>
      <c r="F175" s="78" t="s">
        <v>1623</v>
      </c>
      <c r="G175" s="78" t="s">
        <v>1513</v>
      </c>
      <c r="H175" s="77"/>
      <c r="I175" s="226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9"/>
    </row>
    <row r="176" spans="1:31" x14ac:dyDescent="0.3">
      <c r="A176" s="76"/>
      <c r="B176" s="78" t="s">
        <v>1673</v>
      </c>
      <c r="C176" s="78" t="s">
        <v>1489</v>
      </c>
      <c r="D176" s="78" t="s">
        <v>626</v>
      </c>
      <c r="E176" s="78" t="s">
        <v>1480</v>
      </c>
      <c r="F176" s="78" t="s">
        <v>1518</v>
      </c>
      <c r="G176" s="78" t="s">
        <v>1513</v>
      </c>
      <c r="H176" s="85"/>
      <c r="I176" s="226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9"/>
    </row>
    <row r="177" spans="1:31" x14ac:dyDescent="0.3">
      <c r="A177" s="76"/>
      <c r="B177" s="78" t="s">
        <v>1674</v>
      </c>
      <c r="C177" s="78" t="s">
        <v>1493</v>
      </c>
      <c r="D177" s="78" t="s">
        <v>472</v>
      </c>
      <c r="E177" s="78" t="s">
        <v>1494</v>
      </c>
      <c r="F177" s="78" t="s">
        <v>1495</v>
      </c>
      <c r="G177" s="78" t="s">
        <v>1513</v>
      </c>
      <c r="H177" s="85"/>
      <c r="I177" s="226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9"/>
    </row>
    <row r="178" spans="1:31" x14ac:dyDescent="0.3">
      <c r="A178" s="76"/>
      <c r="B178" s="78" t="s">
        <v>1675</v>
      </c>
      <c r="C178" s="78" t="s">
        <v>1499</v>
      </c>
      <c r="D178" s="78" t="s">
        <v>91</v>
      </c>
      <c r="E178" s="78" t="s">
        <v>1503</v>
      </c>
      <c r="F178" s="78" t="s">
        <v>1495</v>
      </c>
      <c r="G178" s="78" t="s">
        <v>1513</v>
      </c>
      <c r="H178" s="77"/>
      <c r="I178" s="226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9"/>
    </row>
    <row r="179" spans="1:31" x14ac:dyDescent="0.3">
      <c r="A179" s="76"/>
      <c r="B179" s="78" t="s">
        <v>1676</v>
      </c>
      <c r="C179" s="78" t="s">
        <v>1499</v>
      </c>
      <c r="D179" s="78" t="s">
        <v>246</v>
      </c>
      <c r="E179" s="78" t="s">
        <v>1500</v>
      </c>
      <c r="F179" s="78" t="s">
        <v>1501</v>
      </c>
      <c r="G179" s="78" t="s">
        <v>1513</v>
      </c>
      <c r="H179" s="77"/>
      <c r="I179" s="226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9"/>
    </row>
    <row r="180" spans="1:31" x14ac:dyDescent="0.3">
      <c r="A180" s="76"/>
      <c r="B180" s="78" t="s">
        <v>1677</v>
      </c>
      <c r="C180" s="78" t="s">
        <v>1489</v>
      </c>
      <c r="D180" s="78" t="s">
        <v>1030</v>
      </c>
      <c r="E180" s="78" t="s">
        <v>1560</v>
      </c>
      <c r="F180" s="78" t="s">
        <v>1670</v>
      </c>
      <c r="G180" s="78" t="s">
        <v>1513</v>
      </c>
      <c r="H180" s="77"/>
      <c r="I180" s="226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9"/>
    </row>
    <row r="181" spans="1:31" ht="15" thickBot="1" x14ac:dyDescent="0.35">
      <c r="A181" s="81"/>
      <c r="B181" s="82" t="s">
        <v>1678</v>
      </c>
      <c r="C181" s="82" t="s">
        <v>1489</v>
      </c>
      <c r="D181" s="82" t="s">
        <v>701</v>
      </c>
      <c r="E181" s="82" t="s">
        <v>1667</v>
      </c>
      <c r="F181" s="82" t="s">
        <v>1565</v>
      </c>
      <c r="G181" s="82" t="s">
        <v>1513</v>
      </c>
      <c r="H181" s="83"/>
      <c r="I181" s="227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4"/>
    </row>
    <row r="182" spans="1:31" x14ac:dyDescent="0.3">
      <c r="A182" s="72" t="s">
        <v>1013</v>
      </c>
      <c r="B182" s="73" t="s">
        <v>1679</v>
      </c>
      <c r="C182" s="74" t="s">
        <v>1479</v>
      </c>
      <c r="D182" s="74" t="s">
        <v>1014</v>
      </c>
      <c r="E182" s="74" t="s">
        <v>1480</v>
      </c>
      <c r="F182" s="74"/>
      <c r="G182" s="74" t="s">
        <v>1481</v>
      </c>
      <c r="H182" s="73" t="s">
        <v>1482</v>
      </c>
      <c r="I182" s="225">
        <v>88</v>
      </c>
      <c r="J182" s="73" t="s">
        <v>1012</v>
      </c>
      <c r="K182" s="73">
        <v>152</v>
      </c>
      <c r="L182" s="73" t="s">
        <v>195</v>
      </c>
      <c r="M182" s="73" t="s">
        <v>1483</v>
      </c>
      <c r="N182" s="73" t="s">
        <v>1483</v>
      </c>
      <c r="O182" s="73" t="s">
        <v>1483</v>
      </c>
      <c r="P182" s="73" t="s">
        <v>1483</v>
      </c>
      <c r="Q182" s="73" t="s">
        <v>1483</v>
      </c>
      <c r="R182" s="73" t="s">
        <v>1483</v>
      </c>
      <c r="S182" s="73" t="s">
        <v>1484</v>
      </c>
      <c r="T182" s="73" t="s">
        <v>1484</v>
      </c>
      <c r="U182" s="73" t="s">
        <v>1484</v>
      </c>
      <c r="V182" s="73" t="s">
        <v>1484</v>
      </c>
      <c r="W182" s="73" t="s">
        <v>1485</v>
      </c>
      <c r="X182" s="73" t="s">
        <v>1484</v>
      </c>
      <c r="Y182" s="73" t="s">
        <v>1484</v>
      </c>
      <c r="Z182" s="73" t="s">
        <v>1485</v>
      </c>
      <c r="AA182" s="73" t="s">
        <v>1485</v>
      </c>
      <c r="AB182" s="73" t="s">
        <v>1484</v>
      </c>
      <c r="AC182" s="73" t="s">
        <v>1486</v>
      </c>
      <c r="AD182" s="73" t="s">
        <v>1487</v>
      </c>
      <c r="AE182" s="75" t="s">
        <v>1488</v>
      </c>
    </row>
    <row r="183" spans="1:31" x14ac:dyDescent="0.3">
      <c r="A183" s="76"/>
      <c r="B183" s="77"/>
      <c r="C183" s="78" t="s">
        <v>1493</v>
      </c>
      <c r="D183" s="78" t="s">
        <v>168</v>
      </c>
      <c r="E183" s="78" t="s">
        <v>1503</v>
      </c>
      <c r="F183" s="78" t="s">
        <v>1495</v>
      </c>
      <c r="G183" s="78" t="s">
        <v>1492</v>
      </c>
      <c r="H183" s="77"/>
      <c r="I183" s="226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9"/>
    </row>
    <row r="184" spans="1:31" x14ac:dyDescent="0.3">
      <c r="A184" s="76"/>
      <c r="B184" s="77"/>
      <c r="C184" s="78" t="s">
        <v>1496</v>
      </c>
      <c r="D184" s="78" t="s">
        <v>790</v>
      </c>
      <c r="E184" s="78" t="s">
        <v>1560</v>
      </c>
      <c r="F184" s="78" t="s">
        <v>1680</v>
      </c>
      <c r="G184" s="78" t="s">
        <v>1492</v>
      </c>
      <c r="H184" s="77"/>
      <c r="I184" s="226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9"/>
    </row>
    <row r="185" spans="1:31" x14ac:dyDescent="0.3">
      <c r="A185" s="76"/>
      <c r="B185" s="77"/>
      <c r="C185" s="78" t="s">
        <v>1499</v>
      </c>
      <c r="D185" s="78" t="s">
        <v>520</v>
      </c>
      <c r="E185" s="78" t="s">
        <v>1620</v>
      </c>
      <c r="F185" s="78" t="s">
        <v>1495</v>
      </c>
      <c r="G185" s="78" t="s">
        <v>1492</v>
      </c>
      <c r="H185" s="77"/>
      <c r="I185" s="226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9"/>
    </row>
    <row r="186" spans="1:31" x14ac:dyDescent="0.3">
      <c r="A186" s="76"/>
      <c r="B186" s="77"/>
      <c r="C186" s="78" t="s">
        <v>1504</v>
      </c>
      <c r="D186" s="78" t="s">
        <v>503</v>
      </c>
      <c r="E186" s="78" t="s">
        <v>1500</v>
      </c>
      <c r="F186" s="78" t="s">
        <v>1501</v>
      </c>
      <c r="G186" s="78" t="s">
        <v>1492</v>
      </c>
      <c r="H186" s="77"/>
      <c r="I186" s="226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9"/>
    </row>
    <row r="187" spans="1:31" x14ac:dyDescent="0.3">
      <c r="A187" s="76"/>
      <c r="B187" s="80"/>
      <c r="C187" s="78" t="s">
        <v>1507</v>
      </c>
      <c r="D187" s="78" t="s">
        <v>382</v>
      </c>
      <c r="E187" s="78" t="s">
        <v>1545</v>
      </c>
      <c r="F187" s="78" t="s">
        <v>1528</v>
      </c>
      <c r="G187" s="78" t="s">
        <v>1492</v>
      </c>
      <c r="H187" s="77"/>
      <c r="I187" s="226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9"/>
    </row>
    <row r="188" spans="1:31" x14ac:dyDescent="0.3">
      <c r="A188" s="76"/>
      <c r="B188" s="78" t="s">
        <v>1485</v>
      </c>
      <c r="C188" s="78" t="s">
        <v>1485</v>
      </c>
      <c r="D188" s="78" t="s">
        <v>1015</v>
      </c>
      <c r="E188" s="78" t="s">
        <v>1548</v>
      </c>
      <c r="F188" s="78" t="s">
        <v>1623</v>
      </c>
      <c r="G188" s="78" t="s">
        <v>1513</v>
      </c>
      <c r="H188" s="77"/>
      <c r="I188" s="226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9"/>
    </row>
    <row r="189" spans="1:31" x14ac:dyDescent="0.3">
      <c r="A189" s="76"/>
      <c r="B189" s="78" t="s">
        <v>1681</v>
      </c>
      <c r="C189" s="78" t="s">
        <v>1489</v>
      </c>
      <c r="D189" s="78" t="s">
        <v>558</v>
      </c>
      <c r="E189" s="78" t="s">
        <v>1480</v>
      </c>
      <c r="F189" s="78" t="s">
        <v>1518</v>
      </c>
      <c r="G189" s="78" t="s">
        <v>1513</v>
      </c>
      <c r="H189" s="85"/>
      <c r="I189" s="226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9"/>
    </row>
    <row r="190" spans="1:31" x14ac:dyDescent="0.3">
      <c r="A190" s="76"/>
      <c r="B190" s="78" t="s">
        <v>1682</v>
      </c>
      <c r="C190" s="78" t="s">
        <v>1507</v>
      </c>
      <c r="D190" s="78" t="s">
        <v>168</v>
      </c>
      <c r="E190" s="78" t="s">
        <v>1503</v>
      </c>
      <c r="F190" s="78" t="s">
        <v>1495</v>
      </c>
      <c r="G190" s="78" t="s">
        <v>1513</v>
      </c>
      <c r="H190" s="85"/>
      <c r="I190" s="226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9"/>
    </row>
    <row r="191" spans="1:31" x14ac:dyDescent="0.3">
      <c r="A191" s="76"/>
      <c r="B191" s="78" t="s">
        <v>1683</v>
      </c>
      <c r="C191" s="78" t="s">
        <v>1499</v>
      </c>
      <c r="D191" s="78" t="s">
        <v>520</v>
      </c>
      <c r="E191" s="78" t="s">
        <v>1620</v>
      </c>
      <c r="F191" s="78" t="s">
        <v>1495</v>
      </c>
      <c r="G191" s="78" t="s">
        <v>1513</v>
      </c>
      <c r="H191" s="77"/>
      <c r="I191" s="226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9"/>
    </row>
    <row r="192" spans="1:31" x14ac:dyDescent="0.3">
      <c r="A192" s="76"/>
      <c r="B192" s="78" t="s">
        <v>1684</v>
      </c>
      <c r="C192" s="78" t="s">
        <v>1499</v>
      </c>
      <c r="D192" s="78" t="s">
        <v>503</v>
      </c>
      <c r="E192" s="78" t="s">
        <v>1500</v>
      </c>
      <c r="F192" s="78" t="s">
        <v>1501</v>
      </c>
      <c r="G192" s="78" t="s">
        <v>1513</v>
      </c>
      <c r="H192" s="77"/>
      <c r="I192" s="226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9"/>
    </row>
    <row r="193" spans="1:31" x14ac:dyDescent="0.3">
      <c r="A193" s="76"/>
      <c r="B193" s="78" t="s">
        <v>1685</v>
      </c>
      <c r="C193" s="78" t="s">
        <v>1493</v>
      </c>
      <c r="D193" s="78" t="s">
        <v>790</v>
      </c>
      <c r="E193" s="78" t="s">
        <v>1560</v>
      </c>
      <c r="F193" s="78" t="s">
        <v>1680</v>
      </c>
      <c r="G193" s="78" t="s">
        <v>1513</v>
      </c>
      <c r="H193" s="77"/>
      <c r="I193" s="22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9"/>
    </row>
    <row r="194" spans="1:31" ht="15" thickBot="1" x14ac:dyDescent="0.35">
      <c r="A194" s="81"/>
      <c r="B194" s="82" t="s">
        <v>1686</v>
      </c>
      <c r="C194" s="82" t="s">
        <v>1493</v>
      </c>
      <c r="D194" s="82" t="s">
        <v>382</v>
      </c>
      <c r="E194" s="82" t="s">
        <v>1545</v>
      </c>
      <c r="F194" s="82" t="s">
        <v>1528</v>
      </c>
      <c r="G194" s="82" t="s">
        <v>1513</v>
      </c>
      <c r="H194" s="83"/>
      <c r="I194" s="227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4"/>
    </row>
    <row r="195" spans="1:31" x14ac:dyDescent="0.3">
      <c r="A195" s="72" t="s">
        <v>993</v>
      </c>
      <c r="B195" s="73" t="s">
        <v>1687</v>
      </c>
      <c r="C195" s="74" t="s">
        <v>1479</v>
      </c>
      <c r="D195" s="74" t="s">
        <v>994</v>
      </c>
      <c r="E195" s="74" t="s">
        <v>1480</v>
      </c>
      <c r="F195" s="74"/>
      <c r="G195" s="74" t="s">
        <v>1481</v>
      </c>
      <c r="H195" s="73" t="s">
        <v>1482</v>
      </c>
      <c r="I195" s="225">
        <v>83</v>
      </c>
      <c r="J195" s="73" t="s">
        <v>992</v>
      </c>
      <c r="K195" s="73">
        <v>145</v>
      </c>
      <c r="L195" s="73" t="s">
        <v>195</v>
      </c>
      <c r="M195" s="73" t="s">
        <v>1483</v>
      </c>
      <c r="N195" s="73" t="s">
        <v>1483</v>
      </c>
      <c r="O195" s="73" t="s">
        <v>1483</v>
      </c>
      <c r="P195" s="73" t="s">
        <v>1483</v>
      </c>
      <c r="Q195" s="73" t="s">
        <v>1483</v>
      </c>
      <c r="R195" s="73" t="s">
        <v>1483</v>
      </c>
      <c r="S195" s="73" t="s">
        <v>1484</v>
      </c>
      <c r="T195" s="73" t="s">
        <v>1484</v>
      </c>
      <c r="U195" s="73" t="s">
        <v>1484</v>
      </c>
      <c r="V195" s="73" t="s">
        <v>1484</v>
      </c>
      <c r="W195" s="73" t="s">
        <v>1485</v>
      </c>
      <c r="X195" s="73" t="s">
        <v>1484</v>
      </c>
      <c r="Y195" s="73" t="s">
        <v>1484</v>
      </c>
      <c r="Z195" s="73" t="s">
        <v>1485</v>
      </c>
      <c r="AA195" s="73" t="s">
        <v>1485</v>
      </c>
      <c r="AB195" s="73" t="s">
        <v>1484</v>
      </c>
      <c r="AC195" s="73" t="s">
        <v>1486</v>
      </c>
      <c r="AD195" s="73" t="s">
        <v>1487</v>
      </c>
      <c r="AE195" s="75" t="s">
        <v>1488</v>
      </c>
    </row>
    <row r="196" spans="1:31" x14ac:dyDescent="0.3">
      <c r="A196" s="76"/>
      <c r="B196" s="77"/>
      <c r="C196" s="78" t="s">
        <v>1493</v>
      </c>
      <c r="D196" s="78" t="s">
        <v>554</v>
      </c>
      <c r="E196" s="78" t="s">
        <v>1494</v>
      </c>
      <c r="F196" s="78" t="s">
        <v>1495</v>
      </c>
      <c r="G196" s="78" t="s">
        <v>1492</v>
      </c>
      <c r="H196" s="77"/>
      <c r="I196" s="226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9"/>
    </row>
    <row r="197" spans="1:31" x14ac:dyDescent="0.3">
      <c r="A197" s="76"/>
      <c r="B197" s="77"/>
      <c r="C197" s="78" t="s">
        <v>1496</v>
      </c>
      <c r="D197" s="78" t="s">
        <v>422</v>
      </c>
      <c r="E197" s="78" t="s">
        <v>1505</v>
      </c>
      <c r="F197" s="78" t="s">
        <v>1680</v>
      </c>
      <c r="G197" s="78" t="s">
        <v>1492</v>
      </c>
      <c r="H197" s="77"/>
      <c r="I197" s="226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9"/>
    </row>
    <row r="198" spans="1:31" x14ac:dyDescent="0.3">
      <c r="A198" s="76"/>
      <c r="B198" s="77"/>
      <c r="C198" s="78" t="s">
        <v>1499</v>
      </c>
      <c r="D198" s="78" t="s">
        <v>995</v>
      </c>
      <c r="E198" s="78" t="s">
        <v>1618</v>
      </c>
      <c r="F198" s="78" t="s">
        <v>1680</v>
      </c>
      <c r="G198" s="78" t="s">
        <v>1492</v>
      </c>
      <c r="H198" s="77"/>
      <c r="I198" s="226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9"/>
    </row>
    <row r="199" spans="1:31" x14ac:dyDescent="0.3">
      <c r="A199" s="76"/>
      <c r="B199" s="77"/>
      <c r="C199" s="78" t="s">
        <v>1504</v>
      </c>
      <c r="D199" s="78" t="s">
        <v>261</v>
      </c>
      <c r="E199" s="78" t="s">
        <v>1545</v>
      </c>
      <c r="F199" s="78" t="s">
        <v>1631</v>
      </c>
      <c r="G199" s="78" t="s">
        <v>1492</v>
      </c>
      <c r="H199" s="77"/>
      <c r="I199" s="226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9"/>
    </row>
    <row r="200" spans="1:31" x14ac:dyDescent="0.3">
      <c r="A200" s="76"/>
      <c r="B200" s="80"/>
      <c r="C200" s="78" t="s">
        <v>1507</v>
      </c>
      <c r="D200" s="78" t="s">
        <v>918</v>
      </c>
      <c r="E200" s="78" t="s">
        <v>1500</v>
      </c>
      <c r="F200" s="78" t="s">
        <v>1501</v>
      </c>
      <c r="G200" s="78" t="s">
        <v>1492</v>
      </c>
      <c r="H200" s="77"/>
      <c r="I200" s="226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9"/>
    </row>
    <row r="201" spans="1:31" x14ac:dyDescent="0.3">
      <c r="A201" s="76"/>
      <c r="B201" s="78" t="s">
        <v>1485</v>
      </c>
      <c r="C201" s="78" t="s">
        <v>1485</v>
      </c>
      <c r="D201" s="78" t="s">
        <v>1688</v>
      </c>
      <c r="E201" s="78" t="s">
        <v>1548</v>
      </c>
      <c r="F201" s="78" t="s">
        <v>1623</v>
      </c>
      <c r="G201" s="78" t="s">
        <v>1513</v>
      </c>
      <c r="H201" s="77"/>
      <c r="I201" s="226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9"/>
    </row>
    <row r="202" spans="1:31" x14ac:dyDescent="0.3">
      <c r="A202" s="76"/>
      <c r="B202" s="78" t="s">
        <v>1485</v>
      </c>
      <c r="C202" s="78" t="s">
        <v>1485</v>
      </c>
      <c r="D202" s="78" t="s">
        <v>1689</v>
      </c>
      <c r="E202" s="78" t="s">
        <v>1534</v>
      </c>
      <c r="F202" s="78" t="s">
        <v>1535</v>
      </c>
      <c r="G202" s="78" t="s">
        <v>1513</v>
      </c>
      <c r="H202" s="77"/>
      <c r="I202" s="226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9"/>
    </row>
    <row r="203" spans="1:31" x14ac:dyDescent="0.3">
      <c r="A203" s="76"/>
      <c r="B203" s="78" t="s">
        <v>1690</v>
      </c>
      <c r="C203" s="78" t="s">
        <v>1489</v>
      </c>
      <c r="D203" s="78" t="s">
        <v>530</v>
      </c>
      <c r="E203" s="78" t="s">
        <v>1480</v>
      </c>
      <c r="F203" s="78" t="s">
        <v>1518</v>
      </c>
      <c r="G203" s="78" t="s">
        <v>1513</v>
      </c>
      <c r="H203" s="85"/>
      <c r="I203" s="226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9"/>
    </row>
    <row r="204" spans="1:31" x14ac:dyDescent="0.3">
      <c r="A204" s="76"/>
      <c r="B204" s="78" t="s">
        <v>1691</v>
      </c>
      <c r="C204" s="78" t="s">
        <v>1493</v>
      </c>
      <c r="D204" s="78" t="s">
        <v>554</v>
      </c>
      <c r="E204" s="78" t="s">
        <v>1494</v>
      </c>
      <c r="F204" s="78" t="s">
        <v>1495</v>
      </c>
      <c r="G204" s="78" t="s">
        <v>1513</v>
      </c>
      <c r="H204" s="85"/>
      <c r="I204" s="226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9"/>
    </row>
    <row r="205" spans="1:31" x14ac:dyDescent="0.3">
      <c r="A205" s="76"/>
      <c r="B205" s="78" t="s">
        <v>1692</v>
      </c>
      <c r="C205" s="78" t="s">
        <v>1489</v>
      </c>
      <c r="D205" s="78" t="s">
        <v>918</v>
      </c>
      <c r="E205" s="78" t="s">
        <v>1500</v>
      </c>
      <c r="F205" s="78" t="s">
        <v>1501</v>
      </c>
      <c r="G205" s="78" t="s">
        <v>1513</v>
      </c>
      <c r="H205" s="77"/>
      <c r="I205" s="226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9"/>
    </row>
    <row r="206" spans="1:31" x14ac:dyDescent="0.3">
      <c r="A206" s="76"/>
      <c r="B206" s="78" t="s">
        <v>1693</v>
      </c>
      <c r="C206" s="78" t="s">
        <v>1493</v>
      </c>
      <c r="D206" s="78" t="s">
        <v>496</v>
      </c>
      <c r="E206" s="78" t="s">
        <v>1694</v>
      </c>
      <c r="F206" s="78" t="s">
        <v>1558</v>
      </c>
      <c r="G206" s="78" t="s">
        <v>1513</v>
      </c>
      <c r="H206" s="77"/>
      <c r="I206" s="226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9"/>
    </row>
    <row r="207" spans="1:31" x14ac:dyDescent="0.3">
      <c r="A207" s="76"/>
      <c r="B207" s="78" t="s">
        <v>1695</v>
      </c>
      <c r="C207" s="78" t="s">
        <v>1489</v>
      </c>
      <c r="D207" s="78" t="s">
        <v>422</v>
      </c>
      <c r="E207" s="78" t="s">
        <v>1505</v>
      </c>
      <c r="F207" s="78" t="s">
        <v>1680</v>
      </c>
      <c r="G207" s="78" t="s">
        <v>1513</v>
      </c>
      <c r="H207" s="77"/>
      <c r="I207" s="226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9"/>
    </row>
    <row r="208" spans="1:31" x14ac:dyDescent="0.3">
      <c r="A208" s="76"/>
      <c r="B208" s="78" t="s">
        <v>1696</v>
      </c>
      <c r="C208" s="78" t="s">
        <v>1489</v>
      </c>
      <c r="D208" s="78" t="s">
        <v>995</v>
      </c>
      <c r="E208" s="78" t="s">
        <v>1618</v>
      </c>
      <c r="F208" s="78" t="s">
        <v>1680</v>
      </c>
      <c r="G208" s="78" t="s">
        <v>1513</v>
      </c>
      <c r="H208" s="77"/>
      <c r="I208" s="226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9"/>
    </row>
    <row r="209" spans="1:31" ht="15" thickBot="1" x14ac:dyDescent="0.35">
      <c r="A209" s="81"/>
      <c r="B209" s="82" t="s">
        <v>1697</v>
      </c>
      <c r="C209" s="82" t="s">
        <v>1496</v>
      </c>
      <c r="D209" s="82" t="s">
        <v>261</v>
      </c>
      <c r="E209" s="82" t="s">
        <v>1545</v>
      </c>
      <c r="F209" s="82" t="s">
        <v>1631</v>
      </c>
      <c r="G209" s="82" t="s">
        <v>1513</v>
      </c>
      <c r="H209" s="83"/>
      <c r="I209" s="227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4"/>
    </row>
    <row r="210" spans="1:31" x14ac:dyDescent="0.3">
      <c r="A210" s="72" t="s">
        <v>981</v>
      </c>
      <c r="B210" s="73" t="s">
        <v>1698</v>
      </c>
      <c r="C210" s="74" t="s">
        <v>1479</v>
      </c>
      <c r="D210" s="74" t="s">
        <v>982</v>
      </c>
      <c r="E210" s="74" t="s">
        <v>1480</v>
      </c>
      <c r="F210" s="74"/>
      <c r="G210" s="74" t="s">
        <v>1481</v>
      </c>
      <c r="H210" s="73" t="s">
        <v>1482</v>
      </c>
      <c r="I210" s="225">
        <v>82</v>
      </c>
      <c r="J210" s="73" t="s">
        <v>980</v>
      </c>
      <c r="K210" s="73">
        <v>143</v>
      </c>
      <c r="L210" s="73" t="s">
        <v>195</v>
      </c>
      <c r="M210" s="73" t="s">
        <v>1483</v>
      </c>
      <c r="N210" s="73" t="s">
        <v>1483</v>
      </c>
      <c r="O210" s="73" t="s">
        <v>1483</v>
      </c>
      <c r="P210" s="73" t="s">
        <v>1483</v>
      </c>
      <c r="Q210" s="73" t="s">
        <v>1483</v>
      </c>
      <c r="R210" s="73" t="s">
        <v>1483</v>
      </c>
      <c r="S210" s="73" t="s">
        <v>1484</v>
      </c>
      <c r="T210" s="73" t="s">
        <v>1484</v>
      </c>
      <c r="U210" s="73" t="s">
        <v>1484</v>
      </c>
      <c r="V210" s="73" t="s">
        <v>1484</v>
      </c>
      <c r="W210" s="73" t="s">
        <v>1485</v>
      </c>
      <c r="X210" s="73" t="s">
        <v>1484</v>
      </c>
      <c r="Y210" s="73" t="s">
        <v>1484</v>
      </c>
      <c r="Z210" s="73" t="s">
        <v>1485</v>
      </c>
      <c r="AA210" s="73" t="s">
        <v>1485</v>
      </c>
      <c r="AB210" s="73" t="s">
        <v>1484</v>
      </c>
      <c r="AC210" s="73" t="s">
        <v>1486</v>
      </c>
      <c r="AD210" s="73" t="s">
        <v>1487</v>
      </c>
      <c r="AE210" s="75" t="s">
        <v>1488</v>
      </c>
    </row>
    <row r="211" spans="1:31" x14ac:dyDescent="0.3">
      <c r="A211" s="76"/>
      <c r="B211" s="77"/>
      <c r="C211" s="78" t="s">
        <v>1489</v>
      </c>
      <c r="D211" s="78" t="s">
        <v>983</v>
      </c>
      <c r="E211" s="78" t="s">
        <v>1490</v>
      </c>
      <c r="F211" s="78" t="s">
        <v>1680</v>
      </c>
      <c r="G211" s="78" t="s">
        <v>1492</v>
      </c>
      <c r="H211" s="77"/>
      <c r="I211" s="226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9"/>
    </row>
    <row r="212" spans="1:31" x14ac:dyDescent="0.3">
      <c r="A212" s="76"/>
      <c r="B212" s="77"/>
      <c r="C212" s="78" t="s">
        <v>1493</v>
      </c>
      <c r="D212" s="78" t="s">
        <v>527</v>
      </c>
      <c r="E212" s="78" t="s">
        <v>1494</v>
      </c>
      <c r="F212" s="78" t="s">
        <v>1495</v>
      </c>
      <c r="G212" s="78" t="s">
        <v>1492</v>
      </c>
      <c r="H212" s="77"/>
      <c r="I212" s="226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9"/>
    </row>
    <row r="213" spans="1:31" x14ac:dyDescent="0.3">
      <c r="A213" s="76"/>
      <c r="B213" s="77"/>
      <c r="C213" s="78" t="s">
        <v>1496</v>
      </c>
      <c r="D213" s="78" t="s">
        <v>797</v>
      </c>
      <c r="E213" s="78" t="s">
        <v>1560</v>
      </c>
      <c r="F213" s="78" t="s">
        <v>1491</v>
      </c>
      <c r="G213" s="78" t="s">
        <v>1492</v>
      </c>
      <c r="H213" s="77"/>
      <c r="I213" s="226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9"/>
    </row>
    <row r="214" spans="1:31" x14ac:dyDescent="0.3">
      <c r="A214" s="76"/>
      <c r="B214" s="77"/>
      <c r="C214" s="78" t="s">
        <v>1499</v>
      </c>
      <c r="D214" s="78" t="s">
        <v>984</v>
      </c>
      <c r="E214" s="78" t="s">
        <v>1505</v>
      </c>
      <c r="F214" s="78" t="s">
        <v>1670</v>
      </c>
      <c r="G214" s="78" t="s">
        <v>1492</v>
      </c>
      <c r="H214" s="77"/>
      <c r="I214" s="226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9"/>
    </row>
    <row r="215" spans="1:31" x14ac:dyDescent="0.3">
      <c r="A215" s="76"/>
      <c r="B215" s="77"/>
      <c r="C215" s="78" t="s">
        <v>1502</v>
      </c>
      <c r="D215" s="78" t="s">
        <v>485</v>
      </c>
      <c r="E215" s="78" t="s">
        <v>1694</v>
      </c>
      <c r="F215" s="78" t="s">
        <v>1565</v>
      </c>
      <c r="G215" s="78" t="s">
        <v>1492</v>
      </c>
      <c r="H215" s="77"/>
      <c r="I215" s="226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9"/>
    </row>
    <row r="216" spans="1:31" x14ac:dyDescent="0.3">
      <c r="A216" s="76"/>
      <c r="B216" s="80"/>
      <c r="C216" s="78" t="s">
        <v>1507</v>
      </c>
      <c r="D216" s="78" t="s">
        <v>912</v>
      </c>
      <c r="E216" s="78" t="s">
        <v>1500</v>
      </c>
      <c r="F216" s="78" t="s">
        <v>1501</v>
      </c>
      <c r="G216" s="78" t="s">
        <v>1492</v>
      </c>
      <c r="H216" s="77"/>
      <c r="I216" s="226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9"/>
    </row>
    <row r="217" spans="1:31" x14ac:dyDescent="0.3">
      <c r="A217" s="76"/>
      <c r="B217" s="78" t="s">
        <v>1485</v>
      </c>
      <c r="C217" s="78" t="s">
        <v>1485</v>
      </c>
      <c r="D217" s="78" t="s">
        <v>1699</v>
      </c>
      <c r="E217" s="78" t="s">
        <v>1548</v>
      </c>
      <c r="F217" s="78" t="s">
        <v>1512</v>
      </c>
      <c r="G217" s="78" t="s">
        <v>1513</v>
      </c>
      <c r="H217" s="77"/>
      <c r="I217" s="226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9"/>
    </row>
    <row r="218" spans="1:31" x14ac:dyDescent="0.3">
      <c r="A218" s="76"/>
      <c r="B218" s="78" t="s">
        <v>1485</v>
      </c>
      <c r="C218" s="78" t="s">
        <v>1485</v>
      </c>
      <c r="D218" s="78" t="s">
        <v>1700</v>
      </c>
      <c r="E218" s="78" t="s">
        <v>1534</v>
      </c>
      <c r="F218" s="78" t="s">
        <v>1535</v>
      </c>
      <c r="G218" s="78" t="s">
        <v>1513</v>
      </c>
      <c r="H218" s="77"/>
      <c r="I218" s="226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9"/>
    </row>
    <row r="219" spans="1:31" x14ac:dyDescent="0.3">
      <c r="A219" s="76"/>
      <c r="B219" s="78" t="s">
        <v>1584</v>
      </c>
      <c r="C219" s="78" t="s">
        <v>1493</v>
      </c>
      <c r="D219" s="78" t="s">
        <v>173</v>
      </c>
      <c r="E219" s="78" t="s">
        <v>1480</v>
      </c>
      <c r="F219" s="78" t="s">
        <v>1518</v>
      </c>
      <c r="G219" s="78" t="s">
        <v>1513</v>
      </c>
      <c r="H219" s="77"/>
      <c r="I219" s="226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9"/>
    </row>
    <row r="220" spans="1:31" x14ac:dyDescent="0.3">
      <c r="A220" s="76"/>
      <c r="B220" s="78" t="s">
        <v>1701</v>
      </c>
      <c r="C220" s="78" t="s">
        <v>1493</v>
      </c>
      <c r="D220" s="78" t="s">
        <v>527</v>
      </c>
      <c r="E220" s="78" t="s">
        <v>1494</v>
      </c>
      <c r="F220" s="78" t="s">
        <v>1495</v>
      </c>
      <c r="G220" s="78" t="s">
        <v>1513</v>
      </c>
      <c r="H220" s="77"/>
      <c r="I220" s="226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9"/>
    </row>
    <row r="221" spans="1:31" x14ac:dyDescent="0.3">
      <c r="A221" s="76"/>
      <c r="B221" s="78" t="s">
        <v>1702</v>
      </c>
      <c r="C221" s="78" t="s">
        <v>1489</v>
      </c>
      <c r="D221" s="78" t="s">
        <v>912</v>
      </c>
      <c r="E221" s="78" t="s">
        <v>1500</v>
      </c>
      <c r="F221" s="78" t="s">
        <v>1501</v>
      </c>
      <c r="G221" s="78" t="s">
        <v>1513</v>
      </c>
      <c r="H221" s="77"/>
      <c r="I221" s="226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9"/>
    </row>
    <row r="222" spans="1:31" x14ac:dyDescent="0.3">
      <c r="A222" s="76"/>
      <c r="B222" s="78" t="s">
        <v>1703</v>
      </c>
      <c r="C222" s="78" t="s">
        <v>1489</v>
      </c>
      <c r="D222" s="78" t="s">
        <v>984</v>
      </c>
      <c r="E222" s="78" t="s">
        <v>1505</v>
      </c>
      <c r="F222" s="78" t="s">
        <v>1670</v>
      </c>
      <c r="G222" s="78" t="s">
        <v>1513</v>
      </c>
      <c r="H222" s="77"/>
      <c r="I222" s="226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9"/>
    </row>
    <row r="223" spans="1:31" x14ac:dyDescent="0.3">
      <c r="A223" s="76"/>
      <c r="B223" s="78" t="s">
        <v>1704</v>
      </c>
      <c r="C223" s="78" t="s">
        <v>1493</v>
      </c>
      <c r="D223" s="78" t="s">
        <v>797</v>
      </c>
      <c r="E223" s="78" t="s">
        <v>1560</v>
      </c>
      <c r="F223" s="78" t="s">
        <v>1491</v>
      </c>
      <c r="G223" s="78" t="s">
        <v>1513</v>
      </c>
      <c r="H223" s="77"/>
      <c r="I223" s="226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9"/>
    </row>
    <row r="224" spans="1:31" x14ac:dyDescent="0.3">
      <c r="A224" s="76"/>
      <c r="B224" s="78" t="s">
        <v>1705</v>
      </c>
      <c r="C224" s="78" t="s">
        <v>1489</v>
      </c>
      <c r="D224" s="78" t="s">
        <v>983</v>
      </c>
      <c r="E224" s="78" t="s">
        <v>1490</v>
      </c>
      <c r="F224" s="78" t="s">
        <v>1680</v>
      </c>
      <c r="G224" s="78" t="s">
        <v>1513</v>
      </c>
      <c r="H224" s="77"/>
      <c r="I224" s="226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9"/>
    </row>
    <row r="225" spans="1:31" ht="15" thickBot="1" x14ac:dyDescent="0.35">
      <c r="A225" s="81"/>
      <c r="B225" s="82" t="s">
        <v>1706</v>
      </c>
      <c r="C225" s="82" t="s">
        <v>1489</v>
      </c>
      <c r="D225" s="82" t="s">
        <v>485</v>
      </c>
      <c r="E225" s="82" t="s">
        <v>1694</v>
      </c>
      <c r="F225" s="82" t="s">
        <v>1565</v>
      </c>
      <c r="G225" s="82" t="s">
        <v>1513</v>
      </c>
      <c r="H225" s="83"/>
      <c r="I225" s="227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4"/>
    </row>
    <row r="226" spans="1:31" x14ac:dyDescent="0.3">
      <c r="A226" s="72" t="s">
        <v>783</v>
      </c>
      <c r="B226" s="73" t="s">
        <v>1707</v>
      </c>
      <c r="C226" s="74" t="s">
        <v>1479</v>
      </c>
      <c r="D226" s="74" t="s">
        <v>784</v>
      </c>
      <c r="E226" s="74" t="s">
        <v>1480</v>
      </c>
      <c r="F226" s="74"/>
      <c r="G226" s="74" t="s">
        <v>1481</v>
      </c>
      <c r="H226" s="73" t="s">
        <v>1482</v>
      </c>
      <c r="I226" s="225" t="s">
        <v>1485</v>
      </c>
      <c r="J226" s="73" t="s">
        <v>782</v>
      </c>
      <c r="K226" s="73">
        <v>109</v>
      </c>
      <c r="L226" s="73" t="s">
        <v>195</v>
      </c>
      <c r="M226" s="73" t="s">
        <v>1483</v>
      </c>
      <c r="N226" s="73" t="s">
        <v>1483</v>
      </c>
      <c r="O226" s="73" t="s">
        <v>1483</v>
      </c>
      <c r="P226" s="73" t="s">
        <v>1483</v>
      </c>
      <c r="Q226" s="73" t="s">
        <v>1483</v>
      </c>
      <c r="R226" s="73" t="s">
        <v>1483</v>
      </c>
      <c r="S226" s="73" t="s">
        <v>1484</v>
      </c>
      <c r="T226" s="73" t="s">
        <v>1484</v>
      </c>
      <c r="U226" s="73" t="s">
        <v>1484</v>
      </c>
      <c r="V226" s="73" t="s">
        <v>1484</v>
      </c>
      <c r="W226" s="73" t="s">
        <v>1485</v>
      </c>
      <c r="X226" s="73" t="s">
        <v>1484</v>
      </c>
      <c r="Y226" s="73" t="s">
        <v>1484</v>
      </c>
      <c r="Z226" s="73" t="s">
        <v>1485</v>
      </c>
      <c r="AA226" s="73" t="s">
        <v>1485</v>
      </c>
      <c r="AB226" s="73" t="s">
        <v>1484</v>
      </c>
      <c r="AC226" s="73" t="s">
        <v>1486</v>
      </c>
      <c r="AD226" s="73" t="s">
        <v>1487</v>
      </c>
      <c r="AE226" s="75" t="s">
        <v>1488</v>
      </c>
    </row>
    <row r="227" spans="1:31" x14ac:dyDescent="0.3">
      <c r="A227" s="76"/>
      <c r="B227" s="77"/>
      <c r="C227" s="78" t="s">
        <v>1493</v>
      </c>
      <c r="D227" s="78" t="s">
        <v>381</v>
      </c>
      <c r="E227" s="78" t="s">
        <v>1494</v>
      </c>
      <c r="F227" s="78" t="s">
        <v>1495</v>
      </c>
      <c r="G227" s="78" t="s">
        <v>1492</v>
      </c>
      <c r="H227" s="77"/>
      <c r="I227" s="226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9"/>
    </row>
    <row r="228" spans="1:31" x14ac:dyDescent="0.3">
      <c r="A228" s="76"/>
      <c r="B228" s="77"/>
      <c r="C228" s="78" t="s">
        <v>1499</v>
      </c>
      <c r="D228" s="78" t="s">
        <v>126</v>
      </c>
      <c r="E228" s="78" t="s">
        <v>1708</v>
      </c>
      <c r="F228" s="78" t="s">
        <v>1565</v>
      </c>
      <c r="G228" s="78" t="s">
        <v>1492</v>
      </c>
      <c r="H228" s="77"/>
      <c r="I228" s="226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9"/>
    </row>
    <row r="229" spans="1:31" x14ac:dyDescent="0.3">
      <c r="A229" s="76"/>
      <c r="B229" s="77"/>
      <c r="C229" s="78" t="s">
        <v>1504</v>
      </c>
      <c r="D229" s="78" t="s">
        <v>115</v>
      </c>
      <c r="E229" s="78" t="s">
        <v>1595</v>
      </c>
      <c r="F229" s="78" t="s">
        <v>1619</v>
      </c>
      <c r="G229" s="78" t="s">
        <v>1492</v>
      </c>
      <c r="H229" s="77"/>
      <c r="I229" s="226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9"/>
    </row>
    <row r="230" spans="1:31" x14ac:dyDescent="0.3">
      <c r="A230" s="76"/>
      <c r="B230" s="80"/>
      <c r="C230" s="78" t="s">
        <v>1507</v>
      </c>
      <c r="D230" s="78" t="s">
        <v>638</v>
      </c>
      <c r="E230" s="78" t="s">
        <v>1500</v>
      </c>
      <c r="F230" s="78" t="s">
        <v>1501</v>
      </c>
      <c r="G230" s="78" t="s">
        <v>1492</v>
      </c>
      <c r="H230" s="77"/>
      <c r="I230" s="226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9"/>
    </row>
    <row r="231" spans="1:31" x14ac:dyDescent="0.3">
      <c r="A231" s="76"/>
      <c r="B231" s="78" t="s">
        <v>1485</v>
      </c>
      <c r="C231" s="78" t="s">
        <v>1485</v>
      </c>
      <c r="D231" s="78" t="s">
        <v>785</v>
      </c>
      <c r="E231" s="78" t="s">
        <v>1709</v>
      </c>
      <c r="F231" s="78" t="s">
        <v>1512</v>
      </c>
      <c r="G231" s="78" t="s">
        <v>1513</v>
      </c>
      <c r="H231" s="77"/>
      <c r="I231" s="22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9"/>
    </row>
    <row r="232" spans="1:31" x14ac:dyDescent="0.3">
      <c r="A232" s="76"/>
      <c r="B232" s="78" t="s">
        <v>1710</v>
      </c>
      <c r="C232" s="78" t="s">
        <v>1493</v>
      </c>
      <c r="D232" s="78" t="s">
        <v>381</v>
      </c>
      <c r="E232" s="78" t="s">
        <v>1494</v>
      </c>
      <c r="F232" s="78" t="s">
        <v>1495</v>
      </c>
      <c r="G232" s="78" t="s">
        <v>1513</v>
      </c>
      <c r="H232" s="77"/>
      <c r="I232" s="226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9"/>
    </row>
    <row r="233" spans="1:31" x14ac:dyDescent="0.3">
      <c r="A233" s="76"/>
      <c r="B233" s="78" t="s">
        <v>1603</v>
      </c>
      <c r="C233" s="78" t="s">
        <v>1489</v>
      </c>
      <c r="D233" s="78" t="s">
        <v>638</v>
      </c>
      <c r="E233" s="78" t="s">
        <v>1500</v>
      </c>
      <c r="F233" s="78" t="s">
        <v>1501</v>
      </c>
      <c r="G233" s="78" t="s">
        <v>1513</v>
      </c>
      <c r="H233" s="77"/>
      <c r="I233" s="226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9"/>
    </row>
    <row r="234" spans="1:31" x14ac:dyDescent="0.3">
      <c r="A234" s="76"/>
      <c r="B234" s="78" t="s">
        <v>1711</v>
      </c>
      <c r="C234" s="78" t="s">
        <v>1493</v>
      </c>
      <c r="D234" s="78" t="s">
        <v>115</v>
      </c>
      <c r="E234" s="78" t="s">
        <v>1595</v>
      </c>
      <c r="F234" s="78" t="s">
        <v>1619</v>
      </c>
      <c r="G234" s="78" t="s">
        <v>1513</v>
      </c>
      <c r="H234" s="77"/>
      <c r="I234" s="226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9"/>
    </row>
    <row r="235" spans="1:31" ht="15" thickBot="1" x14ac:dyDescent="0.35">
      <c r="A235" s="81"/>
      <c r="B235" s="82" t="s">
        <v>1712</v>
      </c>
      <c r="C235" s="82" t="s">
        <v>1489</v>
      </c>
      <c r="D235" s="82" t="s">
        <v>126</v>
      </c>
      <c r="E235" s="82" t="s">
        <v>1708</v>
      </c>
      <c r="F235" s="82" t="s">
        <v>1565</v>
      </c>
      <c r="G235" s="82" t="s">
        <v>1513</v>
      </c>
      <c r="H235" s="83"/>
      <c r="I235" s="227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4"/>
    </row>
    <row r="236" spans="1:31" x14ac:dyDescent="0.3">
      <c r="A236" s="72" t="s">
        <v>23</v>
      </c>
      <c r="B236" s="73" t="s">
        <v>1713</v>
      </c>
      <c r="C236" s="74" t="s">
        <v>1479</v>
      </c>
      <c r="D236" s="74" t="s">
        <v>24</v>
      </c>
      <c r="E236" s="74" t="s">
        <v>1480</v>
      </c>
      <c r="F236" s="74"/>
      <c r="G236" s="74" t="s">
        <v>1481</v>
      </c>
      <c r="H236" s="73" t="s">
        <v>1482</v>
      </c>
      <c r="I236" s="225" t="s">
        <v>1485</v>
      </c>
      <c r="J236" s="73" t="s">
        <v>22</v>
      </c>
      <c r="K236" s="73">
        <v>1</v>
      </c>
      <c r="L236" s="73" t="s">
        <v>195</v>
      </c>
      <c r="M236" s="73" t="s">
        <v>1483</v>
      </c>
      <c r="N236" s="73" t="s">
        <v>1483</v>
      </c>
      <c r="O236" s="73" t="s">
        <v>1483</v>
      </c>
      <c r="P236" s="73" t="s">
        <v>1483</v>
      </c>
      <c r="Q236" s="73" t="s">
        <v>1483</v>
      </c>
      <c r="R236" s="73" t="s">
        <v>1483</v>
      </c>
      <c r="S236" s="73" t="s">
        <v>1484</v>
      </c>
      <c r="T236" s="73" t="s">
        <v>1484</v>
      </c>
      <c r="U236" s="73" t="s">
        <v>1484</v>
      </c>
      <c r="V236" s="73" t="s">
        <v>1484</v>
      </c>
      <c r="W236" s="73" t="s">
        <v>1485</v>
      </c>
      <c r="X236" s="73" t="s">
        <v>1484</v>
      </c>
      <c r="Y236" s="73" t="s">
        <v>1484</v>
      </c>
      <c r="Z236" s="73" t="s">
        <v>1485</v>
      </c>
      <c r="AA236" s="73" t="s">
        <v>1485</v>
      </c>
      <c r="AB236" s="73" t="s">
        <v>1484</v>
      </c>
      <c r="AC236" s="73" t="s">
        <v>1486</v>
      </c>
      <c r="AD236" s="73" t="s">
        <v>1487</v>
      </c>
      <c r="AE236" s="75" t="s">
        <v>1488</v>
      </c>
    </row>
    <row r="237" spans="1:31" x14ac:dyDescent="0.3">
      <c r="A237" s="76"/>
      <c r="B237" s="77"/>
      <c r="C237" s="78" t="s">
        <v>1493</v>
      </c>
      <c r="D237" s="78" t="s">
        <v>25</v>
      </c>
      <c r="E237" s="78" t="s">
        <v>1503</v>
      </c>
      <c r="F237" s="78" t="s">
        <v>1495</v>
      </c>
      <c r="G237" s="78" t="s">
        <v>1492</v>
      </c>
      <c r="H237" s="77"/>
      <c r="I237" s="226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9"/>
    </row>
    <row r="238" spans="1:31" x14ac:dyDescent="0.3">
      <c r="A238" s="76"/>
      <c r="B238" s="77"/>
      <c r="C238" s="78" t="s">
        <v>1496</v>
      </c>
      <c r="D238" s="78" t="s">
        <v>26</v>
      </c>
      <c r="E238" s="78" t="s">
        <v>1609</v>
      </c>
      <c r="F238" s="78" t="s">
        <v>1565</v>
      </c>
      <c r="G238" s="78" t="s">
        <v>1492</v>
      </c>
      <c r="H238" s="77"/>
      <c r="I238" s="226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9"/>
    </row>
    <row r="239" spans="1:31" x14ac:dyDescent="0.3">
      <c r="A239" s="76"/>
      <c r="B239" s="77"/>
      <c r="C239" s="78" t="s">
        <v>1499</v>
      </c>
      <c r="D239" s="78" t="s">
        <v>27</v>
      </c>
      <c r="E239" s="78" t="s">
        <v>1560</v>
      </c>
      <c r="F239" s="78" t="s">
        <v>1619</v>
      </c>
      <c r="G239" s="78" t="s">
        <v>1492</v>
      </c>
      <c r="H239" s="77"/>
      <c r="I239" s="226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9"/>
    </row>
    <row r="240" spans="1:31" x14ac:dyDescent="0.3">
      <c r="A240" s="76"/>
      <c r="B240" s="77"/>
      <c r="C240" s="78" t="s">
        <v>1502</v>
      </c>
      <c r="D240" s="78" t="s">
        <v>28</v>
      </c>
      <c r="E240" s="78" t="s">
        <v>1503</v>
      </c>
      <c r="F240" s="78" t="s">
        <v>1495</v>
      </c>
      <c r="G240" s="78" t="s">
        <v>1492</v>
      </c>
      <c r="H240" s="77"/>
      <c r="I240" s="226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9"/>
    </row>
    <row r="241" spans="1:31" x14ac:dyDescent="0.3">
      <c r="A241" s="76"/>
      <c r="B241" s="80"/>
      <c r="C241" s="78" t="s">
        <v>1504</v>
      </c>
      <c r="D241" s="78" t="s">
        <v>29</v>
      </c>
      <c r="E241" s="78" t="s">
        <v>1620</v>
      </c>
      <c r="F241" s="78" t="s">
        <v>1495</v>
      </c>
      <c r="G241" s="78" t="s">
        <v>1492</v>
      </c>
      <c r="H241" s="77"/>
      <c r="I241" s="226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9"/>
    </row>
    <row r="242" spans="1:31" x14ac:dyDescent="0.3">
      <c r="A242" s="76"/>
      <c r="B242" s="78" t="s">
        <v>1485</v>
      </c>
      <c r="C242" s="78" t="s">
        <v>1485</v>
      </c>
      <c r="D242" s="78" t="s">
        <v>30</v>
      </c>
      <c r="E242" s="78" t="s">
        <v>1709</v>
      </c>
      <c r="F242" s="78" t="s">
        <v>1623</v>
      </c>
      <c r="G242" s="78" t="s">
        <v>1513</v>
      </c>
      <c r="H242" s="77"/>
      <c r="I242" s="226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9"/>
    </row>
    <row r="243" spans="1:31" x14ac:dyDescent="0.3">
      <c r="A243" s="76"/>
      <c r="B243" s="78" t="s">
        <v>1517</v>
      </c>
      <c r="C243" s="78" t="s">
        <v>1493</v>
      </c>
      <c r="D243" s="78" t="s">
        <v>31</v>
      </c>
      <c r="E243" s="78" t="s">
        <v>1480</v>
      </c>
      <c r="F243" s="78" t="s">
        <v>1518</v>
      </c>
      <c r="G243" s="78" t="s">
        <v>1513</v>
      </c>
      <c r="H243" s="77"/>
      <c r="I243" s="226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9"/>
    </row>
    <row r="244" spans="1:31" x14ac:dyDescent="0.3">
      <c r="A244" s="76"/>
      <c r="B244" s="78" t="s">
        <v>1520</v>
      </c>
      <c r="C244" s="78" t="s">
        <v>1489</v>
      </c>
      <c r="D244" s="78" t="s">
        <v>25</v>
      </c>
      <c r="E244" s="78" t="s">
        <v>1503</v>
      </c>
      <c r="F244" s="78" t="s">
        <v>1495</v>
      </c>
      <c r="G244" s="78" t="s">
        <v>1513</v>
      </c>
      <c r="H244" s="77"/>
      <c r="I244" s="226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9"/>
    </row>
    <row r="245" spans="1:31" x14ac:dyDescent="0.3">
      <c r="A245" s="76"/>
      <c r="B245" s="78" t="s">
        <v>1714</v>
      </c>
      <c r="C245" s="78" t="s">
        <v>1489</v>
      </c>
      <c r="D245" s="78" t="s">
        <v>28</v>
      </c>
      <c r="E245" s="78" t="s">
        <v>1503</v>
      </c>
      <c r="F245" s="78" t="s">
        <v>1495</v>
      </c>
      <c r="G245" s="78" t="s">
        <v>1513</v>
      </c>
      <c r="H245" s="77"/>
      <c r="I245" s="226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9"/>
    </row>
    <row r="246" spans="1:31" x14ac:dyDescent="0.3">
      <c r="A246" s="76"/>
      <c r="B246" s="78" t="s">
        <v>1715</v>
      </c>
      <c r="C246" s="78" t="s">
        <v>1493</v>
      </c>
      <c r="D246" s="78" t="s">
        <v>29</v>
      </c>
      <c r="E246" s="78" t="s">
        <v>1620</v>
      </c>
      <c r="F246" s="78" t="s">
        <v>1495</v>
      </c>
      <c r="G246" s="78" t="s">
        <v>1513</v>
      </c>
      <c r="H246" s="77"/>
      <c r="I246" s="226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9"/>
    </row>
    <row r="247" spans="1:31" x14ac:dyDescent="0.3">
      <c r="A247" s="76"/>
      <c r="B247" s="78" t="s">
        <v>1716</v>
      </c>
      <c r="C247" s="78" t="s">
        <v>1499</v>
      </c>
      <c r="D247" s="78" t="s">
        <v>27</v>
      </c>
      <c r="E247" s="78" t="s">
        <v>1560</v>
      </c>
      <c r="F247" s="78" t="s">
        <v>1619</v>
      </c>
      <c r="G247" s="78" t="s">
        <v>1513</v>
      </c>
      <c r="H247" s="77"/>
      <c r="I247" s="226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9"/>
    </row>
    <row r="248" spans="1:31" x14ac:dyDescent="0.3">
      <c r="A248" s="76"/>
      <c r="B248" s="78" t="s">
        <v>1717</v>
      </c>
      <c r="C248" s="78" t="s">
        <v>1489</v>
      </c>
      <c r="D248" s="78" t="s">
        <v>32</v>
      </c>
      <c r="E248" s="78" t="s">
        <v>1508</v>
      </c>
      <c r="F248" s="78" t="s">
        <v>1718</v>
      </c>
      <c r="G248" s="78" t="s">
        <v>1513</v>
      </c>
      <c r="H248" s="77"/>
      <c r="I248" s="226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9"/>
    </row>
    <row r="249" spans="1:31" ht="15" thickBot="1" x14ac:dyDescent="0.35">
      <c r="A249" s="81"/>
      <c r="B249" s="82" t="s">
        <v>1719</v>
      </c>
      <c r="C249" s="82" t="s">
        <v>1499</v>
      </c>
      <c r="D249" s="82" t="s">
        <v>26</v>
      </c>
      <c r="E249" s="82" t="s">
        <v>1609</v>
      </c>
      <c r="F249" s="82" t="s">
        <v>1565</v>
      </c>
      <c r="G249" s="82" t="s">
        <v>1513</v>
      </c>
      <c r="H249" s="83"/>
      <c r="I249" s="227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4"/>
    </row>
    <row r="250" spans="1:31" x14ac:dyDescent="0.3">
      <c r="A250" s="72" t="s">
        <v>37</v>
      </c>
      <c r="B250" s="73" t="s">
        <v>1720</v>
      </c>
      <c r="C250" s="74" t="s">
        <v>1479</v>
      </c>
      <c r="D250" s="74" t="s">
        <v>38</v>
      </c>
      <c r="E250" s="74" t="s">
        <v>1480</v>
      </c>
      <c r="F250" s="74"/>
      <c r="G250" s="74" t="s">
        <v>1481</v>
      </c>
      <c r="H250" s="73" t="s">
        <v>1482</v>
      </c>
      <c r="I250" s="225" t="s">
        <v>1485</v>
      </c>
      <c r="J250" s="73" t="s">
        <v>36</v>
      </c>
      <c r="K250" s="73">
        <v>2</v>
      </c>
      <c r="L250" s="73" t="s">
        <v>195</v>
      </c>
      <c r="M250" s="73" t="s">
        <v>1483</v>
      </c>
      <c r="N250" s="73" t="s">
        <v>1483</v>
      </c>
      <c r="O250" s="73" t="s">
        <v>1483</v>
      </c>
      <c r="P250" s="73" t="s">
        <v>1483</v>
      </c>
      <c r="Q250" s="73" t="s">
        <v>1483</v>
      </c>
      <c r="R250" s="73" t="s">
        <v>1483</v>
      </c>
      <c r="S250" s="73" t="s">
        <v>1484</v>
      </c>
      <c r="T250" s="73" t="s">
        <v>1484</v>
      </c>
      <c r="U250" s="73" t="s">
        <v>1484</v>
      </c>
      <c r="V250" s="73" t="s">
        <v>1484</v>
      </c>
      <c r="W250" s="73" t="s">
        <v>1485</v>
      </c>
      <c r="X250" s="73" t="s">
        <v>1484</v>
      </c>
      <c r="Y250" s="73" t="s">
        <v>1484</v>
      </c>
      <c r="Z250" s="73" t="s">
        <v>1485</v>
      </c>
      <c r="AA250" s="73" t="s">
        <v>1485</v>
      </c>
      <c r="AB250" s="73" t="s">
        <v>1484</v>
      </c>
      <c r="AC250" s="73" t="s">
        <v>1486</v>
      </c>
      <c r="AD250" s="73" t="s">
        <v>1487</v>
      </c>
      <c r="AE250" s="75" t="s">
        <v>1488</v>
      </c>
    </row>
    <row r="251" spans="1:31" x14ac:dyDescent="0.3">
      <c r="A251" s="76"/>
      <c r="B251" s="77"/>
      <c r="C251" s="78" t="s">
        <v>1493</v>
      </c>
      <c r="D251" s="78" t="s">
        <v>39</v>
      </c>
      <c r="E251" s="78" t="s">
        <v>1503</v>
      </c>
      <c r="F251" s="78" t="s">
        <v>1495</v>
      </c>
      <c r="G251" s="78" t="s">
        <v>1492</v>
      </c>
      <c r="H251" s="77"/>
      <c r="I251" s="226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9"/>
    </row>
    <row r="252" spans="1:31" x14ac:dyDescent="0.3">
      <c r="A252" s="76"/>
      <c r="B252" s="77"/>
      <c r="C252" s="78" t="s">
        <v>1499</v>
      </c>
      <c r="D252" s="78" t="s">
        <v>40</v>
      </c>
      <c r="E252" s="78" t="s">
        <v>1560</v>
      </c>
      <c r="F252" s="78" t="s">
        <v>1564</v>
      </c>
      <c r="G252" s="78" t="s">
        <v>1492</v>
      </c>
      <c r="H252" s="77"/>
      <c r="I252" s="226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9"/>
    </row>
    <row r="253" spans="1:31" x14ac:dyDescent="0.3">
      <c r="A253" s="76"/>
      <c r="B253" s="80"/>
      <c r="C253" s="78" t="s">
        <v>1504</v>
      </c>
      <c r="D253" s="78" t="s">
        <v>41</v>
      </c>
      <c r="E253" s="78" t="s">
        <v>1620</v>
      </c>
      <c r="F253" s="78" t="s">
        <v>1495</v>
      </c>
      <c r="G253" s="78" t="s">
        <v>1492</v>
      </c>
      <c r="H253" s="77"/>
      <c r="I253" s="226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9"/>
    </row>
    <row r="254" spans="1:31" x14ac:dyDescent="0.3">
      <c r="A254" s="76"/>
      <c r="B254" s="78" t="s">
        <v>1485</v>
      </c>
      <c r="C254" s="78" t="s">
        <v>1485</v>
      </c>
      <c r="D254" s="78" t="s">
        <v>42</v>
      </c>
      <c r="E254" s="78" t="s">
        <v>1709</v>
      </c>
      <c r="F254" s="78" t="s">
        <v>1623</v>
      </c>
      <c r="G254" s="78" t="s">
        <v>1513</v>
      </c>
      <c r="H254" s="77"/>
      <c r="I254" s="226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9"/>
    </row>
    <row r="255" spans="1:31" x14ac:dyDescent="0.3">
      <c r="A255" s="76"/>
      <c r="B255" s="78" t="s">
        <v>1536</v>
      </c>
      <c r="C255" s="78" t="s">
        <v>1493</v>
      </c>
      <c r="D255" s="78" t="s">
        <v>43</v>
      </c>
      <c r="E255" s="78" t="s">
        <v>1480</v>
      </c>
      <c r="F255" s="78" t="s">
        <v>1518</v>
      </c>
      <c r="G255" s="78" t="s">
        <v>1513</v>
      </c>
      <c r="H255" s="77"/>
      <c r="I255" s="226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9"/>
    </row>
    <row r="256" spans="1:31" x14ac:dyDescent="0.3">
      <c r="A256" s="76"/>
      <c r="B256" s="78" t="s">
        <v>1655</v>
      </c>
      <c r="C256" s="78" t="s">
        <v>1489</v>
      </c>
      <c r="D256" s="78" t="s">
        <v>39</v>
      </c>
      <c r="E256" s="78" t="s">
        <v>1503</v>
      </c>
      <c r="F256" s="78" t="s">
        <v>1495</v>
      </c>
      <c r="G256" s="78" t="s">
        <v>1513</v>
      </c>
      <c r="H256" s="77"/>
      <c r="I256" s="226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9"/>
    </row>
    <row r="257" spans="1:31" x14ac:dyDescent="0.3">
      <c r="A257" s="76"/>
      <c r="B257" s="78" t="s">
        <v>1721</v>
      </c>
      <c r="C257" s="78" t="s">
        <v>1493</v>
      </c>
      <c r="D257" s="78" t="s">
        <v>41</v>
      </c>
      <c r="E257" s="78" t="s">
        <v>1620</v>
      </c>
      <c r="F257" s="78" t="s">
        <v>1495</v>
      </c>
      <c r="G257" s="78" t="s">
        <v>1513</v>
      </c>
      <c r="H257" s="77"/>
      <c r="I257" s="226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9"/>
    </row>
    <row r="258" spans="1:31" x14ac:dyDescent="0.3">
      <c r="A258" s="76"/>
      <c r="B258" s="78" t="s">
        <v>1722</v>
      </c>
      <c r="C258" s="78" t="s">
        <v>1502</v>
      </c>
      <c r="D258" s="78" t="s">
        <v>44</v>
      </c>
      <c r="E258" s="78" t="s">
        <v>1609</v>
      </c>
      <c r="F258" s="78" t="s">
        <v>1558</v>
      </c>
      <c r="G258" s="78" t="s">
        <v>1513</v>
      </c>
      <c r="H258" s="77"/>
      <c r="I258" s="226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9"/>
    </row>
    <row r="259" spans="1:31" x14ac:dyDescent="0.3">
      <c r="A259" s="76"/>
      <c r="B259" s="78" t="s">
        <v>1571</v>
      </c>
      <c r="C259" s="78" t="s">
        <v>1496</v>
      </c>
      <c r="D259" s="78" t="s">
        <v>40</v>
      </c>
      <c r="E259" s="78" t="s">
        <v>1560</v>
      </c>
      <c r="F259" s="78" t="s">
        <v>1564</v>
      </c>
      <c r="G259" s="78" t="s">
        <v>1513</v>
      </c>
      <c r="H259" s="77"/>
      <c r="I259" s="226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9"/>
    </row>
    <row r="260" spans="1:31" ht="15" thickBot="1" x14ac:dyDescent="0.35">
      <c r="A260" s="81"/>
      <c r="B260" s="82" t="s">
        <v>1723</v>
      </c>
      <c r="C260" s="82" t="s">
        <v>1489</v>
      </c>
      <c r="D260" s="82" t="s">
        <v>45</v>
      </c>
      <c r="E260" s="82" t="s">
        <v>1508</v>
      </c>
      <c r="F260" s="82" t="s">
        <v>1718</v>
      </c>
      <c r="G260" s="82" t="s">
        <v>1513</v>
      </c>
      <c r="H260" s="83"/>
      <c r="I260" s="227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4"/>
    </row>
    <row r="261" spans="1:31" x14ac:dyDescent="0.3">
      <c r="A261" s="72" t="s">
        <v>48</v>
      </c>
      <c r="B261" s="73" t="s">
        <v>1724</v>
      </c>
      <c r="C261" s="74" t="s">
        <v>1479</v>
      </c>
      <c r="D261" s="74" t="s">
        <v>49</v>
      </c>
      <c r="E261" s="74" t="s">
        <v>1480</v>
      </c>
      <c r="F261" s="74"/>
      <c r="G261" s="74" t="s">
        <v>1481</v>
      </c>
      <c r="H261" s="73" t="s">
        <v>1482</v>
      </c>
      <c r="I261" s="225" t="s">
        <v>1485</v>
      </c>
      <c r="J261" s="73" t="s">
        <v>47</v>
      </c>
      <c r="K261" s="73">
        <v>3</v>
      </c>
      <c r="L261" s="73" t="s">
        <v>195</v>
      </c>
      <c r="M261" s="73" t="s">
        <v>1483</v>
      </c>
      <c r="N261" s="73" t="s">
        <v>1483</v>
      </c>
      <c r="O261" s="73" t="s">
        <v>1483</v>
      </c>
      <c r="P261" s="73" t="s">
        <v>1483</v>
      </c>
      <c r="Q261" s="73" t="s">
        <v>1483</v>
      </c>
      <c r="R261" s="73" t="s">
        <v>1483</v>
      </c>
      <c r="S261" s="73" t="s">
        <v>1484</v>
      </c>
      <c r="T261" s="73" t="s">
        <v>1484</v>
      </c>
      <c r="U261" s="73" t="s">
        <v>1484</v>
      </c>
      <c r="V261" s="73" t="s">
        <v>1484</v>
      </c>
      <c r="W261" s="73" t="s">
        <v>1485</v>
      </c>
      <c r="X261" s="73" t="s">
        <v>1484</v>
      </c>
      <c r="Y261" s="73" t="s">
        <v>1484</v>
      </c>
      <c r="Z261" s="73" t="s">
        <v>1485</v>
      </c>
      <c r="AA261" s="73" t="s">
        <v>1485</v>
      </c>
      <c r="AB261" s="73" t="s">
        <v>1484</v>
      </c>
      <c r="AC261" s="73" t="s">
        <v>1486</v>
      </c>
      <c r="AD261" s="73" t="s">
        <v>1487</v>
      </c>
      <c r="AE261" s="75" t="s">
        <v>1488</v>
      </c>
    </row>
    <row r="262" spans="1:31" x14ac:dyDescent="0.3">
      <c r="A262" s="76"/>
      <c r="B262" s="77"/>
      <c r="C262" s="78" t="s">
        <v>1493</v>
      </c>
      <c r="D262" s="78" t="s">
        <v>50</v>
      </c>
      <c r="E262" s="78" t="s">
        <v>1503</v>
      </c>
      <c r="F262" s="78" t="s">
        <v>1495</v>
      </c>
      <c r="G262" s="78" t="s">
        <v>1492</v>
      </c>
      <c r="H262" s="77"/>
      <c r="I262" s="226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9"/>
    </row>
    <row r="263" spans="1:31" x14ac:dyDescent="0.3">
      <c r="A263" s="76"/>
      <c r="B263" s="77"/>
      <c r="C263" s="78" t="s">
        <v>1499</v>
      </c>
      <c r="D263" s="78" t="s">
        <v>51</v>
      </c>
      <c r="E263" s="78" t="s">
        <v>1560</v>
      </c>
      <c r="F263" s="78" t="s">
        <v>1546</v>
      </c>
      <c r="G263" s="78" t="s">
        <v>1492</v>
      </c>
      <c r="H263" s="77"/>
      <c r="I263" s="226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9"/>
    </row>
    <row r="264" spans="1:31" x14ac:dyDescent="0.3">
      <c r="A264" s="76"/>
      <c r="B264" s="80"/>
      <c r="C264" s="78" t="s">
        <v>1504</v>
      </c>
      <c r="D264" s="78" t="s">
        <v>52</v>
      </c>
      <c r="E264" s="78" t="s">
        <v>1620</v>
      </c>
      <c r="F264" s="78" t="s">
        <v>1495</v>
      </c>
      <c r="G264" s="78" t="s">
        <v>1492</v>
      </c>
      <c r="H264" s="77"/>
      <c r="I264" s="226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9"/>
    </row>
    <row r="265" spans="1:31" x14ac:dyDescent="0.3">
      <c r="A265" s="76"/>
      <c r="B265" s="78" t="s">
        <v>1485</v>
      </c>
      <c r="C265" s="78" t="s">
        <v>1485</v>
      </c>
      <c r="D265" s="78" t="s">
        <v>1725</v>
      </c>
      <c r="E265" s="78" t="s">
        <v>1709</v>
      </c>
      <c r="F265" s="78" t="s">
        <v>1623</v>
      </c>
      <c r="G265" s="78" t="s">
        <v>1513</v>
      </c>
      <c r="H265" s="77"/>
      <c r="I265" s="226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9"/>
    </row>
    <row r="266" spans="1:31" x14ac:dyDescent="0.3">
      <c r="A266" s="76"/>
      <c r="B266" s="78" t="s">
        <v>1485</v>
      </c>
      <c r="C266" s="78" t="s">
        <v>1485</v>
      </c>
      <c r="D266" s="78" t="s">
        <v>1726</v>
      </c>
      <c r="E266" s="78" t="s">
        <v>1534</v>
      </c>
      <c r="F266" s="78" t="s">
        <v>1535</v>
      </c>
      <c r="G266" s="78" t="s">
        <v>1513</v>
      </c>
      <c r="H266" s="77"/>
      <c r="I266" s="226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9"/>
    </row>
    <row r="267" spans="1:31" x14ac:dyDescent="0.3">
      <c r="A267" s="76"/>
      <c r="B267" s="78" t="s">
        <v>1552</v>
      </c>
      <c r="C267" s="78" t="s">
        <v>1493</v>
      </c>
      <c r="D267" s="78" t="s">
        <v>54</v>
      </c>
      <c r="E267" s="78" t="s">
        <v>1480</v>
      </c>
      <c r="F267" s="78" t="s">
        <v>1518</v>
      </c>
      <c r="G267" s="78" t="s">
        <v>1513</v>
      </c>
      <c r="H267" s="77"/>
      <c r="I267" s="226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9"/>
    </row>
    <row r="268" spans="1:31" x14ac:dyDescent="0.3">
      <c r="A268" s="76"/>
      <c r="B268" s="78" t="s">
        <v>1665</v>
      </c>
      <c r="C268" s="78" t="s">
        <v>1493</v>
      </c>
      <c r="D268" s="78" t="s">
        <v>50</v>
      </c>
      <c r="E268" s="78" t="s">
        <v>1503</v>
      </c>
      <c r="F268" s="78" t="s">
        <v>1495</v>
      </c>
      <c r="G268" s="78" t="s">
        <v>1513</v>
      </c>
      <c r="H268" s="77"/>
      <c r="I268" s="226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9"/>
    </row>
    <row r="269" spans="1:31" x14ac:dyDescent="0.3">
      <c r="A269" s="76"/>
      <c r="B269" s="78" t="s">
        <v>1727</v>
      </c>
      <c r="C269" s="78" t="s">
        <v>1493</v>
      </c>
      <c r="D269" s="78" t="s">
        <v>52</v>
      </c>
      <c r="E269" s="78" t="s">
        <v>1620</v>
      </c>
      <c r="F269" s="78" t="s">
        <v>1495</v>
      </c>
      <c r="G269" s="78" t="s">
        <v>1513</v>
      </c>
      <c r="H269" s="77"/>
      <c r="I269" s="22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9"/>
    </row>
    <row r="270" spans="1:31" x14ac:dyDescent="0.3">
      <c r="A270" s="76"/>
      <c r="B270" s="78" t="s">
        <v>1559</v>
      </c>
      <c r="C270" s="78" t="s">
        <v>1496</v>
      </c>
      <c r="D270" s="78" t="s">
        <v>51</v>
      </c>
      <c r="E270" s="78" t="s">
        <v>1560</v>
      </c>
      <c r="F270" s="78" t="s">
        <v>1546</v>
      </c>
      <c r="G270" s="78" t="s">
        <v>1513</v>
      </c>
      <c r="H270" s="77"/>
      <c r="I270" s="226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9"/>
    </row>
    <row r="271" spans="1:31" ht="15" thickBot="1" x14ac:dyDescent="0.35">
      <c r="A271" s="81"/>
      <c r="B271" s="82" t="s">
        <v>1728</v>
      </c>
      <c r="C271" s="82" t="s">
        <v>1489</v>
      </c>
      <c r="D271" s="82" t="s">
        <v>55</v>
      </c>
      <c r="E271" s="82" t="s">
        <v>1508</v>
      </c>
      <c r="F271" s="82" t="s">
        <v>1718</v>
      </c>
      <c r="G271" s="82" t="s">
        <v>1513</v>
      </c>
      <c r="H271" s="83"/>
      <c r="I271" s="227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4"/>
    </row>
    <row r="272" spans="1:31" x14ac:dyDescent="0.3">
      <c r="A272" s="72" t="s">
        <v>88</v>
      </c>
      <c r="B272" s="73" t="s">
        <v>1729</v>
      </c>
      <c r="C272" s="74" t="s">
        <v>1479</v>
      </c>
      <c r="D272" s="74" t="s">
        <v>89</v>
      </c>
      <c r="E272" s="74" t="s">
        <v>1480</v>
      </c>
      <c r="F272" s="74"/>
      <c r="G272" s="74" t="s">
        <v>1481</v>
      </c>
      <c r="H272" s="73" t="s">
        <v>1482</v>
      </c>
      <c r="I272" s="225" t="s">
        <v>1485</v>
      </c>
      <c r="J272" s="73" t="s">
        <v>87</v>
      </c>
      <c r="K272" s="73">
        <v>6</v>
      </c>
      <c r="L272" s="73" t="s">
        <v>195</v>
      </c>
      <c r="M272" s="73" t="s">
        <v>1483</v>
      </c>
      <c r="N272" s="73" t="s">
        <v>1483</v>
      </c>
      <c r="O272" s="73" t="s">
        <v>1483</v>
      </c>
      <c r="P272" s="73" t="s">
        <v>1483</v>
      </c>
      <c r="Q272" s="73" t="s">
        <v>1483</v>
      </c>
      <c r="R272" s="73" t="s">
        <v>1483</v>
      </c>
      <c r="S272" s="73" t="s">
        <v>1484</v>
      </c>
      <c r="T272" s="73" t="s">
        <v>1484</v>
      </c>
      <c r="U272" s="73" t="s">
        <v>1484</v>
      </c>
      <c r="V272" s="73" t="s">
        <v>1484</v>
      </c>
      <c r="W272" s="73" t="s">
        <v>1485</v>
      </c>
      <c r="X272" s="73" t="s">
        <v>1484</v>
      </c>
      <c r="Y272" s="73" t="s">
        <v>1484</v>
      </c>
      <c r="Z272" s="73" t="s">
        <v>1485</v>
      </c>
      <c r="AA272" s="73" t="s">
        <v>1485</v>
      </c>
      <c r="AB272" s="73" t="s">
        <v>1484</v>
      </c>
      <c r="AC272" s="73" t="s">
        <v>1486</v>
      </c>
      <c r="AD272" s="73" t="s">
        <v>1487</v>
      </c>
      <c r="AE272" s="75" t="s">
        <v>1488</v>
      </c>
    </row>
    <row r="273" spans="1:31" x14ac:dyDescent="0.3">
      <c r="A273" s="76"/>
      <c r="B273" s="77"/>
      <c r="C273" s="78" t="s">
        <v>1489</v>
      </c>
      <c r="D273" s="78" t="s">
        <v>90</v>
      </c>
      <c r="E273" s="78" t="s">
        <v>1618</v>
      </c>
      <c r="F273" s="78" t="s">
        <v>1491</v>
      </c>
      <c r="G273" s="78" t="s">
        <v>1492</v>
      </c>
      <c r="H273" s="77"/>
      <c r="I273" s="226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9"/>
    </row>
    <row r="274" spans="1:31" x14ac:dyDescent="0.3">
      <c r="A274" s="76"/>
      <c r="B274" s="77"/>
      <c r="C274" s="78" t="s">
        <v>1493</v>
      </c>
      <c r="D274" s="78" t="s">
        <v>91</v>
      </c>
      <c r="E274" s="78" t="s">
        <v>1503</v>
      </c>
      <c r="F274" s="78" t="s">
        <v>1495</v>
      </c>
      <c r="G274" s="78" t="s">
        <v>1492</v>
      </c>
      <c r="H274" s="77"/>
      <c r="I274" s="226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9"/>
    </row>
    <row r="275" spans="1:31" x14ac:dyDescent="0.3">
      <c r="A275" s="76"/>
      <c r="B275" s="77"/>
      <c r="C275" s="78" t="s">
        <v>1496</v>
      </c>
      <c r="D275" s="78" t="s">
        <v>92</v>
      </c>
      <c r="E275" s="78" t="s">
        <v>1500</v>
      </c>
      <c r="F275" s="78" t="s">
        <v>1501</v>
      </c>
      <c r="G275" s="78" t="s">
        <v>1492</v>
      </c>
      <c r="H275" s="77"/>
      <c r="I275" s="226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9"/>
    </row>
    <row r="276" spans="1:31" x14ac:dyDescent="0.3">
      <c r="A276" s="76"/>
      <c r="B276" s="77"/>
      <c r="C276" s="78" t="s">
        <v>1499</v>
      </c>
      <c r="D276" s="78" t="s">
        <v>93</v>
      </c>
      <c r="E276" s="78" t="s">
        <v>1560</v>
      </c>
      <c r="F276" s="78" t="s">
        <v>1631</v>
      </c>
      <c r="G276" s="78" t="s">
        <v>1492</v>
      </c>
      <c r="H276" s="77"/>
      <c r="I276" s="226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9"/>
    </row>
    <row r="277" spans="1:31" x14ac:dyDescent="0.3">
      <c r="A277" s="76"/>
      <c r="B277" s="80"/>
      <c r="C277" s="78" t="s">
        <v>1504</v>
      </c>
      <c r="D277" s="78" t="s">
        <v>94</v>
      </c>
      <c r="E277" s="78" t="s">
        <v>1620</v>
      </c>
      <c r="F277" s="78" t="s">
        <v>1495</v>
      </c>
      <c r="G277" s="78" t="s">
        <v>1492</v>
      </c>
      <c r="H277" s="77"/>
      <c r="I277" s="226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9"/>
    </row>
    <row r="278" spans="1:31" x14ac:dyDescent="0.3">
      <c r="A278" s="76"/>
      <c r="B278" s="78" t="s">
        <v>1485</v>
      </c>
      <c r="C278" s="78" t="s">
        <v>1485</v>
      </c>
      <c r="D278" s="78" t="s">
        <v>95</v>
      </c>
      <c r="E278" s="78" t="s">
        <v>1709</v>
      </c>
      <c r="F278" s="78" t="s">
        <v>1512</v>
      </c>
      <c r="G278" s="78" t="s">
        <v>1513</v>
      </c>
      <c r="H278" s="77"/>
      <c r="I278" s="226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9"/>
    </row>
    <row r="279" spans="1:31" x14ac:dyDescent="0.3">
      <c r="A279" s="76"/>
      <c r="B279" s="78" t="s">
        <v>1566</v>
      </c>
      <c r="C279" s="78" t="s">
        <v>1493</v>
      </c>
      <c r="D279" s="78" t="s">
        <v>96</v>
      </c>
      <c r="E279" s="78" t="s">
        <v>1480</v>
      </c>
      <c r="F279" s="78" t="s">
        <v>1518</v>
      </c>
      <c r="G279" s="78" t="s">
        <v>1513</v>
      </c>
      <c r="H279" s="77"/>
      <c r="I279" s="226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9"/>
    </row>
    <row r="280" spans="1:31" x14ac:dyDescent="0.3">
      <c r="A280" s="76"/>
      <c r="B280" s="78" t="s">
        <v>1675</v>
      </c>
      <c r="C280" s="78" t="s">
        <v>1489</v>
      </c>
      <c r="D280" s="78" t="s">
        <v>91</v>
      </c>
      <c r="E280" s="78" t="s">
        <v>1503</v>
      </c>
      <c r="F280" s="78" t="s">
        <v>1495</v>
      </c>
      <c r="G280" s="78" t="s">
        <v>1513</v>
      </c>
      <c r="H280" s="77"/>
      <c r="I280" s="226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9"/>
    </row>
    <row r="281" spans="1:31" x14ac:dyDescent="0.3">
      <c r="A281" s="76"/>
      <c r="B281" s="78" t="s">
        <v>1730</v>
      </c>
      <c r="C281" s="78" t="s">
        <v>1493</v>
      </c>
      <c r="D281" s="78" t="s">
        <v>94</v>
      </c>
      <c r="E281" s="78" t="s">
        <v>1620</v>
      </c>
      <c r="F281" s="78" t="s">
        <v>1495</v>
      </c>
      <c r="G281" s="78" t="s">
        <v>1513</v>
      </c>
      <c r="H281" s="77"/>
      <c r="I281" s="226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9"/>
    </row>
    <row r="282" spans="1:31" x14ac:dyDescent="0.3">
      <c r="A282" s="76"/>
      <c r="B282" s="78" t="s">
        <v>1649</v>
      </c>
      <c r="C282" s="78" t="s">
        <v>1496</v>
      </c>
      <c r="D282" s="78" t="s">
        <v>92</v>
      </c>
      <c r="E282" s="78" t="s">
        <v>1500</v>
      </c>
      <c r="F282" s="78" t="s">
        <v>1501</v>
      </c>
      <c r="G282" s="78" t="s">
        <v>1513</v>
      </c>
      <c r="H282" s="77"/>
      <c r="I282" s="226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9"/>
    </row>
    <row r="283" spans="1:31" x14ac:dyDescent="0.3">
      <c r="A283" s="76"/>
      <c r="B283" s="78" t="s">
        <v>1657</v>
      </c>
      <c r="C283" s="78" t="s">
        <v>1496</v>
      </c>
      <c r="D283" s="78" t="s">
        <v>93</v>
      </c>
      <c r="E283" s="78" t="s">
        <v>1560</v>
      </c>
      <c r="F283" s="78" t="s">
        <v>1631</v>
      </c>
      <c r="G283" s="78" t="s">
        <v>1513</v>
      </c>
      <c r="H283" s="77"/>
      <c r="I283" s="226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9"/>
    </row>
    <row r="284" spans="1:31" x14ac:dyDescent="0.3">
      <c r="A284" s="76"/>
      <c r="B284" s="78" t="s">
        <v>1731</v>
      </c>
      <c r="C284" s="78" t="s">
        <v>1489</v>
      </c>
      <c r="D284" s="78" t="s">
        <v>90</v>
      </c>
      <c r="E284" s="78" t="s">
        <v>1618</v>
      </c>
      <c r="F284" s="78" t="s">
        <v>1491</v>
      </c>
      <c r="G284" s="78" t="s">
        <v>1513</v>
      </c>
      <c r="H284" s="77"/>
      <c r="I284" s="226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9"/>
    </row>
    <row r="285" spans="1:31" ht="15" thickBot="1" x14ac:dyDescent="0.35">
      <c r="A285" s="81"/>
      <c r="B285" s="82" t="s">
        <v>1732</v>
      </c>
      <c r="C285" s="82" t="s">
        <v>1489</v>
      </c>
      <c r="D285" s="82" t="s">
        <v>97</v>
      </c>
      <c r="E285" s="82" t="s">
        <v>1508</v>
      </c>
      <c r="F285" s="82" t="s">
        <v>1718</v>
      </c>
      <c r="G285" s="82" t="s">
        <v>1513</v>
      </c>
      <c r="H285" s="83"/>
      <c r="I285" s="227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4"/>
    </row>
    <row r="286" spans="1:31" x14ac:dyDescent="0.3">
      <c r="A286" s="72" t="s">
        <v>1410</v>
      </c>
      <c r="B286" s="73" t="s">
        <v>1733</v>
      </c>
      <c r="C286" s="74" t="s">
        <v>1479</v>
      </c>
      <c r="D286" s="74" t="s">
        <v>1411</v>
      </c>
      <c r="E286" s="74" t="s">
        <v>1480</v>
      </c>
      <c r="F286" s="74"/>
      <c r="G286" s="74" t="s">
        <v>1481</v>
      </c>
      <c r="H286" s="73" t="s">
        <v>1482</v>
      </c>
      <c r="I286" s="225" t="s">
        <v>1485</v>
      </c>
      <c r="J286" s="73" t="s">
        <v>1409</v>
      </c>
      <c r="K286" s="73" t="s">
        <v>1485</v>
      </c>
      <c r="L286" s="73" t="s">
        <v>195</v>
      </c>
      <c r="M286" s="73" t="s">
        <v>1483</v>
      </c>
      <c r="N286" s="73" t="s">
        <v>1483</v>
      </c>
      <c r="O286" s="73" t="s">
        <v>1483</v>
      </c>
      <c r="P286" s="73" t="s">
        <v>1483</v>
      </c>
      <c r="Q286" s="73" t="s">
        <v>1483</v>
      </c>
      <c r="R286" s="73" t="s">
        <v>1483</v>
      </c>
      <c r="S286" s="73" t="s">
        <v>1484</v>
      </c>
      <c r="T286" s="73" t="s">
        <v>1484</v>
      </c>
      <c r="U286" s="73" t="s">
        <v>1484</v>
      </c>
      <c r="V286" s="73" t="s">
        <v>1484</v>
      </c>
      <c r="W286" s="73" t="s">
        <v>1485</v>
      </c>
      <c r="X286" s="73" t="s">
        <v>1484</v>
      </c>
      <c r="Y286" s="73" t="s">
        <v>1484</v>
      </c>
      <c r="Z286" s="73" t="s">
        <v>1485</v>
      </c>
      <c r="AA286" s="73" t="s">
        <v>1485</v>
      </c>
      <c r="AB286" s="73" t="s">
        <v>1484</v>
      </c>
      <c r="AC286" s="73" t="s">
        <v>1486</v>
      </c>
      <c r="AD286" s="73" t="s">
        <v>1487</v>
      </c>
      <c r="AE286" s="75" t="s">
        <v>1488</v>
      </c>
    </row>
    <row r="287" spans="1:31" x14ac:dyDescent="0.3">
      <c r="A287" s="76"/>
      <c r="B287" s="77"/>
      <c r="C287" s="78" t="s">
        <v>1493</v>
      </c>
      <c r="D287" s="78" t="s">
        <v>168</v>
      </c>
      <c r="E287" s="78" t="s">
        <v>1503</v>
      </c>
      <c r="F287" s="78" t="s">
        <v>1495</v>
      </c>
      <c r="G287" s="78" t="s">
        <v>1492</v>
      </c>
      <c r="H287" s="77"/>
      <c r="I287" s="226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9"/>
    </row>
    <row r="288" spans="1:31" x14ac:dyDescent="0.3">
      <c r="A288" s="76"/>
      <c r="B288" s="77"/>
      <c r="C288" s="78" t="s">
        <v>1496</v>
      </c>
      <c r="D288" s="78" t="s">
        <v>106</v>
      </c>
      <c r="E288" s="78" t="s">
        <v>1500</v>
      </c>
      <c r="F288" s="78" t="s">
        <v>1501</v>
      </c>
      <c r="G288" s="78" t="s">
        <v>1492</v>
      </c>
      <c r="H288" s="77"/>
      <c r="I288" s="226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9"/>
    </row>
    <row r="289" spans="1:31" x14ac:dyDescent="0.3">
      <c r="A289" s="76"/>
      <c r="B289" s="80"/>
      <c r="C289" s="78" t="s">
        <v>1499</v>
      </c>
      <c r="D289" s="78" t="s">
        <v>167</v>
      </c>
      <c r="E289" s="78" t="s">
        <v>1560</v>
      </c>
      <c r="F289" s="78" t="s">
        <v>1528</v>
      </c>
      <c r="G289" s="78" t="s">
        <v>1492</v>
      </c>
      <c r="H289" s="77"/>
      <c r="I289" s="226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9"/>
    </row>
    <row r="290" spans="1:31" x14ac:dyDescent="0.3">
      <c r="A290" s="76"/>
      <c r="B290" s="78" t="s">
        <v>1662</v>
      </c>
      <c r="C290" s="78" t="s">
        <v>1496</v>
      </c>
      <c r="D290" s="78" t="s">
        <v>541</v>
      </c>
      <c r="E290" s="78" t="s">
        <v>1651</v>
      </c>
      <c r="F290" s="78" t="s">
        <v>1600</v>
      </c>
      <c r="G290" s="78" t="s">
        <v>1513</v>
      </c>
      <c r="H290" s="77"/>
      <c r="I290" s="226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9"/>
    </row>
    <row r="291" spans="1:31" x14ac:dyDescent="0.3">
      <c r="A291" s="76"/>
      <c r="B291" s="78" t="s">
        <v>1682</v>
      </c>
      <c r="C291" s="78" t="s">
        <v>1489</v>
      </c>
      <c r="D291" s="78" t="s">
        <v>168</v>
      </c>
      <c r="E291" s="78" t="s">
        <v>1503</v>
      </c>
      <c r="F291" s="78" t="s">
        <v>1495</v>
      </c>
      <c r="G291" s="78" t="s">
        <v>1513</v>
      </c>
      <c r="H291" s="77"/>
      <c r="I291" s="226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9"/>
    </row>
    <row r="292" spans="1:31" x14ac:dyDescent="0.3">
      <c r="A292" s="76"/>
      <c r="B292" s="78" t="s">
        <v>1656</v>
      </c>
      <c r="C292" s="78" t="s">
        <v>1496</v>
      </c>
      <c r="D292" s="78" t="s">
        <v>106</v>
      </c>
      <c r="E292" s="78" t="s">
        <v>1500</v>
      </c>
      <c r="F292" s="78" t="s">
        <v>1501</v>
      </c>
      <c r="G292" s="78" t="s">
        <v>1513</v>
      </c>
      <c r="H292" s="77"/>
      <c r="I292" s="226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9"/>
    </row>
    <row r="293" spans="1:31" ht="15" thickBot="1" x14ac:dyDescent="0.35">
      <c r="A293" s="81"/>
      <c r="B293" s="82" t="s">
        <v>1606</v>
      </c>
      <c r="C293" s="82" t="s">
        <v>1496</v>
      </c>
      <c r="D293" s="82" t="s">
        <v>167</v>
      </c>
      <c r="E293" s="82" t="s">
        <v>1560</v>
      </c>
      <c r="F293" s="82" t="s">
        <v>1528</v>
      </c>
      <c r="G293" s="82" t="s">
        <v>1513</v>
      </c>
      <c r="H293" s="83"/>
      <c r="I293" s="227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4"/>
    </row>
    <row r="294" spans="1:31" x14ac:dyDescent="0.3">
      <c r="A294" s="72" t="s">
        <v>1414</v>
      </c>
      <c r="B294" s="73" t="s">
        <v>1734</v>
      </c>
      <c r="C294" s="74" t="s">
        <v>1479</v>
      </c>
      <c r="D294" s="74" t="s">
        <v>1415</v>
      </c>
      <c r="E294" s="74" t="s">
        <v>1480</v>
      </c>
      <c r="F294" s="74"/>
      <c r="G294" s="74" t="s">
        <v>1481</v>
      </c>
      <c r="H294" s="73" t="s">
        <v>1575</v>
      </c>
      <c r="I294" s="225" t="s">
        <v>1485</v>
      </c>
      <c r="J294" s="73" t="s">
        <v>1413</v>
      </c>
      <c r="K294" s="73" t="s">
        <v>1485</v>
      </c>
      <c r="L294" s="73" t="s">
        <v>195</v>
      </c>
      <c r="M294" s="73" t="s">
        <v>1483</v>
      </c>
      <c r="N294" s="73" t="s">
        <v>1483</v>
      </c>
      <c r="O294" s="73" t="s">
        <v>1483</v>
      </c>
      <c r="P294" s="73" t="s">
        <v>1483</v>
      </c>
      <c r="Q294" s="73" t="s">
        <v>1483</v>
      </c>
      <c r="R294" s="73" t="s">
        <v>1483</v>
      </c>
      <c r="S294" s="73" t="s">
        <v>1484</v>
      </c>
      <c r="T294" s="73" t="s">
        <v>1484</v>
      </c>
      <c r="U294" s="73" t="s">
        <v>1484</v>
      </c>
      <c r="V294" s="73" t="s">
        <v>1484</v>
      </c>
      <c r="W294" s="73" t="s">
        <v>1485</v>
      </c>
      <c r="X294" s="73" t="s">
        <v>1484</v>
      </c>
      <c r="Y294" s="73" t="s">
        <v>1484</v>
      </c>
      <c r="Z294" s="73" t="s">
        <v>1484</v>
      </c>
      <c r="AA294" s="73" t="s">
        <v>1485</v>
      </c>
      <c r="AB294" s="73" t="s">
        <v>1484</v>
      </c>
      <c r="AC294" s="73" t="s">
        <v>1486</v>
      </c>
      <c r="AD294" s="73" t="s">
        <v>1487</v>
      </c>
      <c r="AE294" s="75" t="s">
        <v>1579</v>
      </c>
    </row>
    <row r="295" spans="1:31" x14ac:dyDescent="0.3">
      <c r="A295" s="76"/>
      <c r="B295" s="77"/>
      <c r="C295" s="78" t="s">
        <v>1489</v>
      </c>
      <c r="D295" s="78" t="s">
        <v>518</v>
      </c>
      <c r="E295" s="78" t="s">
        <v>1651</v>
      </c>
      <c r="F295" s="78" t="s">
        <v>1611</v>
      </c>
      <c r="G295" s="78" t="s">
        <v>1492</v>
      </c>
      <c r="H295" s="77"/>
      <c r="I295" s="226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9"/>
    </row>
    <row r="296" spans="1:31" x14ac:dyDescent="0.3">
      <c r="A296" s="76"/>
      <c r="B296" s="77"/>
      <c r="C296" s="78" t="s">
        <v>1493</v>
      </c>
      <c r="D296" s="78" t="s">
        <v>723</v>
      </c>
      <c r="E296" s="78" t="s">
        <v>1503</v>
      </c>
      <c r="F296" s="78" t="s">
        <v>1495</v>
      </c>
      <c r="G296" s="78" t="s">
        <v>1492</v>
      </c>
      <c r="H296" s="77"/>
      <c r="I296" s="226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9"/>
    </row>
    <row r="297" spans="1:31" x14ac:dyDescent="0.3">
      <c r="A297" s="76"/>
      <c r="B297" s="80"/>
      <c r="C297" s="78" t="s">
        <v>1496</v>
      </c>
      <c r="D297" s="78" t="s">
        <v>79</v>
      </c>
      <c r="E297" s="78" t="s">
        <v>1500</v>
      </c>
      <c r="F297" s="78" t="s">
        <v>1501</v>
      </c>
      <c r="G297" s="78" t="s">
        <v>1492</v>
      </c>
      <c r="H297" s="77"/>
      <c r="I297" s="226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9"/>
    </row>
    <row r="298" spans="1:31" x14ac:dyDescent="0.3">
      <c r="A298" s="76"/>
      <c r="B298" s="78" t="s">
        <v>1735</v>
      </c>
      <c r="C298" s="78" t="s">
        <v>1493</v>
      </c>
      <c r="D298" s="78" t="s">
        <v>723</v>
      </c>
      <c r="E298" s="78" t="s">
        <v>1503</v>
      </c>
      <c r="F298" s="78" t="s">
        <v>1495</v>
      </c>
      <c r="G298" s="78" t="s">
        <v>1513</v>
      </c>
      <c r="H298" s="77"/>
      <c r="I298" s="226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9"/>
    </row>
    <row r="299" spans="1:31" ht="15" thickBot="1" x14ac:dyDescent="0.35">
      <c r="A299" s="81"/>
      <c r="B299" s="82" t="s">
        <v>1521</v>
      </c>
      <c r="C299" s="82" t="s">
        <v>1496</v>
      </c>
      <c r="D299" s="82" t="s">
        <v>79</v>
      </c>
      <c r="E299" s="82" t="s">
        <v>1500</v>
      </c>
      <c r="F299" s="82" t="s">
        <v>1501</v>
      </c>
      <c r="G299" s="82" t="s">
        <v>1513</v>
      </c>
      <c r="H299" s="83"/>
      <c r="I299" s="227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4"/>
    </row>
    <row r="300" spans="1:31" x14ac:dyDescent="0.3">
      <c r="A300" s="72" t="s">
        <v>176</v>
      </c>
      <c r="B300" s="74" t="s">
        <v>1736</v>
      </c>
      <c r="C300" s="74" t="s">
        <v>1479</v>
      </c>
      <c r="D300" s="74" t="s">
        <v>177</v>
      </c>
      <c r="E300" s="74" t="s">
        <v>1480</v>
      </c>
      <c r="F300" s="74"/>
      <c r="G300" s="74" t="s">
        <v>1513</v>
      </c>
      <c r="H300" s="73" t="s">
        <v>1737</v>
      </c>
      <c r="I300" s="225" t="s">
        <v>1485</v>
      </c>
      <c r="J300" s="73" t="s">
        <v>175</v>
      </c>
      <c r="K300" s="73">
        <v>14</v>
      </c>
      <c r="L300" s="73" t="s">
        <v>195</v>
      </c>
      <c r="M300" s="73" t="s">
        <v>1483</v>
      </c>
      <c r="N300" s="73" t="s">
        <v>1483</v>
      </c>
      <c r="O300" s="73" t="s">
        <v>1483</v>
      </c>
      <c r="P300" s="73" t="s">
        <v>1483</v>
      </c>
      <c r="Q300" s="73" t="s">
        <v>1483</v>
      </c>
      <c r="R300" s="73" t="s">
        <v>1483</v>
      </c>
      <c r="S300" s="73" t="s">
        <v>1485</v>
      </c>
      <c r="T300" s="73" t="s">
        <v>1484</v>
      </c>
      <c r="U300" s="73" t="s">
        <v>1484</v>
      </c>
      <c r="V300" s="73" t="s">
        <v>1484</v>
      </c>
      <c r="W300" s="73" t="s">
        <v>1485</v>
      </c>
      <c r="X300" s="73" t="s">
        <v>1484</v>
      </c>
      <c r="Y300" s="73" t="s">
        <v>1484</v>
      </c>
      <c r="Z300" s="73" t="s">
        <v>1484</v>
      </c>
      <c r="AA300" s="73" t="s">
        <v>1485</v>
      </c>
      <c r="AB300" s="73" t="s">
        <v>1484</v>
      </c>
      <c r="AC300" s="73" t="s">
        <v>1486</v>
      </c>
      <c r="AD300" s="73" t="s">
        <v>1487</v>
      </c>
      <c r="AE300" s="75" t="s">
        <v>1738</v>
      </c>
    </row>
    <row r="301" spans="1:31" x14ac:dyDescent="0.3">
      <c r="A301" s="76"/>
      <c r="B301" s="78" t="s">
        <v>1485</v>
      </c>
      <c r="C301" s="78" t="s">
        <v>1485</v>
      </c>
      <c r="D301" s="78" t="s">
        <v>178</v>
      </c>
      <c r="E301" s="78" t="s">
        <v>1739</v>
      </c>
      <c r="F301" s="78" t="s">
        <v>1740</v>
      </c>
      <c r="G301" s="78" t="s">
        <v>1492</v>
      </c>
      <c r="H301" s="77"/>
      <c r="I301" s="226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9"/>
    </row>
    <row r="302" spans="1:31" x14ac:dyDescent="0.3">
      <c r="A302" s="76"/>
      <c r="B302" s="78" t="s">
        <v>1741</v>
      </c>
      <c r="C302" s="78" t="s">
        <v>1493</v>
      </c>
      <c r="D302" s="78" t="s">
        <v>179</v>
      </c>
      <c r="E302" s="78" t="s">
        <v>1503</v>
      </c>
      <c r="F302" s="78" t="s">
        <v>1495</v>
      </c>
      <c r="G302" s="78" t="s">
        <v>1513</v>
      </c>
      <c r="H302" s="85"/>
      <c r="I302" s="226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9"/>
    </row>
    <row r="303" spans="1:31" ht="15" thickBot="1" x14ac:dyDescent="0.35">
      <c r="A303" s="81"/>
      <c r="B303" s="82" t="s">
        <v>1538</v>
      </c>
      <c r="C303" s="82" t="s">
        <v>1496</v>
      </c>
      <c r="D303" s="82" t="s">
        <v>65</v>
      </c>
      <c r="E303" s="82" t="s">
        <v>1500</v>
      </c>
      <c r="F303" s="82" t="s">
        <v>1501</v>
      </c>
      <c r="G303" s="82" t="s">
        <v>1513</v>
      </c>
      <c r="H303" s="83"/>
      <c r="I303" s="227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4"/>
    </row>
    <row r="304" spans="1:31" x14ac:dyDescent="0.3">
      <c r="A304" s="72" t="s">
        <v>183</v>
      </c>
      <c r="B304" s="74" t="s">
        <v>1742</v>
      </c>
      <c r="C304" s="74" t="s">
        <v>1479</v>
      </c>
      <c r="D304" s="74" t="s">
        <v>184</v>
      </c>
      <c r="E304" s="74" t="s">
        <v>1480</v>
      </c>
      <c r="F304" s="74"/>
      <c r="G304" s="74" t="s">
        <v>1513</v>
      </c>
      <c r="H304" s="73" t="s">
        <v>1737</v>
      </c>
      <c r="I304" s="225" t="s">
        <v>1485</v>
      </c>
      <c r="J304" s="73" t="s">
        <v>182</v>
      </c>
      <c r="K304" s="73">
        <v>15</v>
      </c>
      <c r="L304" s="73" t="s">
        <v>195</v>
      </c>
      <c r="M304" s="73" t="s">
        <v>1483</v>
      </c>
      <c r="N304" s="73" t="s">
        <v>1483</v>
      </c>
      <c r="O304" s="73" t="s">
        <v>1483</v>
      </c>
      <c r="P304" s="73" t="s">
        <v>1483</v>
      </c>
      <c r="Q304" s="73" t="s">
        <v>1483</v>
      </c>
      <c r="R304" s="73" t="s">
        <v>1483</v>
      </c>
      <c r="S304" s="73" t="s">
        <v>1485</v>
      </c>
      <c r="T304" s="73" t="s">
        <v>1484</v>
      </c>
      <c r="U304" s="73" t="s">
        <v>1484</v>
      </c>
      <c r="V304" s="73" t="s">
        <v>1484</v>
      </c>
      <c r="W304" s="73" t="s">
        <v>1485</v>
      </c>
      <c r="X304" s="73" t="s">
        <v>1484</v>
      </c>
      <c r="Y304" s="73" t="s">
        <v>1484</v>
      </c>
      <c r="Z304" s="73" t="s">
        <v>1484</v>
      </c>
      <c r="AA304" s="73" t="s">
        <v>1485</v>
      </c>
      <c r="AB304" s="73" t="s">
        <v>1484</v>
      </c>
      <c r="AC304" s="73" t="s">
        <v>1486</v>
      </c>
      <c r="AD304" s="73" t="s">
        <v>1487</v>
      </c>
      <c r="AE304" s="75" t="s">
        <v>1738</v>
      </c>
    </row>
    <row r="305" spans="1:31" x14ac:dyDescent="0.3">
      <c r="A305" s="76"/>
      <c r="B305" s="78" t="s">
        <v>1485</v>
      </c>
      <c r="C305" s="78" t="s">
        <v>1485</v>
      </c>
      <c r="D305" s="78" t="s">
        <v>1743</v>
      </c>
      <c r="E305" s="78" t="s">
        <v>1739</v>
      </c>
      <c r="F305" s="78" t="s">
        <v>1744</v>
      </c>
      <c r="G305" s="78" t="s">
        <v>1513</v>
      </c>
      <c r="H305" s="77"/>
      <c r="I305" s="226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9"/>
    </row>
    <row r="306" spans="1:31" x14ac:dyDescent="0.3">
      <c r="A306" s="76"/>
      <c r="B306" s="78" t="s">
        <v>1485</v>
      </c>
      <c r="C306" s="78" t="s">
        <v>1485</v>
      </c>
      <c r="D306" s="78" t="s">
        <v>1745</v>
      </c>
      <c r="E306" s="78" t="s">
        <v>1534</v>
      </c>
      <c r="F306" s="78" t="s">
        <v>1535</v>
      </c>
      <c r="G306" s="78" t="s">
        <v>1513</v>
      </c>
      <c r="H306" s="77"/>
      <c r="I306" s="226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9"/>
    </row>
    <row r="307" spans="1:31" x14ac:dyDescent="0.3">
      <c r="A307" s="76"/>
      <c r="B307" s="78" t="s">
        <v>1593</v>
      </c>
      <c r="C307" s="78" t="s">
        <v>1493</v>
      </c>
      <c r="D307" s="78" t="s">
        <v>160</v>
      </c>
      <c r="E307" s="78" t="s">
        <v>1480</v>
      </c>
      <c r="F307" s="78" t="s">
        <v>1518</v>
      </c>
      <c r="G307" s="78" t="s">
        <v>1513</v>
      </c>
      <c r="H307" s="77"/>
      <c r="I307" s="22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9"/>
    </row>
    <row r="308" spans="1:31" x14ac:dyDescent="0.3">
      <c r="A308" s="76"/>
      <c r="B308" s="78" t="s">
        <v>1746</v>
      </c>
      <c r="C308" s="78" t="s">
        <v>1493</v>
      </c>
      <c r="D308" s="78" t="s">
        <v>186</v>
      </c>
      <c r="E308" s="78" t="s">
        <v>1503</v>
      </c>
      <c r="F308" s="78" t="s">
        <v>1495</v>
      </c>
      <c r="G308" s="78" t="s">
        <v>1513</v>
      </c>
      <c r="H308" s="77"/>
      <c r="I308" s="226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9"/>
    </row>
    <row r="309" spans="1:31" x14ac:dyDescent="0.3">
      <c r="A309" s="76"/>
      <c r="B309" s="78" t="s">
        <v>1747</v>
      </c>
      <c r="C309" s="78" t="s">
        <v>1493</v>
      </c>
      <c r="D309" s="78" t="s">
        <v>187</v>
      </c>
      <c r="E309" s="78" t="s">
        <v>1620</v>
      </c>
      <c r="F309" s="78" t="s">
        <v>1495</v>
      </c>
      <c r="G309" s="78" t="s">
        <v>1513</v>
      </c>
      <c r="H309" s="77"/>
      <c r="I309" s="226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9"/>
    </row>
    <row r="310" spans="1:31" ht="15" thickBot="1" x14ac:dyDescent="0.35">
      <c r="A310" s="81"/>
      <c r="B310" s="82" t="s">
        <v>1521</v>
      </c>
      <c r="C310" s="82" t="s">
        <v>1504</v>
      </c>
      <c r="D310" s="82" t="s">
        <v>79</v>
      </c>
      <c r="E310" s="82" t="s">
        <v>1500</v>
      </c>
      <c r="F310" s="82" t="s">
        <v>1501</v>
      </c>
      <c r="G310" s="82" t="s">
        <v>1513</v>
      </c>
      <c r="H310" s="83"/>
      <c r="I310" s="227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4"/>
    </row>
    <row r="311" spans="1:31" x14ac:dyDescent="0.3">
      <c r="A311" s="72" t="s">
        <v>1418</v>
      </c>
      <c r="B311" s="73" t="s">
        <v>1748</v>
      </c>
      <c r="C311" s="74" t="s">
        <v>1479</v>
      </c>
      <c r="D311" s="74" t="s">
        <v>1419</v>
      </c>
      <c r="E311" s="74" t="s">
        <v>1480</v>
      </c>
      <c r="F311" s="74"/>
      <c r="G311" s="74" t="s">
        <v>1481</v>
      </c>
      <c r="H311" s="73" t="s">
        <v>1482</v>
      </c>
      <c r="I311" s="225" t="s">
        <v>1485</v>
      </c>
      <c r="J311" s="73" t="s">
        <v>1417</v>
      </c>
      <c r="K311" s="73" t="s">
        <v>1485</v>
      </c>
      <c r="L311" s="73" t="s">
        <v>320</v>
      </c>
      <c r="M311" s="73" t="s">
        <v>1483</v>
      </c>
      <c r="N311" s="73" t="s">
        <v>1483</v>
      </c>
      <c r="O311" s="73" t="s">
        <v>1483</v>
      </c>
      <c r="P311" s="73" t="s">
        <v>1483</v>
      </c>
      <c r="Q311" s="73" t="s">
        <v>1483</v>
      </c>
      <c r="R311" s="73" t="s">
        <v>1483</v>
      </c>
      <c r="S311" s="73" t="s">
        <v>1484</v>
      </c>
      <c r="T311" s="73" t="s">
        <v>1484</v>
      </c>
      <c r="U311" s="73" t="s">
        <v>1484</v>
      </c>
      <c r="V311" s="73" t="s">
        <v>1484</v>
      </c>
      <c r="W311" s="73" t="s">
        <v>1485</v>
      </c>
      <c r="X311" s="73" t="s">
        <v>1484</v>
      </c>
      <c r="Y311" s="73" t="s">
        <v>1484</v>
      </c>
      <c r="Z311" s="73" t="s">
        <v>1485</v>
      </c>
      <c r="AA311" s="73" t="s">
        <v>1485</v>
      </c>
      <c r="AB311" s="73" t="s">
        <v>1484</v>
      </c>
      <c r="AC311" s="73" t="s">
        <v>1486</v>
      </c>
      <c r="AD311" s="73" t="s">
        <v>1487</v>
      </c>
      <c r="AE311" s="75" t="s">
        <v>1488</v>
      </c>
    </row>
    <row r="312" spans="1:31" x14ac:dyDescent="0.3">
      <c r="A312" s="76"/>
      <c r="B312" s="77"/>
      <c r="C312" s="78" t="s">
        <v>1493</v>
      </c>
      <c r="D312" s="78" t="s">
        <v>509</v>
      </c>
      <c r="E312" s="78" t="s">
        <v>1503</v>
      </c>
      <c r="F312" s="78" t="s">
        <v>1495</v>
      </c>
      <c r="G312" s="78" t="s">
        <v>1492</v>
      </c>
      <c r="H312" s="77"/>
      <c r="I312" s="226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9"/>
    </row>
    <row r="313" spans="1:31" x14ac:dyDescent="0.3">
      <c r="A313" s="76"/>
      <c r="B313" s="77"/>
      <c r="C313" s="78" t="s">
        <v>1496</v>
      </c>
      <c r="D313" s="78" t="s">
        <v>93</v>
      </c>
      <c r="E313" s="78" t="s">
        <v>1560</v>
      </c>
      <c r="F313" s="78" t="s">
        <v>1631</v>
      </c>
      <c r="G313" s="78" t="s">
        <v>1492</v>
      </c>
      <c r="H313" s="77"/>
      <c r="I313" s="226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9"/>
    </row>
    <row r="314" spans="1:31" x14ac:dyDescent="0.3">
      <c r="A314" s="76"/>
      <c r="B314" s="77"/>
      <c r="C314" s="78" t="s">
        <v>1499</v>
      </c>
      <c r="D314" s="78" t="s">
        <v>166</v>
      </c>
      <c r="E314" s="78" t="s">
        <v>1505</v>
      </c>
      <c r="F314" s="78" t="s">
        <v>1631</v>
      </c>
      <c r="G314" s="78" t="s">
        <v>1492</v>
      </c>
      <c r="H314" s="77"/>
      <c r="I314" s="226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9"/>
    </row>
    <row r="315" spans="1:31" x14ac:dyDescent="0.3">
      <c r="A315" s="76"/>
      <c r="B315" s="77"/>
      <c r="C315" s="78" t="s">
        <v>1502</v>
      </c>
      <c r="D315" s="78" t="s">
        <v>106</v>
      </c>
      <c r="E315" s="78" t="s">
        <v>1500</v>
      </c>
      <c r="F315" s="78" t="s">
        <v>1501</v>
      </c>
      <c r="G315" s="78" t="s">
        <v>1492</v>
      </c>
      <c r="H315" s="77"/>
      <c r="I315" s="226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9"/>
    </row>
    <row r="316" spans="1:31" x14ac:dyDescent="0.3">
      <c r="A316" s="76"/>
      <c r="B316" s="77"/>
      <c r="C316" s="78" t="s">
        <v>1504</v>
      </c>
      <c r="D316" s="78" t="s">
        <v>510</v>
      </c>
      <c r="E316" s="78" t="s">
        <v>1620</v>
      </c>
      <c r="F316" s="78" t="s">
        <v>1495</v>
      </c>
      <c r="G316" s="78" t="s">
        <v>1492</v>
      </c>
      <c r="H316" s="77"/>
      <c r="I316" s="226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9"/>
    </row>
    <row r="317" spans="1:31" x14ac:dyDescent="0.3">
      <c r="A317" s="76"/>
      <c r="B317" s="80"/>
      <c r="C317" s="78" t="s">
        <v>1507</v>
      </c>
      <c r="D317" s="78" t="s">
        <v>227</v>
      </c>
      <c r="E317" s="78" t="s">
        <v>1749</v>
      </c>
      <c r="F317" s="78" t="s">
        <v>1750</v>
      </c>
      <c r="G317" s="78" t="s">
        <v>1492</v>
      </c>
      <c r="H317" s="77"/>
      <c r="I317" s="226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9"/>
    </row>
    <row r="318" spans="1:31" x14ac:dyDescent="0.3">
      <c r="A318" s="76"/>
      <c r="B318" s="78" t="s">
        <v>1485</v>
      </c>
      <c r="C318" s="78" t="s">
        <v>1485</v>
      </c>
      <c r="D318" s="78" t="s">
        <v>1420</v>
      </c>
      <c r="E318" s="78" t="s">
        <v>1534</v>
      </c>
      <c r="F318" s="78" t="s">
        <v>1535</v>
      </c>
      <c r="G318" s="78" t="s">
        <v>1513</v>
      </c>
      <c r="H318" s="77"/>
      <c r="I318" s="226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9"/>
    </row>
    <row r="319" spans="1:31" x14ac:dyDescent="0.3">
      <c r="A319" s="76"/>
      <c r="B319" s="78" t="s">
        <v>1751</v>
      </c>
      <c r="C319" s="78" t="s">
        <v>1493</v>
      </c>
      <c r="D319" s="78" t="s">
        <v>509</v>
      </c>
      <c r="E319" s="78" t="s">
        <v>1503</v>
      </c>
      <c r="F319" s="78" t="s">
        <v>1495</v>
      </c>
      <c r="G319" s="78" t="s">
        <v>1513</v>
      </c>
      <c r="H319" s="77"/>
      <c r="I319" s="226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9"/>
    </row>
    <row r="320" spans="1:31" x14ac:dyDescent="0.3">
      <c r="A320" s="76"/>
      <c r="B320" s="78" t="s">
        <v>1752</v>
      </c>
      <c r="C320" s="78" t="s">
        <v>1493</v>
      </c>
      <c r="D320" s="78" t="s">
        <v>510</v>
      </c>
      <c r="E320" s="78" t="s">
        <v>1620</v>
      </c>
      <c r="F320" s="78" t="s">
        <v>1495</v>
      </c>
      <c r="G320" s="78" t="s">
        <v>1513</v>
      </c>
      <c r="H320" s="77"/>
      <c r="I320" s="226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9"/>
    </row>
    <row r="321" spans="1:31" x14ac:dyDescent="0.3">
      <c r="A321" s="76"/>
      <c r="B321" s="78" t="s">
        <v>1753</v>
      </c>
      <c r="C321" s="78" t="s">
        <v>1496</v>
      </c>
      <c r="D321" s="78" t="s">
        <v>227</v>
      </c>
      <c r="E321" s="78" t="s">
        <v>1749</v>
      </c>
      <c r="F321" s="78" t="s">
        <v>1750</v>
      </c>
      <c r="G321" s="78" t="s">
        <v>1513</v>
      </c>
      <c r="H321" s="77"/>
      <c r="I321" s="226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9"/>
    </row>
    <row r="322" spans="1:31" x14ac:dyDescent="0.3">
      <c r="A322" s="76"/>
      <c r="B322" s="78" t="s">
        <v>1656</v>
      </c>
      <c r="C322" s="78" t="s">
        <v>1507</v>
      </c>
      <c r="D322" s="78" t="s">
        <v>106</v>
      </c>
      <c r="E322" s="78" t="s">
        <v>1500</v>
      </c>
      <c r="F322" s="78" t="s">
        <v>1501</v>
      </c>
      <c r="G322" s="78" t="s">
        <v>1513</v>
      </c>
      <c r="H322" s="77"/>
      <c r="I322" s="226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9"/>
    </row>
    <row r="323" spans="1:31" x14ac:dyDescent="0.3">
      <c r="A323" s="76"/>
      <c r="B323" s="78" t="s">
        <v>1754</v>
      </c>
      <c r="C323" s="78" t="s">
        <v>1496</v>
      </c>
      <c r="D323" s="78" t="s">
        <v>166</v>
      </c>
      <c r="E323" s="78" t="s">
        <v>1505</v>
      </c>
      <c r="F323" s="78" t="s">
        <v>1631</v>
      </c>
      <c r="G323" s="78" t="s">
        <v>1513</v>
      </c>
      <c r="H323" s="77"/>
      <c r="I323" s="226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9"/>
    </row>
    <row r="324" spans="1:31" ht="15" thickBot="1" x14ac:dyDescent="0.35">
      <c r="A324" s="81"/>
      <c r="B324" s="82" t="s">
        <v>1657</v>
      </c>
      <c r="C324" s="82" t="s">
        <v>1502</v>
      </c>
      <c r="D324" s="82" t="s">
        <v>93</v>
      </c>
      <c r="E324" s="82" t="s">
        <v>1560</v>
      </c>
      <c r="F324" s="82" t="s">
        <v>1631</v>
      </c>
      <c r="G324" s="82" t="s">
        <v>1513</v>
      </c>
      <c r="H324" s="83"/>
      <c r="I324" s="227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4"/>
    </row>
    <row r="325" spans="1:31" x14ac:dyDescent="0.3">
      <c r="A325" s="72" t="s">
        <v>233</v>
      </c>
      <c r="B325" s="73" t="s">
        <v>1755</v>
      </c>
      <c r="C325" s="74" t="s">
        <v>1479</v>
      </c>
      <c r="D325" s="74" t="s">
        <v>234</v>
      </c>
      <c r="E325" s="74" t="s">
        <v>1480</v>
      </c>
      <c r="F325" s="74"/>
      <c r="G325" s="74" t="s">
        <v>1481</v>
      </c>
      <c r="H325" s="73" t="s">
        <v>1575</v>
      </c>
      <c r="I325" s="225" t="s">
        <v>1485</v>
      </c>
      <c r="J325" s="73" t="s">
        <v>232</v>
      </c>
      <c r="K325" s="73">
        <v>28</v>
      </c>
      <c r="L325" s="73" t="s">
        <v>320</v>
      </c>
      <c r="M325" s="73" t="s">
        <v>1483</v>
      </c>
      <c r="N325" s="73" t="s">
        <v>1483</v>
      </c>
      <c r="O325" s="73" t="s">
        <v>1483</v>
      </c>
      <c r="P325" s="73" t="s">
        <v>1483</v>
      </c>
      <c r="Q325" s="73" t="s">
        <v>1483</v>
      </c>
      <c r="R325" s="73" t="s">
        <v>1483</v>
      </c>
      <c r="S325" s="73" t="s">
        <v>1484</v>
      </c>
      <c r="T325" s="73" t="s">
        <v>1484</v>
      </c>
      <c r="U325" s="73" t="s">
        <v>1484</v>
      </c>
      <c r="V325" s="73" t="s">
        <v>1484</v>
      </c>
      <c r="W325" s="73" t="s">
        <v>1485</v>
      </c>
      <c r="X325" s="73" t="s">
        <v>1484</v>
      </c>
      <c r="Y325" s="73" t="s">
        <v>1484</v>
      </c>
      <c r="Z325" s="73" t="s">
        <v>1484</v>
      </c>
      <c r="AA325" s="73" t="s">
        <v>1485</v>
      </c>
      <c r="AB325" s="73" t="s">
        <v>1484</v>
      </c>
      <c r="AC325" s="73" t="s">
        <v>1486</v>
      </c>
      <c r="AD325" s="73" t="s">
        <v>1487</v>
      </c>
      <c r="AE325" s="75" t="s">
        <v>1579</v>
      </c>
    </row>
    <row r="326" spans="1:31" x14ac:dyDescent="0.3">
      <c r="A326" s="76"/>
      <c r="B326" s="77"/>
      <c r="C326" s="78" t="s">
        <v>1489</v>
      </c>
      <c r="D326" s="78" t="s">
        <v>130</v>
      </c>
      <c r="E326" s="78" t="s">
        <v>1500</v>
      </c>
      <c r="F326" s="78" t="s">
        <v>1501</v>
      </c>
      <c r="G326" s="78" t="s">
        <v>1492</v>
      </c>
      <c r="H326" s="77"/>
      <c r="I326" s="226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9"/>
    </row>
    <row r="327" spans="1:31" x14ac:dyDescent="0.3">
      <c r="A327" s="76"/>
      <c r="B327" s="77"/>
      <c r="C327" s="78" t="s">
        <v>1493</v>
      </c>
      <c r="D327" s="78" t="s">
        <v>235</v>
      </c>
      <c r="E327" s="78" t="s">
        <v>1503</v>
      </c>
      <c r="F327" s="78" t="s">
        <v>1495</v>
      </c>
      <c r="G327" s="78" t="s">
        <v>1492</v>
      </c>
      <c r="H327" s="85"/>
      <c r="I327" s="226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9"/>
    </row>
    <row r="328" spans="1:31" x14ac:dyDescent="0.3">
      <c r="A328" s="76"/>
      <c r="B328" s="77"/>
      <c r="C328" s="78" t="s">
        <v>1496</v>
      </c>
      <c r="D328" s="78" t="s">
        <v>217</v>
      </c>
      <c r="E328" s="78" t="s">
        <v>1749</v>
      </c>
      <c r="F328" s="78" t="s">
        <v>1750</v>
      </c>
      <c r="G328" s="78" t="s">
        <v>1492</v>
      </c>
      <c r="H328" s="85"/>
      <c r="I328" s="226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9"/>
    </row>
    <row r="329" spans="1:31" x14ac:dyDescent="0.3">
      <c r="A329" s="76"/>
      <c r="B329" s="77"/>
      <c r="C329" s="78" t="s">
        <v>1499</v>
      </c>
      <c r="D329" s="78" t="s">
        <v>236</v>
      </c>
      <c r="E329" s="78" t="s">
        <v>1525</v>
      </c>
      <c r="F329" s="78" t="s">
        <v>1565</v>
      </c>
      <c r="G329" s="78" t="s">
        <v>1492</v>
      </c>
      <c r="H329" s="77"/>
      <c r="I329" s="226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9"/>
    </row>
    <row r="330" spans="1:31" x14ac:dyDescent="0.3">
      <c r="A330" s="76"/>
      <c r="B330" s="77"/>
      <c r="C330" s="78" t="s">
        <v>1502</v>
      </c>
      <c r="D330" s="78" t="s">
        <v>237</v>
      </c>
      <c r="E330" s="78" t="s">
        <v>1599</v>
      </c>
      <c r="F330" s="78" t="s">
        <v>1611</v>
      </c>
      <c r="G330" s="78" t="s">
        <v>1492</v>
      </c>
      <c r="H330" s="77"/>
      <c r="I330" s="226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9"/>
    </row>
    <row r="331" spans="1:31" x14ac:dyDescent="0.3">
      <c r="A331" s="76"/>
      <c r="B331" s="80"/>
      <c r="C331" s="78" t="s">
        <v>1504</v>
      </c>
      <c r="D331" s="78" t="s">
        <v>238</v>
      </c>
      <c r="E331" s="78" t="s">
        <v>1620</v>
      </c>
      <c r="F331" s="78" t="s">
        <v>1495</v>
      </c>
      <c r="G331" s="78" t="s">
        <v>1492</v>
      </c>
      <c r="H331" s="77"/>
      <c r="I331" s="226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9"/>
    </row>
    <row r="332" spans="1:31" x14ac:dyDescent="0.3">
      <c r="A332" s="76"/>
      <c r="B332" s="78" t="s">
        <v>1756</v>
      </c>
      <c r="C332" s="78" t="s">
        <v>1496</v>
      </c>
      <c r="D332" s="78" t="s">
        <v>235</v>
      </c>
      <c r="E332" s="78" t="s">
        <v>1503</v>
      </c>
      <c r="F332" s="78" t="s">
        <v>1495</v>
      </c>
      <c r="G332" s="78" t="s">
        <v>1513</v>
      </c>
      <c r="H332" s="85"/>
      <c r="I332" s="226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9"/>
    </row>
    <row r="333" spans="1:31" x14ac:dyDescent="0.3">
      <c r="A333" s="76"/>
      <c r="B333" s="78" t="s">
        <v>1757</v>
      </c>
      <c r="C333" s="78" t="s">
        <v>1493</v>
      </c>
      <c r="D333" s="78" t="s">
        <v>238</v>
      </c>
      <c r="E333" s="78" t="s">
        <v>1620</v>
      </c>
      <c r="F333" s="78" t="s">
        <v>1495</v>
      </c>
      <c r="G333" s="78" t="s">
        <v>1513</v>
      </c>
      <c r="H333" s="77"/>
      <c r="I333" s="226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9"/>
    </row>
    <row r="334" spans="1:31" x14ac:dyDescent="0.3">
      <c r="A334" s="76"/>
      <c r="B334" s="78" t="s">
        <v>1758</v>
      </c>
      <c r="C334" s="78" t="s">
        <v>1496</v>
      </c>
      <c r="D334" s="78" t="s">
        <v>217</v>
      </c>
      <c r="E334" s="78" t="s">
        <v>1749</v>
      </c>
      <c r="F334" s="78" t="s">
        <v>1750</v>
      </c>
      <c r="G334" s="78" t="s">
        <v>1513</v>
      </c>
      <c r="H334" s="85"/>
      <c r="I334" s="226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9"/>
    </row>
    <row r="335" spans="1:31" x14ac:dyDescent="0.3">
      <c r="A335" s="76"/>
      <c r="B335" s="78" t="s">
        <v>1570</v>
      </c>
      <c r="C335" s="78" t="s">
        <v>1759</v>
      </c>
      <c r="D335" s="78" t="s">
        <v>130</v>
      </c>
      <c r="E335" s="78" t="s">
        <v>1500</v>
      </c>
      <c r="F335" s="78" t="s">
        <v>1501</v>
      </c>
      <c r="G335" s="78" t="s">
        <v>1513</v>
      </c>
      <c r="H335" s="77"/>
      <c r="I335" s="226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9"/>
    </row>
    <row r="336" spans="1:31" ht="15" thickBot="1" x14ac:dyDescent="0.35">
      <c r="A336" s="81"/>
      <c r="B336" s="82" t="s">
        <v>1573</v>
      </c>
      <c r="C336" s="82" t="s">
        <v>1499</v>
      </c>
      <c r="D336" s="82" t="s">
        <v>236</v>
      </c>
      <c r="E336" s="82" t="s">
        <v>1525</v>
      </c>
      <c r="F336" s="82" t="s">
        <v>1565</v>
      </c>
      <c r="G336" s="82" t="s">
        <v>1513</v>
      </c>
      <c r="H336" s="83"/>
      <c r="I336" s="227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4"/>
    </row>
    <row r="337" spans="1:31" x14ac:dyDescent="0.3">
      <c r="A337" s="72" t="s">
        <v>250</v>
      </c>
      <c r="B337" s="73" t="s">
        <v>1760</v>
      </c>
      <c r="C337" s="74" t="s">
        <v>1479</v>
      </c>
      <c r="D337" s="74" t="s">
        <v>251</v>
      </c>
      <c r="E337" s="74" t="s">
        <v>1480</v>
      </c>
      <c r="F337" s="74"/>
      <c r="G337" s="74" t="s">
        <v>1481</v>
      </c>
      <c r="H337" s="73" t="s">
        <v>1482</v>
      </c>
      <c r="I337" s="225" t="s">
        <v>1485</v>
      </c>
      <c r="J337" s="73" t="s">
        <v>249</v>
      </c>
      <c r="K337" s="73">
        <v>30</v>
      </c>
      <c r="L337" s="73" t="s">
        <v>320</v>
      </c>
      <c r="M337" s="73" t="s">
        <v>1483</v>
      </c>
      <c r="N337" s="73" t="s">
        <v>1483</v>
      </c>
      <c r="O337" s="73" t="s">
        <v>1483</v>
      </c>
      <c r="P337" s="73" t="s">
        <v>1483</v>
      </c>
      <c r="Q337" s="73" t="s">
        <v>1483</v>
      </c>
      <c r="R337" s="73" t="s">
        <v>1483</v>
      </c>
      <c r="S337" s="73" t="s">
        <v>1484</v>
      </c>
      <c r="T337" s="73" t="s">
        <v>1484</v>
      </c>
      <c r="U337" s="73" t="s">
        <v>1484</v>
      </c>
      <c r="V337" s="73" t="s">
        <v>1484</v>
      </c>
      <c r="W337" s="73" t="s">
        <v>1485</v>
      </c>
      <c r="X337" s="73" t="s">
        <v>1484</v>
      </c>
      <c r="Y337" s="73" t="s">
        <v>1484</v>
      </c>
      <c r="Z337" s="73" t="s">
        <v>1485</v>
      </c>
      <c r="AA337" s="73" t="s">
        <v>1485</v>
      </c>
      <c r="AB337" s="73" t="s">
        <v>1484</v>
      </c>
      <c r="AC337" s="73" t="s">
        <v>1486</v>
      </c>
      <c r="AD337" s="73" t="s">
        <v>1487</v>
      </c>
      <c r="AE337" s="75" t="s">
        <v>1488</v>
      </c>
    </row>
    <row r="338" spans="1:31" x14ac:dyDescent="0.3">
      <c r="A338" s="76"/>
      <c r="B338" s="77"/>
      <c r="C338" s="78" t="s">
        <v>1493</v>
      </c>
      <c r="D338" s="78" t="s">
        <v>252</v>
      </c>
      <c r="E338" s="78" t="s">
        <v>1503</v>
      </c>
      <c r="F338" s="78" t="s">
        <v>1495</v>
      </c>
      <c r="G338" s="78" t="s">
        <v>1492</v>
      </c>
      <c r="H338" s="77"/>
      <c r="I338" s="226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9"/>
    </row>
    <row r="339" spans="1:31" x14ac:dyDescent="0.3">
      <c r="A339" s="76"/>
      <c r="B339" s="77"/>
      <c r="C339" s="78" t="s">
        <v>1496</v>
      </c>
      <c r="D339" s="78" t="s">
        <v>40</v>
      </c>
      <c r="E339" s="78" t="s">
        <v>1560</v>
      </c>
      <c r="F339" s="78" t="s">
        <v>1564</v>
      </c>
      <c r="G339" s="78" t="s">
        <v>1492</v>
      </c>
      <c r="H339" s="77"/>
      <c r="I339" s="226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9"/>
    </row>
    <row r="340" spans="1:31" x14ac:dyDescent="0.3">
      <c r="A340" s="76"/>
      <c r="B340" s="80"/>
      <c r="C340" s="78" t="s">
        <v>1504</v>
      </c>
      <c r="D340" s="78" t="s">
        <v>253</v>
      </c>
      <c r="E340" s="78" t="s">
        <v>1620</v>
      </c>
      <c r="F340" s="78" t="s">
        <v>1495</v>
      </c>
      <c r="G340" s="78" t="s">
        <v>1492</v>
      </c>
      <c r="H340" s="77"/>
      <c r="I340" s="226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9"/>
    </row>
    <row r="341" spans="1:31" x14ac:dyDescent="0.3">
      <c r="A341" s="76"/>
      <c r="B341" s="78" t="s">
        <v>1598</v>
      </c>
      <c r="C341" s="78" t="s">
        <v>1499</v>
      </c>
      <c r="D341" s="78" t="s">
        <v>254</v>
      </c>
      <c r="E341" s="78" t="s">
        <v>1599</v>
      </c>
      <c r="F341" s="78" t="s">
        <v>1600</v>
      </c>
      <c r="G341" s="78" t="s">
        <v>1513</v>
      </c>
      <c r="H341" s="77"/>
      <c r="I341" s="226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9"/>
    </row>
    <row r="342" spans="1:31" x14ac:dyDescent="0.3">
      <c r="A342" s="76"/>
      <c r="B342" s="78" t="s">
        <v>1601</v>
      </c>
      <c r="C342" s="78" t="s">
        <v>1493</v>
      </c>
      <c r="D342" s="78" t="s">
        <v>255</v>
      </c>
      <c r="E342" s="78" t="s">
        <v>1480</v>
      </c>
      <c r="F342" s="78" t="s">
        <v>1518</v>
      </c>
      <c r="G342" s="78" t="s">
        <v>1513</v>
      </c>
      <c r="H342" s="77"/>
      <c r="I342" s="226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9"/>
    </row>
    <row r="343" spans="1:31" x14ac:dyDescent="0.3">
      <c r="A343" s="76"/>
      <c r="B343" s="78" t="s">
        <v>1613</v>
      </c>
      <c r="C343" s="78" t="s">
        <v>1493</v>
      </c>
      <c r="D343" s="78" t="s">
        <v>252</v>
      </c>
      <c r="E343" s="78" t="s">
        <v>1503</v>
      </c>
      <c r="F343" s="78" t="s">
        <v>1495</v>
      </c>
      <c r="G343" s="78" t="s">
        <v>1513</v>
      </c>
      <c r="H343" s="77"/>
      <c r="I343" s="226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9"/>
    </row>
    <row r="344" spans="1:31" x14ac:dyDescent="0.3">
      <c r="A344" s="76"/>
      <c r="B344" s="78" t="s">
        <v>1761</v>
      </c>
      <c r="C344" s="78" t="s">
        <v>1493</v>
      </c>
      <c r="D344" s="78" t="s">
        <v>253</v>
      </c>
      <c r="E344" s="78" t="s">
        <v>1620</v>
      </c>
      <c r="F344" s="78" t="s">
        <v>1495</v>
      </c>
      <c r="G344" s="78" t="s">
        <v>1513</v>
      </c>
      <c r="H344" s="77"/>
      <c r="I344" s="226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9"/>
    </row>
    <row r="345" spans="1:31" x14ac:dyDescent="0.3">
      <c r="A345" s="76"/>
      <c r="B345" s="78" t="s">
        <v>1557</v>
      </c>
      <c r="C345" s="78" t="s">
        <v>1499</v>
      </c>
      <c r="D345" s="78" t="s">
        <v>256</v>
      </c>
      <c r="E345" s="78" t="s">
        <v>1525</v>
      </c>
      <c r="F345" s="78" t="s">
        <v>1558</v>
      </c>
      <c r="G345" s="78" t="s">
        <v>1513</v>
      </c>
      <c r="H345" s="77"/>
      <c r="I345" s="22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9"/>
    </row>
    <row r="346" spans="1:31" ht="15" thickBot="1" x14ac:dyDescent="0.35">
      <c r="A346" s="81"/>
      <c r="B346" s="82" t="s">
        <v>1571</v>
      </c>
      <c r="C346" s="82" t="s">
        <v>1499</v>
      </c>
      <c r="D346" s="82" t="s">
        <v>40</v>
      </c>
      <c r="E346" s="82" t="s">
        <v>1560</v>
      </c>
      <c r="F346" s="82" t="s">
        <v>1564</v>
      </c>
      <c r="G346" s="82" t="s">
        <v>1513</v>
      </c>
      <c r="H346" s="83"/>
      <c r="I346" s="227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4"/>
    </row>
    <row r="347" spans="1:31" x14ac:dyDescent="0.3">
      <c r="A347" s="72" t="s">
        <v>271</v>
      </c>
      <c r="B347" s="73" t="s">
        <v>1762</v>
      </c>
      <c r="C347" s="74" t="s">
        <v>1479</v>
      </c>
      <c r="D347" s="74" t="s">
        <v>272</v>
      </c>
      <c r="E347" s="74" t="s">
        <v>1480</v>
      </c>
      <c r="F347" s="74"/>
      <c r="G347" s="74" t="s">
        <v>1481</v>
      </c>
      <c r="H347" s="73" t="s">
        <v>1482</v>
      </c>
      <c r="I347" s="225" t="s">
        <v>1485</v>
      </c>
      <c r="J347" s="73" t="s">
        <v>270</v>
      </c>
      <c r="K347" s="73">
        <v>32</v>
      </c>
      <c r="L347" s="73" t="s">
        <v>320</v>
      </c>
      <c r="M347" s="73" t="s">
        <v>1483</v>
      </c>
      <c r="N347" s="73" t="s">
        <v>1483</v>
      </c>
      <c r="O347" s="73" t="s">
        <v>1483</v>
      </c>
      <c r="P347" s="73" t="s">
        <v>1483</v>
      </c>
      <c r="Q347" s="73" t="s">
        <v>1483</v>
      </c>
      <c r="R347" s="73" t="s">
        <v>1483</v>
      </c>
      <c r="S347" s="73" t="s">
        <v>1484</v>
      </c>
      <c r="T347" s="73" t="s">
        <v>1484</v>
      </c>
      <c r="U347" s="73" t="s">
        <v>1484</v>
      </c>
      <c r="V347" s="73" t="s">
        <v>1484</v>
      </c>
      <c r="W347" s="73" t="s">
        <v>1485</v>
      </c>
      <c r="X347" s="73" t="s">
        <v>1484</v>
      </c>
      <c r="Y347" s="73" t="s">
        <v>1484</v>
      </c>
      <c r="Z347" s="73" t="s">
        <v>1485</v>
      </c>
      <c r="AA347" s="73" t="s">
        <v>1485</v>
      </c>
      <c r="AB347" s="73" t="s">
        <v>1484</v>
      </c>
      <c r="AC347" s="73" t="s">
        <v>1486</v>
      </c>
      <c r="AD347" s="73" t="s">
        <v>1487</v>
      </c>
      <c r="AE347" s="75" t="s">
        <v>1488</v>
      </c>
    </row>
    <row r="348" spans="1:31" x14ac:dyDescent="0.3">
      <c r="A348" s="76"/>
      <c r="B348" s="77"/>
      <c r="C348" s="78" t="s">
        <v>1493</v>
      </c>
      <c r="D348" s="78" t="s">
        <v>273</v>
      </c>
      <c r="E348" s="78" t="s">
        <v>1503</v>
      </c>
      <c r="F348" s="200" t="s">
        <v>1495</v>
      </c>
      <c r="G348" s="78" t="s">
        <v>1492</v>
      </c>
      <c r="H348" s="77"/>
      <c r="I348" s="226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9"/>
    </row>
    <row r="349" spans="1:31" x14ac:dyDescent="0.3">
      <c r="A349" s="76"/>
      <c r="B349" s="77"/>
      <c r="C349" s="78" t="s">
        <v>1496</v>
      </c>
      <c r="D349" s="78" t="s">
        <v>265</v>
      </c>
      <c r="E349" s="78" t="s">
        <v>1749</v>
      </c>
      <c r="F349" s="78" t="s">
        <v>1750</v>
      </c>
      <c r="G349" s="78" t="s">
        <v>1492</v>
      </c>
      <c r="H349" s="77"/>
      <c r="I349" s="226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9"/>
    </row>
    <row r="350" spans="1:31" x14ac:dyDescent="0.3">
      <c r="A350" s="76"/>
      <c r="B350" s="77"/>
      <c r="C350" s="78" t="s">
        <v>1499</v>
      </c>
      <c r="D350" s="78" t="s">
        <v>244</v>
      </c>
      <c r="E350" s="78" t="s">
        <v>1628</v>
      </c>
      <c r="F350" s="78" t="s">
        <v>1565</v>
      </c>
      <c r="G350" s="78" t="s">
        <v>1492</v>
      </c>
      <c r="H350" s="77"/>
      <c r="I350" s="226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9"/>
    </row>
    <row r="351" spans="1:31" x14ac:dyDescent="0.3">
      <c r="A351" s="76"/>
      <c r="B351" s="77"/>
      <c r="C351" s="78" t="s">
        <v>1502</v>
      </c>
      <c r="D351" s="78" t="s">
        <v>51</v>
      </c>
      <c r="E351" s="78" t="s">
        <v>1560</v>
      </c>
      <c r="F351" s="78" t="s">
        <v>1546</v>
      </c>
      <c r="G351" s="78" t="s">
        <v>1492</v>
      </c>
      <c r="H351" s="77"/>
      <c r="I351" s="226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9"/>
    </row>
    <row r="352" spans="1:31" x14ac:dyDescent="0.3">
      <c r="A352" s="76"/>
      <c r="B352" s="80"/>
      <c r="C352" s="78" t="s">
        <v>1504</v>
      </c>
      <c r="D352" s="78" t="s">
        <v>274</v>
      </c>
      <c r="E352" s="78" t="s">
        <v>1620</v>
      </c>
      <c r="F352" s="78" t="s">
        <v>1495</v>
      </c>
      <c r="G352" s="78" t="s">
        <v>1492</v>
      </c>
      <c r="H352" s="77"/>
      <c r="I352" s="226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9"/>
    </row>
    <row r="353" spans="1:31" x14ac:dyDescent="0.3">
      <c r="A353" s="76"/>
      <c r="B353" s="78" t="s">
        <v>1625</v>
      </c>
      <c r="C353" s="78" t="s">
        <v>1496</v>
      </c>
      <c r="D353" s="78" t="s">
        <v>273</v>
      </c>
      <c r="E353" s="78" t="s">
        <v>1503</v>
      </c>
      <c r="F353" s="200" t="s">
        <v>2650</v>
      </c>
      <c r="G353" s="78" t="s">
        <v>1513</v>
      </c>
      <c r="H353" s="77"/>
      <c r="I353" s="226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9"/>
    </row>
    <row r="354" spans="1:31" x14ac:dyDescent="0.3">
      <c r="A354" s="76"/>
      <c r="B354" s="78" t="s">
        <v>1763</v>
      </c>
      <c r="C354" s="78" t="s">
        <v>1489</v>
      </c>
      <c r="D354" s="78" t="s">
        <v>274</v>
      </c>
      <c r="E354" s="78" t="s">
        <v>1620</v>
      </c>
      <c r="F354" s="78" t="s">
        <v>1495</v>
      </c>
      <c r="G354" s="78" t="s">
        <v>1513</v>
      </c>
      <c r="H354" s="77"/>
      <c r="I354" s="226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9"/>
    </row>
    <row r="355" spans="1:31" x14ac:dyDescent="0.3">
      <c r="A355" s="76"/>
      <c r="B355" s="78" t="s">
        <v>1764</v>
      </c>
      <c r="C355" s="78" t="s">
        <v>1496</v>
      </c>
      <c r="D355" s="78" t="s">
        <v>265</v>
      </c>
      <c r="E355" s="78" t="s">
        <v>1749</v>
      </c>
      <c r="F355" s="78" t="s">
        <v>1750</v>
      </c>
      <c r="G355" s="78" t="s">
        <v>1513</v>
      </c>
      <c r="H355" s="77"/>
      <c r="I355" s="226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9"/>
    </row>
    <row r="356" spans="1:31" x14ac:dyDescent="0.3">
      <c r="A356" s="76"/>
      <c r="B356" s="78" t="s">
        <v>1559</v>
      </c>
      <c r="C356" s="78" t="s">
        <v>1499</v>
      </c>
      <c r="D356" s="78" t="s">
        <v>51</v>
      </c>
      <c r="E356" s="78" t="s">
        <v>1560</v>
      </c>
      <c r="F356" s="78" t="s">
        <v>1546</v>
      </c>
      <c r="G356" s="78" t="s">
        <v>1513</v>
      </c>
      <c r="H356" s="77"/>
      <c r="I356" s="226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9"/>
    </row>
    <row r="357" spans="1:31" ht="15" thickBot="1" x14ac:dyDescent="0.35">
      <c r="A357" s="81"/>
      <c r="B357" s="82" t="s">
        <v>1639</v>
      </c>
      <c r="C357" s="82" t="s">
        <v>1502</v>
      </c>
      <c r="D357" s="82" t="s">
        <v>244</v>
      </c>
      <c r="E357" s="82" t="s">
        <v>1628</v>
      </c>
      <c r="F357" s="82" t="s">
        <v>1565</v>
      </c>
      <c r="G357" s="82" t="s">
        <v>1513</v>
      </c>
      <c r="H357" s="83"/>
      <c r="I357" s="227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4"/>
    </row>
    <row r="358" spans="1:31" x14ac:dyDescent="0.3">
      <c r="A358" s="72" t="s">
        <v>277</v>
      </c>
      <c r="B358" s="73" t="s">
        <v>1765</v>
      </c>
      <c r="C358" s="74" t="s">
        <v>1479</v>
      </c>
      <c r="D358" s="74" t="s">
        <v>278</v>
      </c>
      <c r="E358" s="74" t="s">
        <v>1480</v>
      </c>
      <c r="F358" s="74"/>
      <c r="G358" s="74" t="s">
        <v>1481</v>
      </c>
      <c r="H358" s="73" t="s">
        <v>1482</v>
      </c>
      <c r="I358" s="225" t="s">
        <v>1485</v>
      </c>
      <c r="J358" s="73" t="s">
        <v>276</v>
      </c>
      <c r="K358" s="73">
        <v>33</v>
      </c>
      <c r="L358" s="73" t="s">
        <v>320</v>
      </c>
      <c r="M358" s="73" t="s">
        <v>1483</v>
      </c>
      <c r="N358" s="73" t="s">
        <v>1483</v>
      </c>
      <c r="O358" s="73" t="s">
        <v>1483</v>
      </c>
      <c r="P358" s="73" t="s">
        <v>1483</v>
      </c>
      <c r="Q358" s="73" t="s">
        <v>1483</v>
      </c>
      <c r="R358" s="73" t="s">
        <v>1483</v>
      </c>
      <c r="S358" s="73" t="s">
        <v>1484</v>
      </c>
      <c r="T358" s="73" t="s">
        <v>1484</v>
      </c>
      <c r="U358" s="73" t="s">
        <v>1484</v>
      </c>
      <c r="V358" s="73" t="s">
        <v>1484</v>
      </c>
      <c r="W358" s="73" t="s">
        <v>1485</v>
      </c>
      <c r="X358" s="73" t="s">
        <v>1484</v>
      </c>
      <c r="Y358" s="73" t="s">
        <v>1484</v>
      </c>
      <c r="Z358" s="73" t="s">
        <v>1485</v>
      </c>
      <c r="AA358" s="73" t="s">
        <v>1485</v>
      </c>
      <c r="AB358" s="73" t="s">
        <v>1484</v>
      </c>
      <c r="AC358" s="73" t="s">
        <v>1486</v>
      </c>
      <c r="AD358" s="73" t="s">
        <v>1487</v>
      </c>
      <c r="AE358" s="75" t="s">
        <v>1488</v>
      </c>
    </row>
    <row r="359" spans="1:31" x14ac:dyDescent="0.3">
      <c r="A359" s="76"/>
      <c r="B359" s="77"/>
      <c r="C359" s="78" t="s">
        <v>1493</v>
      </c>
      <c r="D359" s="78" t="s">
        <v>279</v>
      </c>
      <c r="E359" s="78" t="s">
        <v>1503</v>
      </c>
      <c r="F359" s="200" t="s">
        <v>1495</v>
      </c>
      <c r="G359" s="78" t="s">
        <v>1492</v>
      </c>
      <c r="H359" s="77"/>
      <c r="I359" s="226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9"/>
    </row>
    <row r="360" spans="1:31" x14ac:dyDescent="0.3">
      <c r="A360" s="76"/>
      <c r="B360" s="77"/>
      <c r="C360" s="78" t="s">
        <v>1496</v>
      </c>
      <c r="D360" s="78" t="s">
        <v>27</v>
      </c>
      <c r="E360" s="78" t="s">
        <v>1560</v>
      </c>
      <c r="F360" s="78" t="s">
        <v>1619</v>
      </c>
      <c r="G360" s="78" t="s">
        <v>1492</v>
      </c>
      <c r="H360" s="77"/>
      <c r="I360" s="226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9"/>
    </row>
    <row r="361" spans="1:31" x14ac:dyDescent="0.3">
      <c r="A361" s="76"/>
      <c r="B361" s="77"/>
      <c r="C361" s="78" t="s">
        <v>1499</v>
      </c>
      <c r="D361" s="78" t="s">
        <v>280</v>
      </c>
      <c r="E361" s="78" t="s">
        <v>1505</v>
      </c>
      <c r="F361" s="78" t="s">
        <v>1619</v>
      </c>
      <c r="G361" s="78" t="s">
        <v>1492</v>
      </c>
      <c r="H361" s="77"/>
      <c r="I361" s="226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9"/>
    </row>
    <row r="362" spans="1:31" x14ac:dyDescent="0.3">
      <c r="A362" s="76"/>
      <c r="B362" s="80"/>
      <c r="C362" s="78" t="s">
        <v>1504</v>
      </c>
      <c r="D362" s="78" t="s">
        <v>281</v>
      </c>
      <c r="E362" s="78" t="s">
        <v>1620</v>
      </c>
      <c r="F362" s="78" t="s">
        <v>1495</v>
      </c>
      <c r="G362" s="78" t="s">
        <v>1492</v>
      </c>
      <c r="H362" s="77"/>
      <c r="I362" s="226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9"/>
    </row>
    <row r="363" spans="1:31" x14ac:dyDescent="0.3">
      <c r="A363" s="76"/>
      <c r="B363" s="78" t="s">
        <v>1485</v>
      </c>
      <c r="C363" s="78" t="s">
        <v>1485</v>
      </c>
      <c r="D363" s="78" t="s">
        <v>282</v>
      </c>
      <c r="E363" s="78" t="s">
        <v>1534</v>
      </c>
      <c r="F363" s="78" t="s">
        <v>1535</v>
      </c>
      <c r="G363" s="78" t="s">
        <v>1513</v>
      </c>
      <c r="H363" s="77"/>
      <c r="I363" s="226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9"/>
    </row>
    <row r="364" spans="1:31" x14ac:dyDescent="0.3">
      <c r="A364" s="76"/>
      <c r="B364" s="78" t="s">
        <v>1612</v>
      </c>
      <c r="C364" s="78" t="s">
        <v>1493</v>
      </c>
      <c r="D364" s="78" t="s">
        <v>283</v>
      </c>
      <c r="E364" s="78" t="s">
        <v>1480</v>
      </c>
      <c r="F364" s="78" t="s">
        <v>1518</v>
      </c>
      <c r="G364" s="78" t="s">
        <v>1513</v>
      </c>
      <c r="H364" s="77"/>
      <c r="I364" s="226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9"/>
    </row>
    <row r="365" spans="1:31" x14ac:dyDescent="0.3">
      <c r="A365" s="76"/>
      <c r="B365" s="78" t="s">
        <v>1602</v>
      </c>
      <c r="C365" s="78" t="s">
        <v>1493</v>
      </c>
      <c r="D365" s="78" t="s">
        <v>279</v>
      </c>
      <c r="E365" s="78" t="s">
        <v>1503</v>
      </c>
      <c r="F365" s="200" t="s">
        <v>1495</v>
      </c>
      <c r="G365" s="78" t="s">
        <v>1513</v>
      </c>
      <c r="H365" s="77"/>
      <c r="I365" s="226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9"/>
    </row>
    <row r="366" spans="1:31" x14ac:dyDescent="0.3">
      <c r="A366" s="76"/>
      <c r="B366" s="78" t="s">
        <v>1766</v>
      </c>
      <c r="C366" s="78" t="s">
        <v>1493</v>
      </c>
      <c r="D366" s="78" t="s">
        <v>281</v>
      </c>
      <c r="E366" s="78" t="s">
        <v>1620</v>
      </c>
      <c r="F366" s="78" t="s">
        <v>1495</v>
      </c>
      <c r="G366" s="78" t="s">
        <v>1513</v>
      </c>
      <c r="H366" s="77"/>
      <c r="I366" s="226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9"/>
    </row>
    <row r="367" spans="1:31" x14ac:dyDescent="0.3">
      <c r="A367" s="76"/>
      <c r="B367" s="78" t="s">
        <v>1627</v>
      </c>
      <c r="C367" s="78" t="s">
        <v>1499</v>
      </c>
      <c r="D367" s="78" t="s">
        <v>268</v>
      </c>
      <c r="E367" s="78" t="s">
        <v>1628</v>
      </c>
      <c r="F367" s="78" t="s">
        <v>1558</v>
      </c>
      <c r="G367" s="78" t="s">
        <v>1513</v>
      </c>
      <c r="H367" s="77"/>
      <c r="I367" s="226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9"/>
    </row>
    <row r="368" spans="1:31" x14ac:dyDescent="0.3">
      <c r="A368" s="76"/>
      <c r="B368" s="78" t="s">
        <v>1767</v>
      </c>
      <c r="C368" s="78" t="s">
        <v>1499</v>
      </c>
      <c r="D368" s="78" t="s">
        <v>280</v>
      </c>
      <c r="E368" s="78" t="s">
        <v>1505</v>
      </c>
      <c r="F368" s="78" t="s">
        <v>1619</v>
      </c>
      <c r="G368" s="78" t="s">
        <v>1513</v>
      </c>
      <c r="H368" s="77"/>
      <c r="I368" s="226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9"/>
    </row>
    <row r="369" spans="1:31" ht="15" thickBot="1" x14ac:dyDescent="0.35">
      <c r="A369" s="81"/>
      <c r="B369" s="82" t="s">
        <v>1716</v>
      </c>
      <c r="C369" s="82" t="s">
        <v>1502</v>
      </c>
      <c r="D369" s="82" t="s">
        <v>27</v>
      </c>
      <c r="E369" s="82" t="s">
        <v>1560</v>
      </c>
      <c r="F369" s="82" t="s">
        <v>1619</v>
      </c>
      <c r="G369" s="82" t="s">
        <v>1513</v>
      </c>
      <c r="H369" s="83"/>
      <c r="I369" s="227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4"/>
    </row>
    <row r="370" spans="1:31" x14ac:dyDescent="0.3">
      <c r="A370" s="72" t="s">
        <v>322</v>
      </c>
      <c r="B370" s="73" t="s">
        <v>1768</v>
      </c>
      <c r="C370" s="74" t="s">
        <v>1479</v>
      </c>
      <c r="D370" s="74" t="s">
        <v>323</v>
      </c>
      <c r="E370" s="74" t="s">
        <v>1480</v>
      </c>
      <c r="F370" s="74"/>
      <c r="G370" s="74" t="s">
        <v>1481</v>
      </c>
      <c r="H370" s="73" t="s">
        <v>1482</v>
      </c>
      <c r="I370" s="225" t="s">
        <v>1485</v>
      </c>
      <c r="J370" s="73" t="s">
        <v>321</v>
      </c>
      <c r="K370" s="73">
        <v>39</v>
      </c>
      <c r="L370" s="73" t="s">
        <v>320</v>
      </c>
      <c r="M370" s="73" t="s">
        <v>1483</v>
      </c>
      <c r="N370" s="73" t="s">
        <v>1483</v>
      </c>
      <c r="O370" s="73" t="s">
        <v>1483</v>
      </c>
      <c r="P370" s="73" t="s">
        <v>1483</v>
      </c>
      <c r="Q370" s="73" t="s">
        <v>1483</v>
      </c>
      <c r="R370" s="73" t="s">
        <v>1483</v>
      </c>
      <c r="S370" s="73" t="s">
        <v>1484</v>
      </c>
      <c r="T370" s="73" t="s">
        <v>1484</v>
      </c>
      <c r="U370" s="73" t="s">
        <v>1484</v>
      </c>
      <c r="V370" s="73" t="s">
        <v>1484</v>
      </c>
      <c r="W370" s="73" t="s">
        <v>1485</v>
      </c>
      <c r="X370" s="73" t="s">
        <v>1484</v>
      </c>
      <c r="Y370" s="73" t="s">
        <v>1484</v>
      </c>
      <c r="Z370" s="73" t="s">
        <v>1485</v>
      </c>
      <c r="AA370" s="73" t="s">
        <v>1485</v>
      </c>
      <c r="AB370" s="73" t="s">
        <v>1484</v>
      </c>
      <c r="AC370" s="73" t="s">
        <v>1486</v>
      </c>
      <c r="AD370" s="73" t="s">
        <v>1487</v>
      </c>
      <c r="AE370" s="75" t="s">
        <v>1488</v>
      </c>
    </row>
    <row r="371" spans="1:31" x14ac:dyDescent="0.3">
      <c r="A371" s="76"/>
      <c r="B371" s="77"/>
      <c r="C371" s="78" t="s">
        <v>1493</v>
      </c>
      <c r="D371" s="78" t="s">
        <v>298</v>
      </c>
      <c r="E371" s="78" t="s">
        <v>1503</v>
      </c>
      <c r="F371" s="200" t="s">
        <v>1495</v>
      </c>
      <c r="G371" s="78" t="s">
        <v>1492</v>
      </c>
      <c r="H371" s="77"/>
      <c r="I371" s="226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9"/>
    </row>
    <row r="372" spans="1:31" x14ac:dyDescent="0.3">
      <c r="A372" s="76"/>
      <c r="B372" s="77"/>
      <c r="C372" s="78" t="s">
        <v>1496</v>
      </c>
      <c r="D372" s="78" t="s">
        <v>92</v>
      </c>
      <c r="E372" s="78" t="s">
        <v>1500</v>
      </c>
      <c r="F372" s="78" t="s">
        <v>1501</v>
      </c>
      <c r="G372" s="78" t="s">
        <v>1492</v>
      </c>
      <c r="H372" s="77"/>
      <c r="I372" s="226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9"/>
    </row>
    <row r="373" spans="1:31" x14ac:dyDescent="0.3">
      <c r="A373" s="76"/>
      <c r="B373" s="77"/>
      <c r="C373" s="78" t="s">
        <v>1499</v>
      </c>
      <c r="D373" s="78" t="s">
        <v>324</v>
      </c>
      <c r="E373" s="78" t="s">
        <v>1505</v>
      </c>
      <c r="F373" s="78" t="s">
        <v>1528</v>
      </c>
      <c r="G373" s="78" t="s">
        <v>1492</v>
      </c>
      <c r="H373" s="77"/>
      <c r="I373" s="226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9"/>
    </row>
    <row r="374" spans="1:31" x14ac:dyDescent="0.3">
      <c r="A374" s="76"/>
      <c r="B374" s="80"/>
      <c r="C374" s="78" t="s">
        <v>1507</v>
      </c>
      <c r="D374" s="78" t="s">
        <v>325</v>
      </c>
      <c r="E374" s="78" t="s">
        <v>1508</v>
      </c>
      <c r="F374" s="78" t="s">
        <v>1509</v>
      </c>
      <c r="G374" s="78" t="s">
        <v>1492</v>
      </c>
      <c r="H374" s="77"/>
      <c r="I374" s="226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9"/>
    </row>
    <row r="375" spans="1:31" x14ac:dyDescent="0.3">
      <c r="A375" s="76"/>
      <c r="B375" s="78" t="s">
        <v>1769</v>
      </c>
      <c r="C375" s="78" t="s">
        <v>1493</v>
      </c>
      <c r="D375" s="78" t="s">
        <v>298</v>
      </c>
      <c r="E375" s="78" t="s">
        <v>1503</v>
      </c>
      <c r="F375" s="200" t="s">
        <v>1495</v>
      </c>
      <c r="G375" s="78" t="s">
        <v>1513</v>
      </c>
      <c r="H375" s="77"/>
      <c r="I375" s="226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9"/>
    </row>
    <row r="376" spans="1:31" x14ac:dyDescent="0.3">
      <c r="A376" s="76"/>
      <c r="B376" s="78" t="s">
        <v>1649</v>
      </c>
      <c r="C376" s="78" t="s">
        <v>1504</v>
      </c>
      <c r="D376" s="78" t="s">
        <v>92</v>
      </c>
      <c r="E376" s="78" t="s">
        <v>1500</v>
      </c>
      <c r="F376" s="78" t="s">
        <v>1501</v>
      </c>
      <c r="G376" s="78" t="s">
        <v>1513</v>
      </c>
      <c r="H376" s="77"/>
      <c r="I376" s="226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9"/>
    </row>
    <row r="377" spans="1:31" ht="15" thickBot="1" x14ac:dyDescent="0.35">
      <c r="A377" s="81"/>
      <c r="B377" s="82" t="s">
        <v>1615</v>
      </c>
      <c r="C377" s="82" t="s">
        <v>1493</v>
      </c>
      <c r="D377" s="82" t="s">
        <v>324</v>
      </c>
      <c r="E377" s="82" t="s">
        <v>1505</v>
      </c>
      <c r="F377" s="82" t="s">
        <v>1528</v>
      </c>
      <c r="G377" s="82" t="s">
        <v>1513</v>
      </c>
      <c r="H377" s="83"/>
      <c r="I377" s="227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4"/>
    </row>
    <row r="378" spans="1:31" x14ac:dyDescent="0.3">
      <c r="A378" s="72" t="s">
        <v>720</v>
      </c>
      <c r="B378" s="73" t="s">
        <v>1770</v>
      </c>
      <c r="C378" s="74" t="s">
        <v>1479</v>
      </c>
      <c r="D378" s="74" t="s">
        <v>721</v>
      </c>
      <c r="E378" s="74" t="s">
        <v>1480</v>
      </c>
      <c r="F378" s="74"/>
      <c r="G378" s="74" t="s">
        <v>1481</v>
      </c>
      <c r="H378" s="73" t="s">
        <v>1575</v>
      </c>
      <c r="I378" s="225">
        <v>54</v>
      </c>
      <c r="J378" s="73" t="s">
        <v>719</v>
      </c>
      <c r="K378" s="73">
        <v>95</v>
      </c>
      <c r="L378" s="73" t="s">
        <v>195</v>
      </c>
      <c r="M378" s="73" t="s">
        <v>1483</v>
      </c>
      <c r="N378" s="73" t="s">
        <v>1483</v>
      </c>
      <c r="O378" s="73" t="s">
        <v>1483</v>
      </c>
      <c r="P378" s="73" t="s">
        <v>1483</v>
      </c>
      <c r="Q378" s="73" t="s">
        <v>1483</v>
      </c>
      <c r="R378" s="73" t="s">
        <v>1483</v>
      </c>
      <c r="S378" s="73" t="s">
        <v>1484</v>
      </c>
      <c r="T378" s="73" t="s">
        <v>1484</v>
      </c>
      <c r="U378" s="73" t="s">
        <v>1484</v>
      </c>
      <c r="V378" s="73" t="s">
        <v>1484</v>
      </c>
      <c r="W378" s="73" t="s">
        <v>1485</v>
      </c>
      <c r="X378" s="73" t="s">
        <v>1484</v>
      </c>
      <c r="Y378" s="73" t="s">
        <v>1484</v>
      </c>
      <c r="Z378" s="73" t="s">
        <v>1484</v>
      </c>
      <c r="AA378" s="73" t="s">
        <v>1485</v>
      </c>
      <c r="AB378" s="73" t="s">
        <v>1484</v>
      </c>
      <c r="AC378" s="73" t="s">
        <v>1486</v>
      </c>
      <c r="AD378" s="73" t="s">
        <v>1487</v>
      </c>
      <c r="AE378" s="75" t="s">
        <v>1579</v>
      </c>
    </row>
    <row r="379" spans="1:31" x14ac:dyDescent="0.3">
      <c r="A379" s="76"/>
      <c r="B379" s="77"/>
      <c r="C379" s="78" t="s">
        <v>1489</v>
      </c>
      <c r="D379" s="78" t="s">
        <v>722</v>
      </c>
      <c r="E379" s="78" t="s">
        <v>1771</v>
      </c>
      <c r="F379" s="78" t="s">
        <v>1772</v>
      </c>
      <c r="G379" s="78" t="s">
        <v>1492</v>
      </c>
      <c r="H379" s="77"/>
      <c r="I379" s="226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9"/>
    </row>
    <row r="380" spans="1:31" x14ac:dyDescent="0.3">
      <c r="A380" s="76"/>
      <c r="B380" s="77"/>
      <c r="C380" s="78" t="s">
        <v>1493</v>
      </c>
      <c r="D380" s="78" t="s">
        <v>503</v>
      </c>
      <c r="E380" s="78" t="s">
        <v>1500</v>
      </c>
      <c r="F380" s="78" t="s">
        <v>1501</v>
      </c>
      <c r="G380" s="78" t="s">
        <v>1492</v>
      </c>
      <c r="H380" s="77"/>
      <c r="I380" s="226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9"/>
    </row>
    <row r="381" spans="1:31" x14ac:dyDescent="0.3">
      <c r="A381" s="76"/>
      <c r="B381" s="77"/>
      <c r="C381" s="78" t="s">
        <v>1496</v>
      </c>
      <c r="D381" s="78" t="s">
        <v>166</v>
      </c>
      <c r="E381" s="78" t="s">
        <v>1505</v>
      </c>
      <c r="F381" s="78" t="s">
        <v>1631</v>
      </c>
      <c r="G381" s="78" t="s">
        <v>1492</v>
      </c>
      <c r="H381" s="77"/>
      <c r="I381" s="226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9"/>
    </row>
    <row r="382" spans="1:31" x14ac:dyDescent="0.3">
      <c r="A382" s="76"/>
      <c r="B382" s="77"/>
      <c r="C382" s="78" t="s">
        <v>1499</v>
      </c>
      <c r="D382" s="78" t="s">
        <v>103</v>
      </c>
      <c r="E382" s="78" t="s">
        <v>1494</v>
      </c>
      <c r="F382" s="78" t="s">
        <v>1495</v>
      </c>
      <c r="G382" s="78" t="s">
        <v>1492</v>
      </c>
      <c r="H382" s="77"/>
      <c r="I382" s="226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9"/>
    </row>
    <row r="383" spans="1:31" x14ac:dyDescent="0.3">
      <c r="A383" s="76"/>
      <c r="B383" s="77"/>
      <c r="C383" s="78" t="s">
        <v>1502</v>
      </c>
      <c r="D383" s="78" t="s">
        <v>654</v>
      </c>
      <c r="E383" s="78" t="s">
        <v>1773</v>
      </c>
      <c r="F383" s="78" t="s">
        <v>1498</v>
      </c>
      <c r="G383" s="78" t="s">
        <v>1492</v>
      </c>
      <c r="H383" s="77"/>
      <c r="I383" s="22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9"/>
    </row>
    <row r="384" spans="1:31" x14ac:dyDescent="0.3">
      <c r="A384" s="76"/>
      <c r="B384" s="77"/>
      <c r="C384" s="78" t="s">
        <v>1504</v>
      </c>
      <c r="D384" s="78" t="s">
        <v>723</v>
      </c>
      <c r="E384" s="78" t="s">
        <v>1503</v>
      </c>
      <c r="F384" s="78" t="s">
        <v>1495</v>
      </c>
      <c r="G384" s="78" t="s">
        <v>1492</v>
      </c>
      <c r="H384" s="77"/>
      <c r="I384" s="226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9"/>
    </row>
    <row r="385" spans="1:31" x14ac:dyDescent="0.3">
      <c r="A385" s="76"/>
      <c r="B385" s="80"/>
      <c r="C385" s="78" t="s">
        <v>1507</v>
      </c>
      <c r="D385" s="78" t="s">
        <v>724</v>
      </c>
      <c r="E385" s="78" t="s">
        <v>1774</v>
      </c>
      <c r="F385" s="78" t="s">
        <v>1775</v>
      </c>
      <c r="G385" s="78" t="s">
        <v>1492</v>
      </c>
      <c r="H385" s="77"/>
      <c r="I385" s="226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9"/>
    </row>
    <row r="386" spans="1:31" x14ac:dyDescent="0.3">
      <c r="A386" s="76"/>
      <c r="B386" s="78" t="s">
        <v>1485</v>
      </c>
      <c r="C386" s="78" t="s">
        <v>1485</v>
      </c>
      <c r="D386" s="78" t="s">
        <v>1085</v>
      </c>
      <c r="E386" s="78" t="s">
        <v>1548</v>
      </c>
      <c r="F386" s="78" t="s">
        <v>1512</v>
      </c>
      <c r="G386" s="78" t="s">
        <v>1513</v>
      </c>
      <c r="H386" s="77"/>
      <c r="I386" s="226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9"/>
    </row>
    <row r="387" spans="1:31" x14ac:dyDescent="0.3">
      <c r="A387" s="76"/>
      <c r="B387" s="78" t="s">
        <v>1485</v>
      </c>
      <c r="C387" s="78" t="s">
        <v>1485</v>
      </c>
      <c r="D387" s="78" t="s">
        <v>1776</v>
      </c>
      <c r="E387" s="78" t="s">
        <v>1511</v>
      </c>
      <c r="F387" s="78" t="s">
        <v>1512</v>
      </c>
      <c r="G387" s="78" t="s">
        <v>1513</v>
      </c>
      <c r="H387" s="77"/>
      <c r="I387" s="226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9"/>
    </row>
    <row r="388" spans="1:31" x14ac:dyDescent="0.3">
      <c r="A388" s="76"/>
      <c r="B388" s="78" t="s">
        <v>1485</v>
      </c>
      <c r="C388" s="78" t="s">
        <v>1485</v>
      </c>
      <c r="D388" s="78" t="s">
        <v>1777</v>
      </c>
      <c r="E388" s="78" t="s">
        <v>1534</v>
      </c>
      <c r="F388" s="78" t="s">
        <v>1535</v>
      </c>
      <c r="G388" s="78" t="s">
        <v>1513</v>
      </c>
      <c r="H388" s="77"/>
      <c r="I388" s="226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9"/>
    </row>
    <row r="389" spans="1:31" x14ac:dyDescent="0.3">
      <c r="A389" s="76"/>
      <c r="B389" s="78" t="s">
        <v>1598</v>
      </c>
      <c r="C389" s="78" t="s">
        <v>1496</v>
      </c>
      <c r="D389" s="78" t="s">
        <v>254</v>
      </c>
      <c r="E389" s="78" t="s">
        <v>1599</v>
      </c>
      <c r="F389" s="78" t="s">
        <v>1600</v>
      </c>
      <c r="G389" s="78" t="s">
        <v>1513</v>
      </c>
      <c r="H389" s="77"/>
      <c r="I389" s="226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9"/>
    </row>
    <row r="390" spans="1:31" x14ac:dyDescent="0.3">
      <c r="A390" s="76"/>
      <c r="B390" s="78" t="s">
        <v>1778</v>
      </c>
      <c r="C390" s="78" t="s">
        <v>1489</v>
      </c>
      <c r="D390" s="78" t="s">
        <v>119</v>
      </c>
      <c r="E390" s="78" t="s">
        <v>1480</v>
      </c>
      <c r="F390" s="78" t="s">
        <v>1518</v>
      </c>
      <c r="G390" s="78" t="s">
        <v>1513</v>
      </c>
      <c r="H390" s="85"/>
      <c r="I390" s="226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9"/>
    </row>
    <row r="391" spans="1:31" x14ac:dyDescent="0.3">
      <c r="A391" s="76"/>
      <c r="B391" s="78" t="s">
        <v>1779</v>
      </c>
      <c r="C391" s="78" t="s">
        <v>1499</v>
      </c>
      <c r="D391" s="78" t="s">
        <v>103</v>
      </c>
      <c r="E391" s="78" t="s">
        <v>1494</v>
      </c>
      <c r="F391" s="78" t="s">
        <v>1495</v>
      </c>
      <c r="G391" s="78" t="s">
        <v>1513</v>
      </c>
      <c r="H391" s="77"/>
      <c r="I391" s="226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9"/>
    </row>
    <row r="392" spans="1:31" x14ac:dyDescent="0.3">
      <c r="A392" s="76"/>
      <c r="B392" s="78" t="s">
        <v>1735</v>
      </c>
      <c r="C392" s="78" t="s">
        <v>1489</v>
      </c>
      <c r="D392" s="78" t="s">
        <v>723</v>
      </c>
      <c r="E392" s="78" t="s">
        <v>1503</v>
      </c>
      <c r="F392" s="78" t="s">
        <v>1495</v>
      </c>
      <c r="G392" s="78" t="s">
        <v>1513</v>
      </c>
      <c r="H392" s="77"/>
      <c r="I392" s="226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9"/>
    </row>
    <row r="393" spans="1:31" x14ac:dyDescent="0.3">
      <c r="A393" s="76"/>
      <c r="B393" s="78" t="s">
        <v>1684</v>
      </c>
      <c r="C393" s="78" t="s">
        <v>1496</v>
      </c>
      <c r="D393" s="78" t="s">
        <v>503</v>
      </c>
      <c r="E393" s="78" t="s">
        <v>1500</v>
      </c>
      <c r="F393" s="78" t="s">
        <v>1501</v>
      </c>
      <c r="G393" s="78" t="s">
        <v>1513</v>
      </c>
      <c r="H393" s="85"/>
      <c r="I393" s="226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9"/>
    </row>
    <row r="394" spans="1:31" x14ac:dyDescent="0.3">
      <c r="A394" s="76"/>
      <c r="B394" s="78" t="s">
        <v>1557</v>
      </c>
      <c r="C394" s="78" t="s">
        <v>1493</v>
      </c>
      <c r="D394" s="78" t="s">
        <v>256</v>
      </c>
      <c r="E394" s="78" t="s">
        <v>1525</v>
      </c>
      <c r="F394" s="78" t="s">
        <v>1558</v>
      </c>
      <c r="G394" s="78" t="s">
        <v>1513</v>
      </c>
      <c r="H394" s="77"/>
      <c r="I394" s="226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9"/>
    </row>
    <row r="395" spans="1:31" x14ac:dyDescent="0.3">
      <c r="A395" s="76"/>
      <c r="B395" s="78" t="s">
        <v>1780</v>
      </c>
      <c r="C395" s="78" t="s">
        <v>1489</v>
      </c>
      <c r="D395" s="78" t="s">
        <v>722</v>
      </c>
      <c r="E395" s="78" t="s">
        <v>1771</v>
      </c>
      <c r="F395" s="78" t="s">
        <v>1772</v>
      </c>
      <c r="G395" s="78" t="s">
        <v>1513</v>
      </c>
      <c r="H395" s="77"/>
      <c r="I395" s="226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9"/>
    </row>
    <row r="396" spans="1:31" ht="15" thickBot="1" x14ac:dyDescent="0.35">
      <c r="A396" s="81"/>
      <c r="B396" s="82" t="s">
        <v>1754</v>
      </c>
      <c r="C396" s="82" t="s">
        <v>1489</v>
      </c>
      <c r="D396" s="82" t="s">
        <v>166</v>
      </c>
      <c r="E396" s="82" t="s">
        <v>1505</v>
      </c>
      <c r="F396" s="82" t="s">
        <v>1631</v>
      </c>
      <c r="G396" s="82" t="s">
        <v>1513</v>
      </c>
      <c r="H396" s="83"/>
      <c r="I396" s="227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4"/>
    </row>
    <row r="397" spans="1:31" x14ac:dyDescent="0.3">
      <c r="A397" s="72" t="s">
        <v>713</v>
      </c>
      <c r="B397" s="73" t="s">
        <v>1781</v>
      </c>
      <c r="C397" s="74" t="s">
        <v>1479</v>
      </c>
      <c r="D397" s="74" t="s">
        <v>714</v>
      </c>
      <c r="E397" s="74" t="s">
        <v>1480</v>
      </c>
      <c r="F397" s="74"/>
      <c r="G397" s="74" t="s">
        <v>1481</v>
      </c>
      <c r="H397" s="73" t="s">
        <v>1575</v>
      </c>
      <c r="I397" s="225">
        <v>53</v>
      </c>
      <c r="J397" s="73" t="s">
        <v>712</v>
      </c>
      <c r="K397" s="73">
        <v>94</v>
      </c>
      <c r="L397" s="73" t="s">
        <v>195</v>
      </c>
      <c r="M397" s="73" t="s">
        <v>1483</v>
      </c>
      <c r="N397" s="73" t="s">
        <v>1483</v>
      </c>
      <c r="O397" s="73" t="s">
        <v>1483</v>
      </c>
      <c r="P397" s="73" t="s">
        <v>1483</v>
      </c>
      <c r="Q397" s="73" t="s">
        <v>1483</v>
      </c>
      <c r="R397" s="73" t="s">
        <v>1483</v>
      </c>
      <c r="S397" s="73" t="s">
        <v>1484</v>
      </c>
      <c r="T397" s="73" t="s">
        <v>1484</v>
      </c>
      <c r="U397" s="73" t="s">
        <v>1484</v>
      </c>
      <c r="V397" s="73" t="s">
        <v>1484</v>
      </c>
      <c r="W397" s="73" t="s">
        <v>1485</v>
      </c>
      <c r="X397" s="73" t="s">
        <v>1484</v>
      </c>
      <c r="Y397" s="73" t="s">
        <v>1484</v>
      </c>
      <c r="Z397" s="73" t="s">
        <v>1484</v>
      </c>
      <c r="AA397" s="73" t="s">
        <v>1485</v>
      </c>
      <c r="AB397" s="73" t="s">
        <v>1484</v>
      </c>
      <c r="AC397" s="73" t="s">
        <v>1486</v>
      </c>
      <c r="AD397" s="73" t="s">
        <v>1487</v>
      </c>
      <c r="AE397" s="75" t="s">
        <v>1579</v>
      </c>
    </row>
    <row r="398" spans="1:31" x14ac:dyDescent="0.3">
      <c r="A398" s="76"/>
      <c r="B398" s="77"/>
      <c r="C398" s="78" t="s">
        <v>1489</v>
      </c>
      <c r="D398" s="78" t="s">
        <v>715</v>
      </c>
      <c r="E398" s="78" t="s">
        <v>1771</v>
      </c>
      <c r="F398" s="78" t="s">
        <v>1782</v>
      </c>
      <c r="G398" s="78" t="s">
        <v>1492</v>
      </c>
      <c r="H398" s="77"/>
      <c r="I398" s="226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9"/>
    </row>
    <row r="399" spans="1:31" x14ac:dyDescent="0.3">
      <c r="A399" s="76"/>
      <c r="B399" s="77"/>
      <c r="C399" s="78" t="s">
        <v>1493</v>
      </c>
      <c r="D399" s="78" t="s">
        <v>236</v>
      </c>
      <c r="E399" s="78" t="s">
        <v>1525</v>
      </c>
      <c r="F399" s="78" t="s">
        <v>1565</v>
      </c>
      <c r="G399" s="78" t="s">
        <v>1492</v>
      </c>
      <c r="H399" s="77"/>
      <c r="I399" s="226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9"/>
    </row>
    <row r="400" spans="1:31" x14ac:dyDescent="0.3">
      <c r="A400" s="76"/>
      <c r="B400" s="77"/>
      <c r="C400" s="78" t="s">
        <v>1496</v>
      </c>
      <c r="D400" s="78" t="s">
        <v>280</v>
      </c>
      <c r="E400" s="78" t="s">
        <v>1505</v>
      </c>
      <c r="F400" s="78" t="s">
        <v>1619</v>
      </c>
      <c r="G400" s="78" t="s">
        <v>1492</v>
      </c>
      <c r="H400" s="77"/>
      <c r="I400" s="226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9"/>
    </row>
    <row r="401" spans="1:31" x14ac:dyDescent="0.3">
      <c r="A401" s="76"/>
      <c r="B401" s="77"/>
      <c r="C401" s="78" t="s">
        <v>1499</v>
      </c>
      <c r="D401" s="78" t="s">
        <v>312</v>
      </c>
      <c r="E401" s="78" t="s">
        <v>1494</v>
      </c>
      <c r="F401" s="78" t="s">
        <v>1495</v>
      </c>
      <c r="G401" s="78" t="s">
        <v>1492</v>
      </c>
      <c r="H401" s="77"/>
      <c r="I401" s="226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9"/>
    </row>
    <row r="402" spans="1:31" x14ac:dyDescent="0.3">
      <c r="A402" s="76"/>
      <c r="B402" s="77"/>
      <c r="C402" s="78" t="s">
        <v>1502</v>
      </c>
      <c r="D402" s="78" t="s">
        <v>237</v>
      </c>
      <c r="E402" s="78" t="s">
        <v>1599</v>
      </c>
      <c r="F402" s="78" t="s">
        <v>1611</v>
      </c>
      <c r="G402" s="78" t="s">
        <v>1492</v>
      </c>
      <c r="H402" s="77"/>
      <c r="I402" s="226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9"/>
    </row>
    <row r="403" spans="1:31" x14ac:dyDescent="0.3">
      <c r="A403" s="76"/>
      <c r="B403" s="77"/>
      <c r="C403" s="78" t="s">
        <v>1504</v>
      </c>
      <c r="D403" s="78" t="s">
        <v>150</v>
      </c>
      <c r="E403" s="78" t="s">
        <v>1503</v>
      </c>
      <c r="F403" s="78" t="s">
        <v>1495</v>
      </c>
      <c r="G403" s="78" t="s">
        <v>1492</v>
      </c>
      <c r="H403" s="77"/>
      <c r="I403" s="226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9"/>
    </row>
    <row r="404" spans="1:31" x14ac:dyDescent="0.3">
      <c r="A404" s="76"/>
      <c r="B404" s="80"/>
      <c r="C404" s="78" t="s">
        <v>1507</v>
      </c>
      <c r="D404" s="78" t="s">
        <v>662</v>
      </c>
      <c r="E404" s="78" t="s">
        <v>1773</v>
      </c>
      <c r="F404" s="78" t="s">
        <v>1498</v>
      </c>
      <c r="G404" s="78" t="s">
        <v>1492</v>
      </c>
      <c r="H404" s="77"/>
      <c r="I404" s="226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9"/>
    </row>
    <row r="405" spans="1:31" x14ac:dyDescent="0.3">
      <c r="A405" s="76"/>
      <c r="B405" s="78" t="s">
        <v>1485</v>
      </c>
      <c r="C405" s="78" t="s">
        <v>1485</v>
      </c>
      <c r="D405" s="78" t="s">
        <v>1104</v>
      </c>
      <c r="E405" s="78" t="s">
        <v>1548</v>
      </c>
      <c r="F405" s="78" t="s">
        <v>1512</v>
      </c>
      <c r="G405" s="78" t="s">
        <v>1513</v>
      </c>
      <c r="H405" s="77"/>
      <c r="I405" s="226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9"/>
    </row>
    <row r="406" spans="1:31" x14ac:dyDescent="0.3">
      <c r="A406" s="76"/>
      <c r="B406" s="78" t="s">
        <v>1485</v>
      </c>
      <c r="C406" s="78" t="s">
        <v>1485</v>
      </c>
      <c r="D406" s="78" t="s">
        <v>1783</v>
      </c>
      <c r="E406" s="78" t="s">
        <v>1511</v>
      </c>
      <c r="F406" s="78" t="s">
        <v>1512</v>
      </c>
      <c r="G406" s="78" t="s">
        <v>1513</v>
      </c>
      <c r="H406" s="77"/>
      <c r="I406" s="226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9"/>
    </row>
    <row r="407" spans="1:31" x14ac:dyDescent="0.3">
      <c r="A407" s="76"/>
      <c r="B407" s="78" t="s">
        <v>1784</v>
      </c>
      <c r="C407" s="78" t="s">
        <v>1489</v>
      </c>
      <c r="D407" s="78" t="s">
        <v>109</v>
      </c>
      <c r="E407" s="78" t="s">
        <v>1480</v>
      </c>
      <c r="F407" s="78" t="s">
        <v>1518</v>
      </c>
      <c r="G407" s="78" t="s">
        <v>1513</v>
      </c>
      <c r="H407" s="85"/>
      <c r="I407" s="226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9"/>
    </row>
    <row r="408" spans="1:31" x14ac:dyDescent="0.3">
      <c r="A408" s="76"/>
      <c r="B408" s="78" t="s">
        <v>1785</v>
      </c>
      <c r="C408" s="78" t="s">
        <v>1496</v>
      </c>
      <c r="D408" s="78" t="s">
        <v>312</v>
      </c>
      <c r="E408" s="78" t="s">
        <v>1494</v>
      </c>
      <c r="F408" s="78" t="s">
        <v>1495</v>
      </c>
      <c r="G408" s="78" t="s">
        <v>1513</v>
      </c>
      <c r="H408" s="85"/>
      <c r="I408" s="226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9"/>
    </row>
    <row r="409" spans="1:31" x14ac:dyDescent="0.3">
      <c r="A409" s="76"/>
      <c r="B409" s="78" t="s">
        <v>1786</v>
      </c>
      <c r="C409" s="78" t="s">
        <v>1489</v>
      </c>
      <c r="D409" s="78" t="s">
        <v>150</v>
      </c>
      <c r="E409" s="78" t="s">
        <v>1503</v>
      </c>
      <c r="F409" s="78" t="s">
        <v>1495</v>
      </c>
      <c r="G409" s="78" t="s">
        <v>1513</v>
      </c>
      <c r="H409" s="77"/>
      <c r="I409" s="226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9"/>
    </row>
    <row r="410" spans="1:31" x14ac:dyDescent="0.3">
      <c r="A410" s="76"/>
      <c r="B410" s="78" t="s">
        <v>1787</v>
      </c>
      <c r="C410" s="78" t="s">
        <v>1489</v>
      </c>
      <c r="D410" s="78" t="s">
        <v>715</v>
      </c>
      <c r="E410" s="78" t="s">
        <v>1771</v>
      </c>
      <c r="F410" s="78" t="s">
        <v>1782</v>
      </c>
      <c r="G410" s="78" t="s">
        <v>1513</v>
      </c>
      <c r="H410" s="77"/>
      <c r="I410" s="226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9"/>
    </row>
    <row r="411" spans="1:31" x14ac:dyDescent="0.3">
      <c r="A411" s="76"/>
      <c r="B411" s="78" t="s">
        <v>1767</v>
      </c>
      <c r="C411" s="78" t="s">
        <v>1496</v>
      </c>
      <c r="D411" s="78" t="s">
        <v>280</v>
      </c>
      <c r="E411" s="78" t="s">
        <v>1505</v>
      </c>
      <c r="F411" s="78" t="s">
        <v>1619</v>
      </c>
      <c r="G411" s="78" t="s">
        <v>1513</v>
      </c>
      <c r="H411" s="77"/>
      <c r="I411" s="226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9"/>
    </row>
    <row r="412" spans="1:31" x14ac:dyDescent="0.3">
      <c r="A412" s="76"/>
      <c r="B412" s="78" t="s">
        <v>1788</v>
      </c>
      <c r="C412" s="78" t="s">
        <v>1489</v>
      </c>
      <c r="D412" s="78" t="s">
        <v>717</v>
      </c>
      <c r="E412" s="78" t="s">
        <v>1774</v>
      </c>
      <c r="F412" s="78" t="s">
        <v>1789</v>
      </c>
      <c r="G412" s="78" t="s">
        <v>1513</v>
      </c>
      <c r="H412" s="85"/>
      <c r="I412" s="226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9"/>
    </row>
    <row r="413" spans="1:31" ht="15" thickBot="1" x14ac:dyDescent="0.35">
      <c r="A413" s="81"/>
      <c r="B413" s="82" t="s">
        <v>1573</v>
      </c>
      <c r="C413" s="82" t="s">
        <v>1493</v>
      </c>
      <c r="D413" s="82" t="s">
        <v>236</v>
      </c>
      <c r="E413" s="82" t="s">
        <v>1525</v>
      </c>
      <c r="F413" s="82" t="s">
        <v>1565</v>
      </c>
      <c r="G413" s="82" t="s">
        <v>1513</v>
      </c>
      <c r="H413" s="82"/>
      <c r="I413" s="227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4"/>
    </row>
    <row r="414" spans="1:31" x14ac:dyDescent="0.3">
      <c r="A414" s="72" t="s">
        <v>604</v>
      </c>
      <c r="B414" s="73" t="s">
        <v>1790</v>
      </c>
      <c r="C414" s="74" t="s">
        <v>1479</v>
      </c>
      <c r="D414" s="74" t="s">
        <v>605</v>
      </c>
      <c r="E414" s="74" t="s">
        <v>1480</v>
      </c>
      <c r="F414" s="74"/>
      <c r="G414" s="74" t="s">
        <v>1481</v>
      </c>
      <c r="H414" s="73" t="s">
        <v>1575</v>
      </c>
      <c r="I414" s="225">
        <v>48</v>
      </c>
      <c r="J414" s="73" t="s">
        <v>603</v>
      </c>
      <c r="K414" s="73">
        <v>79</v>
      </c>
      <c r="L414" s="73" t="s">
        <v>320</v>
      </c>
      <c r="M414" s="73" t="s">
        <v>1483</v>
      </c>
      <c r="N414" s="73" t="s">
        <v>1483</v>
      </c>
      <c r="O414" s="73" t="s">
        <v>1483</v>
      </c>
      <c r="P414" s="73" t="s">
        <v>1483</v>
      </c>
      <c r="Q414" s="73" t="s">
        <v>1483</v>
      </c>
      <c r="R414" s="73" t="s">
        <v>1483</v>
      </c>
      <c r="S414" s="73" t="s">
        <v>1484</v>
      </c>
      <c r="T414" s="73" t="s">
        <v>1484</v>
      </c>
      <c r="U414" s="73" t="s">
        <v>1484</v>
      </c>
      <c r="V414" s="73" t="s">
        <v>1484</v>
      </c>
      <c r="W414" s="73" t="s">
        <v>1485</v>
      </c>
      <c r="X414" s="73" t="s">
        <v>1484</v>
      </c>
      <c r="Y414" s="73" t="s">
        <v>1484</v>
      </c>
      <c r="Z414" s="73" t="s">
        <v>1484</v>
      </c>
      <c r="AA414" s="73" t="s">
        <v>1485</v>
      </c>
      <c r="AB414" s="73" t="s">
        <v>1484</v>
      </c>
      <c r="AC414" s="73" t="s">
        <v>1486</v>
      </c>
      <c r="AD414" s="73" t="s">
        <v>1487</v>
      </c>
      <c r="AE414" s="75" t="s">
        <v>1579</v>
      </c>
    </row>
    <row r="415" spans="1:31" x14ac:dyDescent="0.3">
      <c r="A415" s="76"/>
      <c r="B415" s="77"/>
      <c r="C415" s="78" t="s">
        <v>1489</v>
      </c>
      <c r="D415" s="78" t="s">
        <v>536</v>
      </c>
      <c r="E415" s="78" t="s">
        <v>1548</v>
      </c>
      <c r="F415" s="78" t="s">
        <v>1791</v>
      </c>
      <c r="G415" s="78" t="s">
        <v>1492</v>
      </c>
      <c r="H415" s="77"/>
      <c r="I415" s="226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9"/>
    </row>
    <row r="416" spans="1:31" x14ac:dyDescent="0.3">
      <c r="A416" s="76"/>
      <c r="B416" s="77"/>
      <c r="C416" s="78" t="s">
        <v>1493</v>
      </c>
      <c r="D416" s="78" t="s">
        <v>606</v>
      </c>
      <c r="E416" s="78" t="s">
        <v>1494</v>
      </c>
      <c r="F416" s="78" t="s">
        <v>1495</v>
      </c>
      <c r="G416" s="78" t="s">
        <v>1492</v>
      </c>
      <c r="H416" s="77"/>
      <c r="I416" s="226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9"/>
    </row>
    <row r="417" spans="1:31" x14ac:dyDescent="0.3">
      <c r="A417" s="76"/>
      <c r="B417" s="77"/>
      <c r="C417" s="78" t="s">
        <v>1496</v>
      </c>
      <c r="D417" s="78" t="s">
        <v>62</v>
      </c>
      <c r="E417" s="78" t="s">
        <v>1618</v>
      </c>
      <c r="F417" s="78" t="s">
        <v>1546</v>
      </c>
      <c r="G417" s="78" t="s">
        <v>1492</v>
      </c>
      <c r="H417" s="77"/>
      <c r="I417" s="226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9"/>
    </row>
    <row r="418" spans="1:31" x14ac:dyDescent="0.3">
      <c r="A418" s="76"/>
      <c r="B418" s="77"/>
      <c r="C418" s="78" t="s">
        <v>1502</v>
      </c>
      <c r="D418" s="78" t="s">
        <v>607</v>
      </c>
      <c r="E418" s="78" t="s">
        <v>1773</v>
      </c>
      <c r="F418" s="78" t="s">
        <v>1498</v>
      </c>
      <c r="G418" s="78" t="s">
        <v>1492</v>
      </c>
      <c r="H418" s="77"/>
      <c r="I418" s="226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9"/>
    </row>
    <row r="419" spans="1:31" x14ac:dyDescent="0.3">
      <c r="A419" s="76"/>
      <c r="B419" s="77"/>
      <c r="C419" s="78" t="s">
        <v>1504</v>
      </c>
      <c r="D419" s="78" t="s">
        <v>608</v>
      </c>
      <c r="E419" s="78" t="s">
        <v>1792</v>
      </c>
      <c r="F419" s="78" t="s">
        <v>1793</v>
      </c>
      <c r="G419" s="78" t="s">
        <v>1492</v>
      </c>
      <c r="H419" s="77"/>
      <c r="I419" s="226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9"/>
    </row>
    <row r="420" spans="1:31" x14ac:dyDescent="0.3">
      <c r="A420" s="76"/>
      <c r="B420" s="80"/>
      <c r="C420" s="78" t="s">
        <v>1507</v>
      </c>
      <c r="D420" s="78" t="s">
        <v>609</v>
      </c>
      <c r="E420" s="78" t="s">
        <v>1500</v>
      </c>
      <c r="F420" s="78" t="s">
        <v>1501</v>
      </c>
      <c r="G420" s="78" t="s">
        <v>1492</v>
      </c>
      <c r="H420" s="77"/>
      <c r="I420" s="226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9"/>
    </row>
    <row r="421" spans="1:31" x14ac:dyDescent="0.3">
      <c r="A421" s="76"/>
      <c r="B421" s="78" t="s">
        <v>1485</v>
      </c>
      <c r="C421" s="78" t="s">
        <v>1485</v>
      </c>
      <c r="D421" s="78" t="s">
        <v>610</v>
      </c>
      <c r="E421" s="78" t="s">
        <v>1534</v>
      </c>
      <c r="F421" s="78" t="s">
        <v>1535</v>
      </c>
      <c r="G421" s="78" t="s">
        <v>1513</v>
      </c>
      <c r="H421" s="77"/>
      <c r="I421" s="22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9"/>
    </row>
    <row r="422" spans="1:31" x14ac:dyDescent="0.3">
      <c r="A422" s="76"/>
      <c r="B422" s="78" t="s">
        <v>1794</v>
      </c>
      <c r="C422" s="78" t="s">
        <v>1493</v>
      </c>
      <c r="D422" s="78" t="s">
        <v>219</v>
      </c>
      <c r="E422" s="78" t="s">
        <v>1795</v>
      </c>
      <c r="F422" s="78" t="s">
        <v>1600</v>
      </c>
      <c r="G422" s="78" t="s">
        <v>1513</v>
      </c>
      <c r="H422" s="77"/>
      <c r="I422" s="226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9"/>
    </row>
    <row r="423" spans="1:31" x14ac:dyDescent="0.3">
      <c r="A423" s="76"/>
      <c r="B423" s="78" t="s">
        <v>1796</v>
      </c>
      <c r="C423" s="78" t="s">
        <v>1489</v>
      </c>
      <c r="D423" s="78" t="s">
        <v>133</v>
      </c>
      <c r="E423" s="78" t="s">
        <v>1480</v>
      </c>
      <c r="F423" s="78" t="s">
        <v>1518</v>
      </c>
      <c r="G423" s="78" t="s">
        <v>1513</v>
      </c>
      <c r="H423" s="77"/>
      <c r="I423" s="226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9"/>
    </row>
    <row r="424" spans="1:31" x14ac:dyDescent="0.3">
      <c r="A424" s="76"/>
      <c r="B424" s="78" t="s">
        <v>1797</v>
      </c>
      <c r="C424" s="78" t="s">
        <v>1489</v>
      </c>
      <c r="D424" s="78" t="s">
        <v>606</v>
      </c>
      <c r="E424" s="78" t="s">
        <v>1494</v>
      </c>
      <c r="F424" s="78" t="s">
        <v>1495</v>
      </c>
      <c r="G424" s="78" t="s">
        <v>1513</v>
      </c>
      <c r="H424" s="77"/>
      <c r="I424" s="226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9"/>
    </row>
    <row r="425" spans="1:31" x14ac:dyDescent="0.3">
      <c r="A425" s="76"/>
      <c r="B425" s="78" t="s">
        <v>1798</v>
      </c>
      <c r="C425" s="78" t="s">
        <v>1489</v>
      </c>
      <c r="D425" s="78" t="s">
        <v>609</v>
      </c>
      <c r="E425" s="78" t="s">
        <v>1500</v>
      </c>
      <c r="F425" s="78" t="s">
        <v>1501</v>
      </c>
      <c r="G425" s="78" t="s">
        <v>1513</v>
      </c>
      <c r="H425" s="77"/>
      <c r="I425" s="226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9"/>
    </row>
    <row r="426" spans="1:31" x14ac:dyDescent="0.3">
      <c r="A426" s="76"/>
      <c r="B426" s="78" t="s">
        <v>1799</v>
      </c>
      <c r="C426" s="78" t="s">
        <v>1493</v>
      </c>
      <c r="D426" s="78" t="s">
        <v>611</v>
      </c>
      <c r="E426" s="78" t="s">
        <v>1800</v>
      </c>
      <c r="F426" s="78" t="s">
        <v>1558</v>
      </c>
      <c r="G426" s="78" t="s">
        <v>1513</v>
      </c>
      <c r="H426" s="77"/>
      <c r="I426" s="226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9"/>
    </row>
    <row r="427" spans="1:31" x14ac:dyDescent="0.3">
      <c r="A427" s="76"/>
      <c r="B427" s="78" t="s">
        <v>1801</v>
      </c>
      <c r="C427" s="78" t="s">
        <v>1493</v>
      </c>
      <c r="D427" s="78" t="s">
        <v>62</v>
      </c>
      <c r="E427" s="78" t="s">
        <v>1618</v>
      </c>
      <c r="F427" s="78" t="s">
        <v>1546</v>
      </c>
      <c r="G427" s="78" t="s">
        <v>1513</v>
      </c>
      <c r="H427" s="77"/>
      <c r="I427" s="226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9"/>
    </row>
    <row r="428" spans="1:31" x14ac:dyDescent="0.3">
      <c r="A428" s="76"/>
      <c r="B428" s="78" t="s">
        <v>1802</v>
      </c>
      <c r="C428" s="78" t="s">
        <v>1489</v>
      </c>
      <c r="D428" s="78" t="s">
        <v>608</v>
      </c>
      <c r="E428" s="78" t="s">
        <v>1792</v>
      </c>
      <c r="F428" s="78" t="s">
        <v>1793</v>
      </c>
      <c r="G428" s="78" t="s">
        <v>1513</v>
      </c>
      <c r="H428" s="77"/>
      <c r="I428" s="226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9"/>
    </row>
    <row r="429" spans="1:31" ht="15" thickBot="1" x14ac:dyDescent="0.35">
      <c r="A429" s="81"/>
      <c r="B429" s="82" t="s">
        <v>1803</v>
      </c>
      <c r="C429" s="82" t="s">
        <v>1489</v>
      </c>
      <c r="D429" s="82" t="s">
        <v>612</v>
      </c>
      <c r="E429" s="82" t="s">
        <v>1508</v>
      </c>
      <c r="F429" s="82" t="s">
        <v>1718</v>
      </c>
      <c r="G429" s="82" t="s">
        <v>1513</v>
      </c>
      <c r="H429" s="83"/>
      <c r="I429" s="227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4"/>
    </row>
    <row r="430" spans="1:31" x14ac:dyDescent="0.3">
      <c r="A430" s="72" t="s">
        <v>577</v>
      </c>
      <c r="B430" s="73" t="s">
        <v>1804</v>
      </c>
      <c r="C430" s="74" t="s">
        <v>1479</v>
      </c>
      <c r="D430" s="74" t="s">
        <v>578</v>
      </c>
      <c r="E430" s="74" t="s">
        <v>1480</v>
      </c>
      <c r="F430" s="74"/>
      <c r="G430" s="74" t="s">
        <v>1481</v>
      </c>
      <c r="H430" s="73" t="s">
        <v>1575</v>
      </c>
      <c r="I430" s="225">
        <v>47</v>
      </c>
      <c r="J430" s="73" t="s">
        <v>576</v>
      </c>
      <c r="K430" s="73">
        <v>74</v>
      </c>
      <c r="L430" s="73" t="s">
        <v>320</v>
      </c>
      <c r="M430" s="73" t="s">
        <v>1483</v>
      </c>
      <c r="N430" s="73" t="s">
        <v>1483</v>
      </c>
      <c r="O430" s="73" t="s">
        <v>1483</v>
      </c>
      <c r="P430" s="73" t="s">
        <v>1483</v>
      </c>
      <c r="Q430" s="73" t="s">
        <v>1483</v>
      </c>
      <c r="R430" s="73" t="s">
        <v>1483</v>
      </c>
      <c r="S430" s="73" t="s">
        <v>1484</v>
      </c>
      <c r="T430" s="73" t="s">
        <v>1484</v>
      </c>
      <c r="U430" s="73" t="s">
        <v>1484</v>
      </c>
      <c r="V430" s="73" t="s">
        <v>1484</v>
      </c>
      <c r="W430" s="73" t="s">
        <v>1485</v>
      </c>
      <c r="X430" s="73" t="s">
        <v>1484</v>
      </c>
      <c r="Y430" s="73" t="s">
        <v>1484</v>
      </c>
      <c r="Z430" s="73" t="s">
        <v>1484</v>
      </c>
      <c r="AA430" s="73" t="s">
        <v>1485</v>
      </c>
      <c r="AB430" s="73" t="s">
        <v>1484</v>
      </c>
      <c r="AC430" s="73" t="s">
        <v>1486</v>
      </c>
      <c r="AD430" s="73" t="s">
        <v>1487</v>
      </c>
      <c r="AE430" s="75" t="s">
        <v>1579</v>
      </c>
    </row>
    <row r="431" spans="1:31" x14ac:dyDescent="0.3">
      <c r="A431" s="76"/>
      <c r="B431" s="77"/>
      <c r="C431" s="78" t="s">
        <v>1489</v>
      </c>
      <c r="D431" s="78" t="s">
        <v>579</v>
      </c>
      <c r="E431" s="78" t="s">
        <v>1800</v>
      </c>
      <c r="F431" s="78" t="s">
        <v>1565</v>
      </c>
      <c r="G431" s="78" t="s">
        <v>1492</v>
      </c>
      <c r="H431" s="77"/>
      <c r="I431" s="226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9"/>
    </row>
    <row r="432" spans="1:31" x14ac:dyDescent="0.3">
      <c r="A432" s="76"/>
      <c r="B432" s="77"/>
      <c r="C432" s="78" t="s">
        <v>1493</v>
      </c>
      <c r="D432" s="78" t="s">
        <v>580</v>
      </c>
      <c r="E432" s="78" t="s">
        <v>1494</v>
      </c>
      <c r="F432" s="78" t="s">
        <v>1495</v>
      </c>
      <c r="G432" s="78" t="s">
        <v>1492</v>
      </c>
      <c r="H432" s="77"/>
      <c r="I432" s="226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9"/>
    </row>
    <row r="433" spans="1:31" x14ac:dyDescent="0.3">
      <c r="A433" s="76"/>
      <c r="B433" s="77"/>
      <c r="C433" s="78" t="s">
        <v>1496</v>
      </c>
      <c r="D433" s="78" t="s">
        <v>581</v>
      </c>
      <c r="E433" s="78" t="s">
        <v>1618</v>
      </c>
      <c r="F433" s="78" t="s">
        <v>1619</v>
      </c>
      <c r="G433" s="78" t="s">
        <v>1492</v>
      </c>
      <c r="H433" s="77"/>
      <c r="I433" s="226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9"/>
    </row>
    <row r="434" spans="1:31" x14ac:dyDescent="0.3">
      <c r="A434" s="76"/>
      <c r="B434" s="77"/>
      <c r="C434" s="78" t="s">
        <v>1499</v>
      </c>
      <c r="D434" s="78" t="s">
        <v>582</v>
      </c>
      <c r="E434" s="78" t="s">
        <v>1511</v>
      </c>
      <c r="F434" s="78" t="s">
        <v>1791</v>
      </c>
      <c r="G434" s="78" t="s">
        <v>1492</v>
      </c>
      <c r="H434" s="77"/>
      <c r="I434" s="226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9"/>
    </row>
    <row r="435" spans="1:31" x14ac:dyDescent="0.3">
      <c r="A435" s="76"/>
      <c r="B435" s="77"/>
      <c r="C435" s="78" t="s">
        <v>1502</v>
      </c>
      <c r="D435" s="78" t="s">
        <v>225</v>
      </c>
      <c r="E435" s="78" t="s">
        <v>1795</v>
      </c>
      <c r="F435" s="78" t="s">
        <v>1611</v>
      </c>
      <c r="G435" s="78" t="s">
        <v>1492</v>
      </c>
      <c r="H435" s="77"/>
      <c r="I435" s="226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9"/>
    </row>
    <row r="436" spans="1:31" x14ac:dyDescent="0.3">
      <c r="A436" s="76"/>
      <c r="B436" s="77"/>
      <c r="C436" s="78" t="s">
        <v>1504</v>
      </c>
      <c r="D436" s="78" t="s">
        <v>583</v>
      </c>
      <c r="E436" s="78" t="s">
        <v>1773</v>
      </c>
      <c r="F436" s="78" t="s">
        <v>1498</v>
      </c>
      <c r="G436" s="78" t="s">
        <v>1492</v>
      </c>
      <c r="H436" s="77"/>
      <c r="I436" s="226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9"/>
    </row>
    <row r="437" spans="1:31" x14ac:dyDescent="0.3">
      <c r="A437" s="76"/>
      <c r="B437" s="80"/>
      <c r="C437" s="78" t="s">
        <v>1507</v>
      </c>
      <c r="D437" s="78" t="s">
        <v>584</v>
      </c>
      <c r="E437" s="78" t="s">
        <v>1500</v>
      </c>
      <c r="F437" s="78" t="s">
        <v>1501</v>
      </c>
      <c r="G437" s="78" t="s">
        <v>1492</v>
      </c>
      <c r="H437" s="77"/>
      <c r="I437" s="226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9"/>
    </row>
    <row r="438" spans="1:31" x14ac:dyDescent="0.3">
      <c r="A438" s="76"/>
      <c r="B438" s="78" t="s">
        <v>1805</v>
      </c>
      <c r="C438" s="78" t="s">
        <v>1489</v>
      </c>
      <c r="D438" s="78" t="s">
        <v>247</v>
      </c>
      <c r="E438" s="78" t="s">
        <v>1480</v>
      </c>
      <c r="F438" s="78" t="s">
        <v>1518</v>
      </c>
      <c r="G438" s="78" t="s">
        <v>1513</v>
      </c>
      <c r="H438" s="77"/>
      <c r="I438" s="226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9"/>
    </row>
    <row r="439" spans="1:31" x14ac:dyDescent="0.3">
      <c r="A439" s="76"/>
      <c r="B439" s="78" t="s">
        <v>1537</v>
      </c>
      <c r="C439" s="78" t="s">
        <v>1493</v>
      </c>
      <c r="D439" s="78" t="s">
        <v>580</v>
      </c>
      <c r="E439" s="78" t="s">
        <v>1494</v>
      </c>
      <c r="F439" s="78" t="s">
        <v>1495</v>
      </c>
      <c r="G439" s="78" t="s">
        <v>1513</v>
      </c>
      <c r="H439" s="77"/>
      <c r="I439" s="226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9"/>
    </row>
    <row r="440" spans="1:31" x14ac:dyDescent="0.3">
      <c r="A440" s="76"/>
      <c r="B440" s="78" t="s">
        <v>1806</v>
      </c>
      <c r="C440" s="78" t="s">
        <v>1489</v>
      </c>
      <c r="D440" s="78" t="s">
        <v>584</v>
      </c>
      <c r="E440" s="78" t="s">
        <v>1500</v>
      </c>
      <c r="F440" s="78" t="s">
        <v>1501</v>
      </c>
      <c r="G440" s="78" t="s">
        <v>1513</v>
      </c>
      <c r="H440" s="77"/>
      <c r="I440" s="226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9"/>
    </row>
    <row r="441" spans="1:31" x14ac:dyDescent="0.3">
      <c r="A441" s="76"/>
      <c r="B441" s="78" t="s">
        <v>1629</v>
      </c>
      <c r="C441" s="78" t="s">
        <v>1493</v>
      </c>
      <c r="D441" s="78" t="s">
        <v>581</v>
      </c>
      <c r="E441" s="78" t="s">
        <v>1618</v>
      </c>
      <c r="F441" s="78" t="s">
        <v>1619</v>
      </c>
      <c r="G441" s="78" t="s">
        <v>1513</v>
      </c>
      <c r="H441" s="77"/>
      <c r="I441" s="226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9"/>
    </row>
    <row r="442" spans="1:31" x14ac:dyDescent="0.3">
      <c r="A442" s="76"/>
      <c r="B442" s="78" t="s">
        <v>1807</v>
      </c>
      <c r="C442" s="78" t="s">
        <v>1489</v>
      </c>
      <c r="D442" s="78" t="s">
        <v>585</v>
      </c>
      <c r="E442" s="78" t="s">
        <v>1792</v>
      </c>
      <c r="F442" s="78" t="s">
        <v>1808</v>
      </c>
      <c r="G442" s="78" t="s">
        <v>1513</v>
      </c>
      <c r="H442" s="77"/>
      <c r="I442" s="226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9"/>
    </row>
    <row r="443" spans="1:31" x14ac:dyDescent="0.3">
      <c r="A443" s="76"/>
      <c r="B443" s="78" t="s">
        <v>1809</v>
      </c>
      <c r="C443" s="78" t="s">
        <v>1489</v>
      </c>
      <c r="D443" s="78" t="s">
        <v>586</v>
      </c>
      <c r="E443" s="78" t="s">
        <v>1508</v>
      </c>
      <c r="F443" s="78" t="s">
        <v>1718</v>
      </c>
      <c r="G443" s="78" t="s">
        <v>1513</v>
      </c>
      <c r="H443" s="77"/>
      <c r="I443" s="226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9"/>
    </row>
    <row r="444" spans="1:31" ht="15" thickBot="1" x14ac:dyDescent="0.35">
      <c r="A444" s="81"/>
      <c r="B444" s="82" t="s">
        <v>1810</v>
      </c>
      <c r="C444" s="82" t="s">
        <v>1489</v>
      </c>
      <c r="D444" s="82" t="s">
        <v>579</v>
      </c>
      <c r="E444" s="82" t="s">
        <v>1800</v>
      </c>
      <c r="F444" s="82" t="s">
        <v>1565</v>
      </c>
      <c r="G444" s="82" t="s">
        <v>1513</v>
      </c>
      <c r="H444" s="83"/>
      <c r="I444" s="227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4"/>
    </row>
    <row r="445" spans="1:31" x14ac:dyDescent="0.3">
      <c r="A445" s="72" t="s">
        <v>396</v>
      </c>
      <c r="B445" s="73" t="s">
        <v>1811</v>
      </c>
      <c r="C445" s="74" t="s">
        <v>1479</v>
      </c>
      <c r="D445" s="74" t="s">
        <v>397</v>
      </c>
      <c r="E445" s="74" t="s">
        <v>1480</v>
      </c>
      <c r="F445" s="74"/>
      <c r="G445" s="74" t="s">
        <v>1481</v>
      </c>
      <c r="H445" s="73" t="s">
        <v>1575</v>
      </c>
      <c r="I445" s="225">
        <v>28</v>
      </c>
      <c r="J445" s="73" t="s">
        <v>395</v>
      </c>
      <c r="K445" s="73">
        <v>48</v>
      </c>
      <c r="L445" s="73" t="s">
        <v>320</v>
      </c>
      <c r="M445" s="73" t="s">
        <v>1483</v>
      </c>
      <c r="N445" s="73" t="s">
        <v>1483</v>
      </c>
      <c r="O445" s="73" t="s">
        <v>1483</v>
      </c>
      <c r="P445" s="73" t="s">
        <v>1483</v>
      </c>
      <c r="Q445" s="73" t="s">
        <v>1483</v>
      </c>
      <c r="R445" s="73" t="s">
        <v>1483</v>
      </c>
      <c r="S445" s="73" t="s">
        <v>1484</v>
      </c>
      <c r="T445" s="73" t="s">
        <v>1484</v>
      </c>
      <c r="U445" s="73" t="s">
        <v>1484</v>
      </c>
      <c r="V445" s="73" t="s">
        <v>1484</v>
      </c>
      <c r="W445" s="73" t="s">
        <v>1485</v>
      </c>
      <c r="X445" s="73" t="s">
        <v>1484</v>
      </c>
      <c r="Y445" s="73" t="s">
        <v>1484</v>
      </c>
      <c r="Z445" s="73" t="s">
        <v>1484</v>
      </c>
      <c r="AA445" s="73" t="s">
        <v>1485</v>
      </c>
      <c r="AB445" s="73" t="s">
        <v>1484</v>
      </c>
      <c r="AC445" s="73" t="s">
        <v>1486</v>
      </c>
      <c r="AD445" s="73" t="s">
        <v>1487</v>
      </c>
      <c r="AE445" s="75" t="s">
        <v>1579</v>
      </c>
    </row>
    <row r="446" spans="1:31" x14ac:dyDescent="0.3">
      <c r="A446" s="76"/>
      <c r="B446" s="77"/>
      <c r="C446" s="78" t="s">
        <v>1489</v>
      </c>
      <c r="D446" s="78" t="s">
        <v>398</v>
      </c>
      <c r="E446" s="78" t="s">
        <v>1749</v>
      </c>
      <c r="F446" s="78" t="s">
        <v>1812</v>
      </c>
      <c r="G446" s="78" t="s">
        <v>1492</v>
      </c>
      <c r="H446" s="77"/>
      <c r="I446" s="226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9"/>
    </row>
    <row r="447" spans="1:31" x14ac:dyDescent="0.3">
      <c r="A447" s="76"/>
      <c r="B447" s="77"/>
      <c r="C447" s="78" t="s">
        <v>1493</v>
      </c>
      <c r="D447" s="78" t="s">
        <v>399</v>
      </c>
      <c r="E447" s="78" t="s">
        <v>1494</v>
      </c>
      <c r="F447" s="78" t="s">
        <v>1495</v>
      </c>
      <c r="G447" s="78" t="s">
        <v>1492</v>
      </c>
      <c r="H447" s="77"/>
      <c r="I447" s="226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9"/>
    </row>
    <row r="448" spans="1:31" x14ac:dyDescent="0.3">
      <c r="A448" s="76"/>
      <c r="B448" s="77"/>
      <c r="C448" s="78" t="s">
        <v>1496</v>
      </c>
      <c r="D448" s="78" t="s">
        <v>280</v>
      </c>
      <c r="E448" s="78" t="s">
        <v>1505</v>
      </c>
      <c r="F448" s="78" t="s">
        <v>1619</v>
      </c>
      <c r="G448" s="78" t="s">
        <v>1492</v>
      </c>
      <c r="H448" s="77"/>
      <c r="I448" s="226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9"/>
    </row>
    <row r="449" spans="1:31" x14ac:dyDescent="0.3">
      <c r="A449" s="76"/>
      <c r="B449" s="77"/>
      <c r="C449" s="78" t="s">
        <v>1502</v>
      </c>
      <c r="D449" s="78" t="s">
        <v>288</v>
      </c>
      <c r="E449" s="78" t="s">
        <v>1749</v>
      </c>
      <c r="F449" s="78" t="s">
        <v>1813</v>
      </c>
      <c r="G449" s="78" t="s">
        <v>1492</v>
      </c>
      <c r="H449" s="77"/>
      <c r="I449" s="226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9"/>
    </row>
    <row r="450" spans="1:31" x14ac:dyDescent="0.3">
      <c r="A450" s="76"/>
      <c r="B450" s="80"/>
      <c r="C450" s="78" t="s">
        <v>1504</v>
      </c>
      <c r="D450" s="78" t="s">
        <v>235</v>
      </c>
      <c r="E450" s="78" t="s">
        <v>1503</v>
      </c>
      <c r="F450" s="78" t="s">
        <v>1495</v>
      </c>
      <c r="G450" s="78" t="s">
        <v>1492</v>
      </c>
      <c r="H450" s="77"/>
      <c r="I450" s="226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9"/>
    </row>
    <row r="451" spans="1:31" x14ac:dyDescent="0.3">
      <c r="A451" s="76"/>
      <c r="B451" s="78" t="s">
        <v>1814</v>
      </c>
      <c r="C451" s="78" t="s">
        <v>1489</v>
      </c>
      <c r="D451" s="78" t="s">
        <v>152</v>
      </c>
      <c r="E451" s="78" t="s">
        <v>1480</v>
      </c>
      <c r="F451" s="78" t="s">
        <v>1518</v>
      </c>
      <c r="G451" s="78" t="s">
        <v>1513</v>
      </c>
      <c r="H451" s="85"/>
      <c r="I451" s="226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9"/>
    </row>
    <row r="452" spans="1:31" x14ac:dyDescent="0.3">
      <c r="A452" s="76"/>
      <c r="B452" s="78" t="s">
        <v>1815</v>
      </c>
      <c r="C452" s="78" t="s">
        <v>1489</v>
      </c>
      <c r="D452" s="78" t="s">
        <v>399</v>
      </c>
      <c r="E452" s="78" t="s">
        <v>1494</v>
      </c>
      <c r="F452" s="78" t="s">
        <v>1495</v>
      </c>
      <c r="G452" s="78" t="s">
        <v>1513</v>
      </c>
      <c r="H452" s="85"/>
      <c r="I452" s="226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9"/>
    </row>
    <row r="453" spans="1:31" x14ac:dyDescent="0.3">
      <c r="A453" s="76"/>
      <c r="B453" s="78" t="s">
        <v>1756</v>
      </c>
      <c r="C453" s="78" t="s">
        <v>1504</v>
      </c>
      <c r="D453" s="78" t="s">
        <v>235</v>
      </c>
      <c r="E453" s="78" t="s">
        <v>1503</v>
      </c>
      <c r="F453" s="78" t="s">
        <v>1495</v>
      </c>
      <c r="G453" s="78" t="s">
        <v>1513</v>
      </c>
      <c r="H453" s="77"/>
      <c r="I453" s="226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9"/>
    </row>
    <row r="454" spans="1:31" x14ac:dyDescent="0.3">
      <c r="A454" s="76"/>
      <c r="B454" s="78" t="s">
        <v>1767</v>
      </c>
      <c r="C454" s="78" t="s">
        <v>1493</v>
      </c>
      <c r="D454" s="78" t="s">
        <v>280</v>
      </c>
      <c r="E454" s="78" t="s">
        <v>1505</v>
      </c>
      <c r="F454" s="78" t="s">
        <v>1619</v>
      </c>
      <c r="G454" s="78" t="s">
        <v>1513</v>
      </c>
      <c r="H454" s="77"/>
      <c r="I454" s="226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9"/>
    </row>
    <row r="455" spans="1:31" x14ac:dyDescent="0.3">
      <c r="A455" s="76"/>
      <c r="B455" s="78" t="s">
        <v>1816</v>
      </c>
      <c r="C455" s="78" t="s">
        <v>1489</v>
      </c>
      <c r="D455" s="78" t="s">
        <v>288</v>
      </c>
      <c r="E455" s="78" t="s">
        <v>1749</v>
      </c>
      <c r="F455" s="78" t="s">
        <v>1813</v>
      </c>
      <c r="G455" s="78" t="s">
        <v>1513</v>
      </c>
      <c r="H455" s="77"/>
      <c r="I455" s="226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9"/>
    </row>
    <row r="456" spans="1:31" ht="15" thickBot="1" x14ac:dyDescent="0.35">
      <c r="A456" s="81"/>
      <c r="B456" s="82" t="s">
        <v>1817</v>
      </c>
      <c r="C456" s="82" t="s">
        <v>1489</v>
      </c>
      <c r="D456" s="82" t="s">
        <v>400</v>
      </c>
      <c r="E456" s="82" t="s">
        <v>1508</v>
      </c>
      <c r="F456" s="82" t="s">
        <v>1718</v>
      </c>
      <c r="G456" s="82" t="s">
        <v>1513</v>
      </c>
      <c r="H456" s="83"/>
      <c r="I456" s="227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4"/>
    </row>
    <row r="457" spans="1:31" x14ac:dyDescent="0.3">
      <c r="A457" s="72" t="s">
        <v>389</v>
      </c>
      <c r="B457" s="73" t="s">
        <v>1818</v>
      </c>
      <c r="C457" s="74" t="s">
        <v>1479</v>
      </c>
      <c r="D457" s="74" t="s">
        <v>390</v>
      </c>
      <c r="E457" s="74" t="s">
        <v>1480</v>
      </c>
      <c r="F457" s="74"/>
      <c r="G457" s="74" t="s">
        <v>1481</v>
      </c>
      <c r="H457" s="73" t="s">
        <v>1575</v>
      </c>
      <c r="I457" s="225">
        <v>27</v>
      </c>
      <c r="J457" s="73" t="s">
        <v>388</v>
      </c>
      <c r="K457" s="73">
        <v>47</v>
      </c>
      <c r="L457" s="73" t="s">
        <v>320</v>
      </c>
      <c r="M457" s="73" t="s">
        <v>1483</v>
      </c>
      <c r="N457" s="73" t="s">
        <v>1483</v>
      </c>
      <c r="O457" s="73" t="s">
        <v>1483</v>
      </c>
      <c r="P457" s="73" t="s">
        <v>1483</v>
      </c>
      <c r="Q457" s="73" t="s">
        <v>1483</v>
      </c>
      <c r="R457" s="73" t="s">
        <v>1483</v>
      </c>
      <c r="S457" s="73" t="s">
        <v>1484</v>
      </c>
      <c r="T457" s="73" t="s">
        <v>1484</v>
      </c>
      <c r="U457" s="73" t="s">
        <v>1484</v>
      </c>
      <c r="V457" s="73" t="s">
        <v>1484</v>
      </c>
      <c r="W457" s="73" t="s">
        <v>1485</v>
      </c>
      <c r="X457" s="73" t="s">
        <v>1484</v>
      </c>
      <c r="Y457" s="73" t="s">
        <v>1484</v>
      </c>
      <c r="Z457" s="73" t="s">
        <v>1484</v>
      </c>
      <c r="AA457" s="73" t="s">
        <v>1485</v>
      </c>
      <c r="AB457" s="73" t="s">
        <v>1484</v>
      </c>
      <c r="AC457" s="73" t="s">
        <v>1486</v>
      </c>
      <c r="AD457" s="73" t="s">
        <v>1487</v>
      </c>
      <c r="AE457" s="75" t="s">
        <v>1579</v>
      </c>
    </row>
    <row r="458" spans="1:31" x14ac:dyDescent="0.3">
      <c r="A458" s="76"/>
      <c r="B458" s="77"/>
      <c r="C458" s="78" t="s">
        <v>1489</v>
      </c>
      <c r="D458" s="78" t="s">
        <v>391</v>
      </c>
      <c r="E458" s="78" t="s">
        <v>1749</v>
      </c>
      <c r="F458" s="78" t="s">
        <v>1812</v>
      </c>
      <c r="G458" s="78" t="s">
        <v>1492</v>
      </c>
      <c r="H458" s="77"/>
      <c r="I458" s="226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9"/>
    </row>
    <row r="459" spans="1:31" x14ac:dyDescent="0.3">
      <c r="A459" s="76"/>
      <c r="B459" s="77"/>
      <c r="C459" s="78" t="s">
        <v>1493</v>
      </c>
      <c r="D459" s="78" t="s">
        <v>392</v>
      </c>
      <c r="E459" s="78" t="s">
        <v>1494</v>
      </c>
      <c r="F459" s="78" t="s">
        <v>1495</v>
      </c>
      <c r="G459" s="78" t="s">
        <v>1492</v>
      </c>
      <c r="H459" s="77"/>
      <c r="I459" s="22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9"/>
    </row>
    <row r="460" spans="1:31" x14ac:dyDescent="0.3">
      <c r="A460" s="76"/>
      <c r="B460" s="77"/>
      <c r="C460" s="78" t="s">
        <v>1496</v>
      </c>
      <c r="D460" s="78" t="s">
        <v>324</v>
      </c>
      <c r="E460" s="78" t="s">
        <v>1505</v>
      </c>
      <c r="F460" s="78" t="s">
        <v>1528</v>
      </c>
      <c r="G460" s="78" t="s">
        <v>1492</v>
      </c>
      <c r="H460" s="77"/>
      <c r="I460" s="226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9"/>
    </row>
    <row r="461" spans="1:31" x14ac:dyDescent="0.3">
      <c r="A461" s="76"/>
      <c r="B461" s="77"/>
      <c r="C461" s="78" t="s">
        <v>1499</v>
      </c>
      <c r="D461" s="78" t="s">
        <v>166</v>
      </c>
      <c r="E461" s="78" t="s">
        <v>1505</v>
      </c>
      <c r="F461" s="78" t="s">
        <v>1631</v>
      </c>
      <c r="G461" s="78" t="s">
        <v>1492</v>
      </c>
      <c r="H461" s="77"/>
      <c r="I461" s="226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9"/>
    </row>
    <row r="462" spans="1:31" x14ac:dyDescent="0.3">
      <c r="A462" s="76"/>
      <c r="B462" s="77"/>
      <c r="C462" s="78" t="s">
        <v>1502</v>
      </c>
      <c r="D462" s="78" t="s">
        <v>333</v>
      </c>
      <c r="E462" s="78" t="s">
        <v>1591</v>
      </c>
      <c r="F462" s="78" t="s">
        <v>1819</v>
      </c>
      <c r="G462" s="78" t="s">
        <v>1492</v>
      </c>
      <c r="H462" s="77"/>
      <c r="I462" s="226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9"/>
    </row>
    <row r="463" spans="1:31" x14ac:dyDescent="0.3">
      <c r="A463" s="76"/>
      <c r="B463" s="77"/>
      <c r="C463" s="78" t="s">
        <v>1504</v>
      </c>
      <c r="D463" s="78" t="s">
        <v>252</v>
      </c>
      <c r="E463" s="78" t="s">
        <v>1503</v>
      </c>
      <c r="F463" s="78" t="s">
        <v>1495</v>
      </c>
      <c r="G463" s="78" t="s">
        <v>1492</v>
      </c>
      <c r="H463" s="77"/>
      <c r="I463" s="226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9"/>
    </row>
    <row r="464" spans="1:31" x14ac:dyDescent="0.3">
      <c r="A464" s="76"/>
      <c r="B464" s="80"/>
      <c r="C464" s="78" t="s">
        <v>1507</v>
      </c>
      <c r="D464" s="78" t="s">
        <v>262</v>
      </c>
      <c r="E464" s="78" t="s">
        <v>1749</v>
      </c>
      <c r="F464" s="78" t="s">
        <v>1820</v>
      </c>
      <c r="G464" s="78" t="s">
        <v>1492</v>
      </c>
      <c r="H464" s="77"/>
      <c r="I464" s="226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9"/>
    </row>
    <row r="465" spans="1:31" x14ac:dyDescent="0.3">
      <c r="A465" s="76"/>
      <c r="B465" s="78" t="s">
        <v>1821</v>
      </c>
      <c r="C465" s="78" t="s">
        <v>1489</v>
      </c>
      <c r="D465" s="78" t="s">
        <v>220</v>
      </c>
      <c r="E465" s="78" t="s">
        <v>1480</v>
      </c>
      <c r="F465" s="78" t="s">
        <v>1518</v>
      </c>
      <c r="G465" s="78" t="s">
        <v>1513</v>
      </c>
      <c r="H465" s="85"/>
      <c r="I465" s="226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9"/>
    </row>
    <row r="466" spans="1:31" x14ac:dyDescent="0.3">
      <c r="A466" s="76"/>
      <c r="B466" s="78" t="s">
        <v>1822</v>
      </c>
      <c r="C466" s="78" t="s">
        <v>1489</v>
      </c>
      <c r="D466" s="78" t="s">
        <v>392</v>
      </c>
      <c r="E466" s="78" t="s">
        <v>1494</v>
      </c>
      <c r="F466" s="78" t="s">
        <v>1495</v>
      </c>
      <c r="G466" s="78" t="s">
        <v>1513</v>
      </c>
      <c r="H466" s="85"/>
      <c r="I466" s="226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9"/>
    </row>
    <row r="467" spans="1:31" x14ac:dyDescent="0.3">
      <c r="A467" s="76"/>
      <c r="B467" s="78" t="s">
        <v>1613</v>
      </c>
      <c r="C467" s="78" t="s">
        <v>1502</v>
      </c>
      <c r="D467" s="78" t="s">
        <v>252</v>
      </c>
      <c r="E467" s="78" t="s">
        <v>1503</v>
      </c>
      <c r="F467" s="78" t="s">
        <v>1495</v>
      </c>
      <c r="G467" s="78" t="s">
        <v>1513</v>
      </c>
      <c r="H467" s="77"/>
      <c r="I467" s="226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9"/>
    </row>
    <row r="468" spans="1:31" x14ac:dyDescent="0.3">
      <c r="A468" s="76"/>
      <c r="B468" s="78" t="s">
        <v>1754</v>
      </c>
      <c r="C468" s="78" t="s">
        <v>1493</v>
      </c>
      <c r="D468" s="78" t="s">
        <v>166</v>
      </c>
      <c r="E468" s="78" t="s">
        <v>1505</v>
      </c>
      <c r="F468" s="78" t="s">
        <v>1631</v>
      </c>
      <c r="G468" s="78" t="s">
        <v>1513</v>
      </c>
      <c r="H468" s="77"/>
      <c r="I468" s="226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9"/>
    </row>
    <row r="469" spans="1:31" x14ac:dyDescent="0.3">
      <c r="A469" s="76"/>
      <c r="B469" s="78" t="s">
        <v>1615</v>
      </c>
      <c r="C469" s="78" t="s">
        <v>1489</v>
      </c>
      <c r="D469" s="78" t="s">
        <v>324</v>
      </c>
      <c r="E469" s="78" t="s">
        <v>1505</v>
      </c>
      <c r="F469" s="78" t="s">
        <v>1528</v>
      </c>
      <c r="G469" s="78" t="s">
        <v>1513</v>
      </c>
      <c r="H469" s="77"/>
      <c r="I469" s="226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9"/>
    </row>
    <row r="470" spans="1:31" ht="15" thickBot="1" x14ac:dyDescent="0.35">
      <c r="A470" s="81"/>
      <c r="B470" s="82" t="s">
        <v>1823</v>
      </c>
      <c r="C470" s="82" t="s">
        <v>1489</v>
      </c>
      <c r="D470" s="82" t="s">
        <v>393</v>
      </c>
      <c r="E470" s="82" t="s">
        <v>1508</v>
      </c>
      <c r="F470" s="82" t="s">
        <v>1718</v>
      </c>
      <c r="G470" s="82" t="s">
        <v>1513</v>
      </c>
      <c r="H470" s="83"/>
      <c r="I470" s="227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4"/>
    </row>
    <row r="471" spans="1:31" x14ac:dyDescent="0.3">
      <c r="A471" s="72" t="s">
        <v>922</v>
      </c>
      <c r="B471" s="73" t="s">
        <v>1824</v>
      </c>
      <c r="C471" s="74" t="s">
        <v>1479</v>
      </c>
      <c r="D471" s="74" t="s">
        <v>923</v>
      </c>
      <c r="E471" s="74" t="s">
        <v>1480</v>
      </c>
      <c r="F471" s="74"/>
      <c r="G471" s="74" t="s">
        <v>1481</v>
      </c>
      <c r="H471" s="73" t="s">
        <v>1482</v>
      </c>
      <c r="I471" s="225">
        <v>77</v>
      </c>
      <c r="J471" s="73" t="s">
        <v>921</v>
      </c>
      <c r="K471" s="73">
        <v>133</v>
      </c>
      <c r="L471" s="73" t="s">
        <v>195</v>
      </c>
      <c r="M471" s="73" t="s">
        <v>1483</v>
      </c>
      <c r="N471" s="73" t="s">
        <v>1483</v>
      </c>
      <c r="O471" s="73" t="s">
        <v>1483</v>
      </c>
      <c r="P471" s="73" t="s">
        <v>1483</v>
      </c>
      <c r="Q471" s="73" t="s">
        <v>1483</v>
      </c>
      <c r="R471" s="73" t="s">
        <v>1483</v>
      </c>
      <c r="S471" s="73" t="s">
        <v>1484</v>
      </c>
      <c r="T471" s="73" t="s">
        <v>1484</v>
      </c>
      <c r="U471" s="73" t="s">
        <v>1484</v>
      </c>
      <c r="V471" s="73" t="s">
        <v>1484</v>
      </c>
      <c r="W471" s="73" t="s">
        <v>1485</v>
      </c>
      <c r="X471" s="73" t="s">
        <v>1484</v>
      </c>
      <c r="Y471" s="73" t="s">
        <v>1484</v>
      </c>
      <c r="Z471" s="73" t="s">
        <v>1485</v>
      </c>
      <c r="AA471" s="73" t="s">
        <v>1485</v>
      </c>
      <c r="AB471" s="73" t="s">
        <v>1484</v>
      </c>
      <c r="AC471" s="73" t="s">
        <v>1486</v>
      </c>
      <c r="AD471" s="73" t="s">
        <v>1487</v>
      </c>
      <c r="AE471" s="75" t="s">
        <v>1488</v>
      </c>
    </row>
    <row r="472" spans="1:31" x14ac:dyDescent="0.3">
      <c r="A472" s="76"/>
      <c r="B472" s="77"/>
      <c r="C472" s="78" t="s">
        <v>1489</v>
      </c>
      <c r="D472" s="78" t="s">
        <v>702</v>
      </c>
      <c r="E472" s="78" t="s">
        <v>1490</v>
      </c>
      <c r="F472" s="78" t="s">
        <v>1631</v>
      </c>
      <c r="G472" s="78" t="s">
        <v>1492</v>
      </c>
      <c r="H472" s="77"/>
      <c r="I472" s="226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9"/>
    </row>
    <row r="473" spans="1:31" x14ac:dyDescent="0.3">
      <c r="A473" s="76"/>
      <c r="B473" s="77"/>
      <c r="C473" s="78" t="s">
        <v>1493</v>
      </c>
      <c r="D473" s="78" t="s">
        <v>290</v>
      </c>
      <c r="E473" s="78" t="s">
        <v>1503</v>
      </c>
      <c r="F473" s="78" t="s">
        <v>1495</v>
      </c>
      <c r="G473" s="78" t="s">
        <v>1492</v>
      </c>
      <c r="H473" s="77"/>
      <c r="I473" s="226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9"/>
    </row>
    <row r="474" spans="1:31" x14ac:dyDescent="0.3">
      <c r="A474" s="76"/>
      <c r="B474" s="77"/>
      <c r="C474" s="78" t="s">
        <v>1502</v>
      </c>
      <c r="D474" s="78" t="s">
        <v>885</v>
      </c>
      <c r="E474" s="78" t="s">
        <v>1497</v>
      </c>
      <c r="F474" s="78" t="s">
        <v>1498</v>
      </c>
      <c r="G474" s="78" t="s">
        <v>1492</v>
      </c>
      <c r="H474" s="77"/>
      <c r="I474" s="226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9"/>
    </row>
    <row r="475" spans="1:31" x14ac:dyDescent="0.3">
      <c r="A475" s="76"/>
      <c r="B475" s="77"/>
      <c r="C475" s="78" t="s">
        <v>1504</v>
      </c>
      <c r="D475" s="78" t="s">
        <v>924</v>
      </c>
      <c r="E475" s="78" t="s">
        <v>1505</v>
      </c>
      <c r="F475" s="78" t="s">
        <v>1661</v>
      </c>
      <c r="G475" s="78" t="s">
        <v>1492</v>
      </c>
      <c r="H475" s="77"/>
      <c r="I475" s="226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9"/>
    </row>
    <row r="476" spans="1:31" x14ac:dyDescent="0.3">
      <c r="A476" s="76"/>
      <c r="B476" s="80"/>
      <c r="C476" s="78" t="s">
        <v>1507</v>
      </c>
      <c r="D476" s="78" t="s">
        <v>884</v>
      </c>
      <c r="E476" s="78" t="s">
        <v>1500</v>
      </c>
      <c r="F476" s="78" t="s">
        <v>1501</v>
      </c>
      <c r="G476" s="78" t="s">
        <v>1492</v>
      </c>
      <c r="H476" s="77"/>
      <c r="I476" s="226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9"/>
    </row>
    <row r="477" spans="1:31" x14ac:dyDescent="0.3">
      <c r="A477" s="76"/>
      <c r="B477" s="78" t="s">
        <v>1485</v>
      </c>
      <c r="C477" s="78" t="s">
        <v>1485</v>
      </c>
      <c r="D477" s="78" t="s">
        <v>1825</v>
      </c>
      <c r="E477" s="78" t="s">
        <v>1632</v>
      </c>
      <c r="F477" s="78" t="s">
        <v>1516</v>
      </c>
      <c r="G477" s="78" t="s">
        <v>1513</v>
      </c>
      <c r="H477" s="77"/>
      <c r="I477" s="226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9"/>
    </row>
    <row r="478" spans="1:31" x14ac:dyDescent="0.3">
      <c r="A478" s="76"/>
      <c r="B478" s="78" t="s">
        <v>1485</v>
      </c>
      <c r="C478" s="78" t="s">
        <v>1485</v>
      </c>
      <c r="D478" s="78" t="s">
        <v>1826</v>
      </c>
      <c r="E478" s="78" t="s">
        <v>1511</v>
      </c>
      <c r="F478" s="78" t="s">
        <v>1549</v>
      </c>
      <c r="G478" s="78" t="s">
        <v>1513</v>
      </c>
      <c r="H478" s="77"/>
      <c r="I478" s="226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9"/>
    </row>
    <row r="479" spans="1:31" x14ac:dyDescent="0.3">
      <c r="A479" s="76"/>
      <c r="B479" s="78" t="s">
        <v>1485</v>
      </c>
      <c r="C479" s="78" t="s">
        <v>1485</v>
      </c>
      <c r="D479" s="78" t="s">
        <v>1827</v>
      </c>
      <c r="E479" s="78" t="s">
        <v>1534</v>
      </c>
      <c r="F479" s="78" t="s">
        <v>1535</v>
      </c>
      <c r="G479" s="78" t="s">
        <v>1513</v>
      </c>
      <c r="H479" s="77"/>
      <c r="I479" s="226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9"/>
    </row>
    <row r="480" spans="1:31" x14ac:dyDescent="0.3">
      <c r="A480" s="76"/>
      <c r="B480" s="78" t="s">
        <v>1828</v>
      </c>
      <c r="C480" s="78" t="s">
        <v>1489</v>
      </c>
      <c r="D480" s="78" t="s">
        <v>82</v>
      </c>
      <c r="E480" s="78" t="s">
        <v>1480</v>
      </c>
      <c r="F480" s="78" t="s">
        <v>1518</v>
      </c>
      <c r="G480" s="78" t="s">
        <v>1513</v>
      </c>
      <c r="H480" s="77"/>
      <c r="I480" s="226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9"/>
    </row>
    <row r="481" spans="1:31" x14ac:dyDescent="0.3">
      <c r="A481" s="76"/>
      <c r="B481" s="78" t="s">
        <v>1829</v>
      </c>
      <c r="C481" s="78" t="s">
        <v>1504</v>
      </c>
      <c r="D481" s="78" t="s">
        <v>290</v>
      </c>
      <c r="E481" s="78" t="s">
        <v>1503</v>
      </c>
      <c r="F481" s="78" t="s">
        <v>1495</v>
      </c>
      <c r="G481" s="78" t="s">
        <v>1513</v>
      </c>
      <c r="H481" s="77"/>
      <c r="I481" s="226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9"/>
    </row>
    <row r="482" spans="1:31" x14ac:dyDescent="0.3">
      <c r="A482" s="76"/>
      <c r="B482" s="78" t="s">
        <v>1830</v>
      </c>
      <c r="C482" s="78" t="s">
        <v>1489</v>
      </c>
      <c r="D482" s="78" t="s">
        <v>884</v>
      </c>
      <c r="E482" s="78" t="s">
        <v>1500</v>
      </c>
      <c r="F482" s="78" t="s">
        <v>1501</v>
      </c>
      <c r="G482" s="78" t="s">
        <v>1513</v>
      </c>
      <c r="H482" s="77"/>
      <c r="I482" s="226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9"/>
    </row>
    <row r="483" spans="1:31" x14ac:dyDescent="0.3">
      <c r="A483" s="76"/>
      <c r="B483" s="78" t="s">
        <v>1831</v>
      </c>
      <c r="C483" s="78" t="s">
        <v>1489</v>
      </c>
      <c r="D483" s="78" t="s">
        <v>924</v>
      </c>
      <c r="E483" s="78" t="s">
        <v>1505</v>
      </c>
      <c r="F483" s="78" t="s">
        <v>1661</v>
      </c>
      <c r="G483" s="78" t="s">
        <v>1513</v>
      </c>
      <c r="H483" s="77"/>
      <c r="I483" s="226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9"/>
    </row>
    <row r="484" spans="1:31" ht="15" thickBot="1" x14ac:dyDescent="0.35">
      <c r="A484" s="81"/>
      <c r="B484" s="82" t="s">
        <v>1832</v>
      </c>
      <c r="C484" s="82" t="s">
        <v>1493</v>
      </c>
      <c r="D484" s="82" t="s">
        <v>702</v>
      </c>
      <c r="E484" s="82" t="s">
        <v>1490</v>
      </c>
      <c r="F484" s="82" t="s">
        <v>1631</v>
      </c>
      <c r="G484" s="82" t="s">
        <v>1513</v>
      </c>
      <c r="H484" s="83"/>
      <c r="I484" s="227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4"/>
    </row>
    <row r="485" spans="1:31" x14ac:dyDescent="0.3">
      <c r="A485" s="72" t="s">
        <v>904</v>
      </c>
      <c r="B485" s="73" t="s">
        <v>1833</v>
      </c>
      <c r="C485" s="74" t="s">
        <v>1479</v>
      </c>
      <c r="D485" s="74" t="s">
        <v>905</v>
      </c>
      <c r="E485" s="74" t="s">
        <v>1480</v>
      </c>
      <c r="F485" s="74"/>
      <c r="G485" s="74" t="s">
        <v>1481</v>
      </c>
      <c r="H485" s="73" t="s">
        <v>1482</v>
      </c>
      <c r="I485" s="225">
        <v>76</v>
      </c>
      <c r="J485" s="73" t="s">
        <v>903</v>
      </c>
      <c r="K485" s="73">
        <v>130</v>
      </c>
      <c r="L485" s="73" t="s">
        <v>195</v>
      </c>
      <c r="M485" s="73" t="s">
        <v>1483</v>
      </c>
      <c r="N485" s="73" t="s">
        <v>1483</v>
      </c>
      <c r="O485" s="73" t="s">
        <v>1483</v>
      </c>
      <c r="P485" s="73" t="s">
        <v>1483</v>
      </c>
      <c r="Q485" s="73" t="s">
        <v>1483</v>
      </c>
      <c r="R485" s="73" t="s">
        <v>1483</v>
      </c>
      <c r="S485" s="73" t="s">
        <v>1484</v>
      </c>
      <c r="T485" s="73" t="s">
        <v>1484</v>
      </c>
      <c r="U485" s="73" t="s">
        <v>1484</v>
      </c>
      <c r="V485" s="73" t="s">
        <v>1484</v>
      </c>
      <c r="W485" s="73" t="s">
        <v>1485</v>
      </c>
      <c r="X485" s="73" t="s">
        <v>1484</v>
      </c>
      <c r="Y485" s="73" t="s">
        <v>1484</v>
      </c>
      <c r="Z485" s="73" t="s">
        <v>1485</v>
      </c>
      <c r="AA485" s="73" t="s">
        <v>1485</v>
      </c>
      <c r="AB485" s="73" t="s">
        <v>1484</v>
      </c>
      <c r="AC485" s="73" t="s">
        <v>1486</v>
      </c>
      <c r="AD485" s="73" t="s">
        <v>1487</v>
      </c>
      <c r="AE485" s="75" t="s">
        <v>1488</v>
      </c>
    </row>
    <row r="486" spans="1:31" x14ac:dyDescent="0.3">
      <c r="A486" s="76"/>
      <c r="B486" s="77"/>
      <c r="C486" s="78" t="s">
        <v>1489</v>
      </c>
      <c r="D486" s="78" t="s">
        <v>687</v>
      </c>
      <c r="E486" s="78" t="s">
        <v>1490</v>
      </c>
      <c r="F486" s="78" t="s">
        <v>1619</v>
      </c>
      <c r="G486" s="78" t="s">
        <v>1492</v>
      </c>
      <c r="H486" s="77"/>
      <c r="I486" s="226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9"/>
    </row>
    <row r="487" spans="1:31" x14ac:dyDescent="0.3">
      <c r="A487" s="76"/>
      <c r="B487" s="77"/>
      <c r="C487" s="78" t="s">
        <v>1493</v>
      </c>
      <c r="D487" s="78" t="s">
        <v>28</v>
      </c>
      <c r="E487" s="78" t="s">
        <v>1503</v>
      </c>
      <c r="F487" s="78" t="s">
        <v>1495</v>
      </c>
      <c r="G487" s="78" t="s">
        <v>1492</v>
      </c>
      <c r="H487" s="77"/>
      <c r="I487" s="226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9"/>
    </row>
    <row r="488" spans="1:31" x14ac:dyDescent="0.3">
      <c r="A488" s="76"/>
      <c r="B488" s="77"/>
      <c r="C488" s="78" t="s">
        <v>1504</v>
      </c>
      <c r="D488" s="78" t="s">
        <v>866</v>
      </c>
      <c r="E488" s="78" t="s">
        <v>1497</v>
      </c>
      <c r="F488" s="78" t="s">
        <v>1498</v>
      </c>
      <c r="G488" s="78" t="s">
        <v>1492</v>
      </c>
      <c r="H488" s="77"/>
      <c r="I488" s="226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9"/>
    </row>
    <row r="489" spans="1:31" x14ac:dyDescent="0.3">
      <c r="A489" s="76"/>
      <c r="B489" s="80"/>
      <c r="C489" s="78" t="s">
        <v>1507</v>
      </c>
      <c r="D489" s="78" t="s">
        <v>865</v>
      </c>
      <c r="E489" s="78" t="s">
        <v>1500</v>
      </c>
      <c r="F489" s="78" t="s">
        <v>1501</v>
      </c>
      <c r="G489" s="78" t="s">
        <v>1492</v>
      </c>
      <c r="H489" s="77"/>
      <c r="I489" s="226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9"/>
    </row>
    <row r="490" spans="1:31" x14ac:dyDescent="0.3">
      <c r="A490" s="76"/>
      <c r="B490" s="78" t="s">
        <v>1485</v>
      </c>
      <c r="C490" s="78" t="s">
        <v>1485</v>
      </c>
      <c r="D490" s="78" t="s">
        <v>1834</v>
      </c>
      <c r="E490" s="78" t="s">
        <v>1632</v>
      </c>
      <c r="F490" s="78" t="s">
        <v>1516</v>
      </c>
      <c r="G490" s="78" t="s">
        <v>1513</v>
      </c>
      <c r="H490" s="77"/>
      <c r="I490" s="226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9"/>
    </row>
    <row r="491" spans="1:31" x14ac:dyDescent="0.3">
      <c r="A491" s="76"/>
      <c r="B491" s="78" t="s">
        <v>1485</v>
      </c>
      <c r="C491" s="78" t="s">
        <v>1485</v>
      </c>
      <c r="D491" s="78" t="s">
        <v>1835</v>
      </c>
      <c r="E491" s="78" t="s">
        <v>1511</v>
      </c>
      <c r="F491" s="78" t="s">
        <v>1549</v>
      </c>
      <c r="G491" s="78" t="s">
        <v>1513</v>
      </c>
      <c r="H491" s="77"/>
      <c r="I491" s="226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9"/>
    </row>
    <row r="492" spans="1:31" x14ac:dyDescent="0.3">
      <c r="A492" s="76"/>
      <c r="B492" s="78" t="s">
        <v>1485</v>
      </c>
      <c r="C492" s="78" t="s">
        <v>1485</v>
      </c>
      <c r="D492" s="78" t="s">
        <v>1836</v>
      </c>
      <c r="E492" s="78" t="s">
        <v>1534</v>
      </c>
      <c r="F492" s="78" t="s">
        <v>1535</v>
      </c>
      <c r="G492" s="78" t="s">
        <v>1513</v>
      </c>
      <c r="H492" s="77"/>
      <c r="I492" s="226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9"/>
    </row>
    <row r="493" spans="1:31" x14ac:dyDescent="0.3">
      <c r="A493" s="76"/>
      <c r="B493" s="78" t="s">
        <v>1837</v>
      </c>
      <c r="C493" s="78" t="s">
        <v>1489</v>
      </c>
      <c r="D493" s="78" t="s">
        <v>68</v>
      </c>
      <c r="E493" s="78" t="s">
        <v>1480</v>
      </c>
      <c r="F493" s="78" t="s">
        <v>1518</v>
      </c>
      <c r="G493" s="78" t="s">
        <v>1513</v>
      </c>
      <c r="H493" s="77"/>
      <c r="I493" s="226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9"/>
    </row>
    <row r="494" spans="1:31" x14ac:dyDescent="0.3">
      <c r="A494" s="76"/>
      <c r="B494" s="78" t="s">
        <v>1714</v>
      </c>
      <c r="C494" s="78" t="s">
        <v>1502</v>
      </c>
      <c r="D494" s="78" t="s">
        <v>28</v>
      </c>
      <c r="E494" s="78" t="s">
        <v>1503</v>
      </c>
      <c r="F494" s="78" t="s">
        <v>1495</v>
      </c>
      <c r="G494" s="78" t="s">
        <v>1513</v>
      </c>
      <c r="H494" s="77"/>
      <c r="I494" s="226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9"/>
    </row>
    <row r="495" spans="1:31" x14ac:dyDescent="0.3">
      <c r="A495" s="76"/>
      <c r="B495" s="78" t="s">
        <v>1838</v>
      </c>
      <c r="C495" s="78" t="s">
        <v>1489</v>
      </c>
      <c r="D495" s="78" t="s">
        <v>865</v>
      </c>
      <c r="E495" s="78" t="s">
        <v>1500</v>
      </c>
      <c r="F495" s="78" t="s">
        <v>1501</v>
      </c>
      <c r="G495" s="78" t="s">
        <v>1513</v>
      </c>
      <c r="H495" s="77"/>
      <c r="I495" s="226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9"/>
    </row>
    <row r="496" spans="1:31" x14ac:dyDescent="0.3">
      <c r="A496" s="76"/>
      <c r="B496" s="78" t="s">
        <v>1799</v>
      </c>
      <c r="C496" s="78" t="s">
        <v>1489</v>
      </c>
      <c r="D496" s="78" t="s">
        <v>611</v>
      </c>
      <c r="E496" s="78" t="s">
        <v>1800</v>
      </c>
      <c r="F496" s="78" t="s">
        <v>1558</v>
      </c>
      <c r="G496" s="78" t="s">
        <v>1513</v>
      </c>
      <c r="H496" s="77"/>
      <c r="I496" s="226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9"/>
    </row>
    <row r="497" spans="1:31" ht="15" thickBot="1" x14ac:dyDescent="0.35">
      <c r="A497" s="81"/>
      <c r="B497" s="82" t="s">
        <v>1839</v>
      </c>
      <c r="C497" s="82" t="s">
        <v>1493</v>
      </c>
      <c r="D497" s="82" t="s">
        <v>687</v>
      </c>
      <c r="E497" s="82" t="s">
        <v>1490</v>
      </c>
      <c r="F497" s="82" t="s">
        <v>1619</v>
      </c>
      <c r="G497" s="82" t="s">
        <v>1513</v>
      </c>
      <c r="H497" s="83"/>
      <c r="I497" s="227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4"/>
    </row>
    <row r="498" spans="1:31" x14ac:dyDescent="0.3">
      <c r="A498" s="72" t="s">
        <v>898</v>
      </c>
      <c r="B498" s="73" t="s">
        <v>1840</v>
      </c>
      <c r="C498" s="74" t="s">
        <v>1479</v>
      </c>
      <c r="D498" s="74" t="s">
        <v>899</v>
      </c>
      <c r="E498" s="74" t="s">
        <v>1480</v>
      </c>
      <c r="F498" s="74"/>
      <c r="G498" s="74" t="s">
        <v>1481</v>
      </c>
      <c r="H498" s="73" t="s">
        <v>1482</v>
      </c>
      <c r="I498" s="225">
        <v>75</v>
      </c>
      <c r="J498" s="73" t="s">
        <v>897</v>
      </c>
      <c r="K498" s="73">
        <v>129</v>
      </c>
      <c r="L498" s="73" t="s">
        <v>195</v>
      </c>
      <c r="M498" s="73" t="s">
        <v>1483</v>
      </c>
      <c r="N498" s="73" t="s">
        <v>1483</v>
      </c>
      <c r="O498" s="73" t="s">
        <v>1483</v>
      </c>
      <c r="P498" s="73" t="s">
        <v>1483</v>
      </c>
      <c r="Q498" s="73" t="s">
        <v>1483</v>
      </c>
      <c r="R498" s="73" t="s">
        <v>1483</v>
      </c>
      <c r="S498" s="73" t="s">
        <v>1484</v>
      </c>
      <c r="T498" s="73" t="s">
        <v>1484</v>
      </c>
      <c r="U498" s="73" t="s">
        <v>1484</v>
      </c>
      <c r="V498" s="73" t="s">
        <v>1484</v>
      </c>
      <c r="W498" s="73" t="s">
        <v>1485</v>
      </c>
      <c r="X498" s="73" t="s">
        <v>1484</v>
      </c>
      <c r="Y498" s="73" t="s">
        <v>1484</v>
      </c>
      <c r="Z498" s="73" t="s">
        <v>1485</v>
      </c>
      <c r="AA498" s="73" t="s">
        <v>1485</v>
      </c>
      <c r="AB498" s="73" t="s">
        <v>1484</v>
      </c>
      <c r="AC498" s="73" t="s">
        <v>1486</v>
      </c>
      <c r="AD498" s="73" t="s">
        <v>1487</v>
      </c>
      <c r="AE498" s="75" t="s">
        <v>1488</v>
      </c>
    </row>
    <row r="499" spans="1:31" x14ac:dyDescent="0.3">
      <c r="A499" s="76"/>
      <c r="B499" s="77"/>
      <c r="C499" s="78" t="s">
        <v>1489</v>
      </c>
      <c r="D499" s="78" t="s">
        <v>710</v>
      </c>
      <c r="E499" s="78" t="s">
        <v>1490</v>
      </c>
      <c r="F499" s="78" t="s">
        <v>1564</v>
      </c>
      <c r="G499" s="78" t="s">
        <v>1492</v>
      </c>
      <c r="H499" s="77"/>
      <c r="I499" s="226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9"/>
    </row>
    <row r="500" spans="1:31" x14ac:dyDescent="0.3">
      <c r="A500" s="76"/>
      <c r="B500" s="77"/>
      <c r="C500" s="78" t="s">
        <v>1493</v>
      </c>
      <c r="D500" s="78" t="s">
        <v>371</v>
      </c>
      <c r="E500" s="78" t="s">
        <v>1503</v>
      </c>
      <c r="F500" s="78" t="s">
        <v>1495</v>
      </c>
      <c r="G500" s="78" t="s">
        <v>1492</v>
      </c>
      <c r="H500" s="77"/>
      <c r="I500" s="226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9"/>
    </row>
    <row r="501" spans="1:31" x14ac:dyDescent="0.3">
      <c r="A501" s="76"/>
      <c r="B501" s="77"/>
      <c r="C501" s="78" t="s">
        <v>1502</v>
      </c>
      <c r="D501" s="78" t="s">
        <v>579</v>
      </c>
      <c r="E501" s="78" t="s">
        <v>1800</v>
      </c>
      <c r="F501" s="78" t="s">
        <v>1565</v>
      </c>
      <c r="G501" s="78" t="s">
        <v>1492</v>
      </c>
      <c r="H501" s="77"/>
      <c r="I501" s="226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9"/>
    </row>
    <row r="502" spans="1:31" x14ac:dyDescent="0.3">
      <c r="A502" s="76"/>
      <c r="B502" s="77"/>
      <c r="C502" s="78" t="s">
        <v>1504</v>
      </c>
      <c r="D502" s="78" t="s">
        <v>900</v>
      </c>
      <c r="E502" s="78" t="s">
        <v>1497</v>
      </c>
      <c r="F502" s="78" t="s">
        <v>1498</v>
      </c>
      <c r="G502" s="78" t="s">
        <v>1492</v>
      </c>
      <c r="H502" s="77"/>
      <c r="I502" s="226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9"/>
    </row>
    <row r="503" spans="1:31" x14ac:dyDescent="0.3">
      <c r="A503" s="76"/>
      <c r="B503" s="80"/>
      <c r="C503" s="78" t="s">
        <v>1507</v>
      </c>
      <c r="D503" s="78" t="s">
        <v>838</v>
      </c>
      <c r="E503" s="78" t="s">
        <v>1500</v>
      </c>
      <c r="F503" s="78" t="s">
        <v>1501</v>
      </c>
      <c r="G503" s="78" t="s">
        <v>1492</v>
      </c>
      <c r="H503" s="77"/>
      <c r="I503" s="226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9"/>
    </row>
    <row r="504" spans="1:31" x14ac:dyDescent="0.3">
      <c r="A504" s="76"/>
      <c r="B504" s="78" t="s">
        <v>1485</v>
      </c>
      <c r="C504" s="78" t="s">
        <v>1485</v>
      </c>
      <c r="D504" s="78" t="s">
        <v>1841</v>
      </c>
      <c r="E504" s="78" t="s">
        <v>1632</v>
      </c>
      <c r="F504" s="78" t="s">
        <v>1516</v>
      </c>
      <c r="G504" s="78" t="s">
        <v>1513</v>
      </c>
      <c r="H504" s="77"/>
      <c r="I504" s="226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9"/>
    </row>
    <row r="505" spans="1:31" x14ac:dyDescent="0.3">
      <c r="A505" s="76"/>
      <c r="B505" s="78" t="s">
        <v>1485</v>
      </c>
      <c r="C505" s="78" t="s">
        <v>1485</v>
      </c>
      <c r="D505" s="78" t="s">
        <v>1842</v>
      </c>
      <c r="E505" s="78" t="s">
        <v>1511</v>
      </c>
      <c r="F505" s="78" t="s">
        <v>1549</v>
      </c>
      <c r="G505" s="78" t="s">
        <v>1513</v>
      </c>
      <c r="H505" s="77"/>
      <c r="I505" s="226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9"/>
    </row>
    <row r="506" spans="1:31" x14ac:dyDescent="0.3">
      <c r="A506" s="76"/>
      <c r="B506" s="78" t="s">
        <v>1843</v>
      </c>
      <c r="C506" s="78" t="s">
        <v>1489</v>
      </c>
      <c r="D506" s="78" t="s">
        <v>267</v>
      </c>
      <c r="E506" s="78" t="s">
        <v>1480</v>
      </c>
      <c r="F506" s="78" t="s">
        <v>1518</v>
      </c>
      <c r="G506" s="78" t="s">
        <v>1513</v>
      </c>
      <c r="H506" s="77"/>
      <c r="I506" s="226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9"/>
    </row>
    <row r="507" spans="1:31" x14ac:dyDescent="0.3">
      <c r="A507" s="76"/>
      <c r="B507" s="78" t="s">
        <v>1844</v>
      </c>
      <c r="C507" s="78" t="s">
        <v>1499</v>
      </c>
      <c r="D507" s="78" t="s">
        <v>371</v>
      </c>
      <c r="E507" s="78" t="s">
        <v>1503</v>
      </c>
      <c r="F507" s="78" t="s">
        <v>1495</v>
      </c>
      <c r="G507" s="78" t="s">
        <v>1513</v>
      </c>
      <c r="H507" s="77"/>
      <c r="I507" s="226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9"/>
    </row>
    <row r="508" spans="1:31" x14ac:dyDescent="0.3">
      <c r="A508" s="76"/>
      <c r="B508" s="78" t="s">
        <v>1845</v>
      </c>
      <c r="C508" s="78" t="s">
        <v>1489</v>
      </c>
      <c r="D508" s="78" t="s">
        <v>838</v>
      </c>
      <c r="E508" s="78" t="s">
        <v>1500</v>
      </c>
      <c r="F508" s="78" t="s">
        <v>1501</v>
      </c>
      <c r="G508" s="78" t="s">
        <v>1513</v>
      </c>
      <c r="H508" s="77"/>
      <c r="I508" s="226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9"/>
    </row>
    <row r="509" spans="1:31" x14ac:dyDescent="0.3">
      <c r="A509" s="76"/>
      <c r="B509" s="78" t="s">
        <v>1846</v>
      </c>
      <c r="C509" s="78" t="s">
        <v>1493</v>
      </c>
      <c r="D509" s="78" t="s">
        <v>710</v>
      </c>
      <c r="E509" s="78" t="s">
        <v>1490</v>
      </c>
      <c r="F509" s="78" t="s">
        <v>1564</v>
      </c>
      <c r="G509" s="78" t="s">
        <v>1513</v>
      </c>
      <c r="H509" s="77"/>
      <c r="I509" s="226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9"/>
    </row>
    <row r="510" spans="1:31" ht="15" thickBot="1" x14ac:dyDescent="0.35">
      <c r="A510" s="81"/>
      <c r="B510" s="82" t="s">
        <v>1810</v>
      </c>
      <c r="C510" s="82" t="s">
        <v>1493</v>
      </c>
      <c r="D510" s="82" t="s">
        <v>579</v>
      </c>
      <c r="E510" s="82" t="s">
        <v>1800</v>
      </c>
      <c r="F510" s="82" t="s">
        <v>1565</v>
      </c>
      <c r="G510" s="82" t="s">
        <v>1513</v>
      </c>
      <c r="H510" s="83"/>
      <c r="I510" s="227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4"/>
    </row>
    <row r="511" spans="1:31" x14ac:dyDescent="0.3">
      <c r="A511" s="72" t="s">
        <v>889</v>
      </c>
      <c r="B511" s="73" t="s">
        <v>1847</v>
      </c>
      <c r="C511" s="74" t="s">
        <v>1479</v>
      </c>
      <c r="D511" s="74" t="s">
        <v>890</v>
      </c>
      <c r="E511" s="74" t="s">
        <v>1480</v>
      </c>
      <c r="F511" s="74"/>
      <c r="G511" s="74" t="s">
        <v>1481</v>
      </c>
      <c r="H511" s="73" t="s">
        <v>1482</v>
      </c>
      <c r="I511" s="225">
        <v>74</v>
      </c>
      <c r="J511" s="73" t="s">
        <v>888</v>
      </c>
      <c r="K511" s="73">
        <v>126</v>
      </c>
      <c r="L511" s="73" t="s">
        <v>195</v>
      </c>
      <c r="M511" s="73" t="s">
        <v>1483</v>
      </c>
      <c r="N511" s="73" t="s">
        <v>1483</v>
      </c>
      <c r="O511" s="73" t="s">
        <v>1483</v>
      </c>
      <c r="P511" s="73" t="s">
        <v>1483</v>
      </c>
      <c r="Q511" s="73" t="s">
        <v>1483</v>
      </c>
      <c r="R511" s="73" t="s">
        <v>1483</v>
      </c>
      <c r="S511" s="73" t="s">
        <v>1484</v>
      </c>
      <c r="T511" s="73" t="s">
        <v>1484</v>
      </c>
      <c r="U511" s="73" t="s">
        <v>1484</v>
      </c>
      <c r="V511" s="73" t="s">
        <v>1484</v>
      </c>
      <c r="W511" s="73" t="s">
        <v>1485</v>
      </c>
      <c r="X511" s="73" t="s">
        <v>1484</v>
      </c>
      <c r="Y511" s="73" t="s">
        <v>1484</v>
      </c>
      <c r="Z511" s="73" t="s">
        <v>1485</v>
      </c>
      <c r="AA511" s="73" t="s">
        <v>1485</v>
      </c>
      <c r="AB511" s="73" t="s">
        <v>1484</v>
      </c>
      <c r="AC511" s="73" t="s">
        <v>1486</v>
      </c>
      <c r="AD511" s="73" t="s">
        <v>1487</v>
      </c>
      <c r="AE511" s="75" t="s">
        <v>1488</v>
      </c>
    </row>
    <row r="512" spans="1:31" x14ac:dyDescent="0.3">
      <c r="A512" s="76"/>
      <c r="B512" s="77"/>
      <c r="C512" s="78" t="s">
        <v>1489</v>
      </c>
      <c r="D512" s="78" t="s">
        <v>695</v>
      </c>
      <c r="E512" s="78" t="s">
        <v>1490</v>
      </c>
      <c r="F512" s="78" t="s">
        <v>1546</v>
      </c>
      <c r="G512" s="78" t="s">
        <v>1492</v>
      </c>
      <c r="H512" s="77"/>
      <c r="I512" s="226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9"/>
    </row>
    <row r="513" spans="1:31" x14ac:dyDescent="0.3">
      <c r="A513" s="76"/>
      <c r="B513" s="77"/>
      <c r="C513" s="78" t="s">
        <v>1493</v>
      </c>
      <c r="D513" s="78" t="s">
        <v>519</v>
      </c>
      <c r="E513" s="78" t="s">
        <v>1503</v>
      </c>
      <c r="F513" s="78" t="s">
        <v>1495</v>
      </c>
      <c r="G513" s="78" t="s">
        <v>1492</v>
      </c>
      <c r="H513" s="77"/>
      <c r="I513" s="226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9"/>
    </row>
    <row r="514" spans="1:31" x14ac:dyDescent="0.3">
      <c r="A514" s="76"/>
      <c r="B514" s="77"/>
      <c r="C514" s="78" t="s">
        <v>1502</v>
      </c>
      <c r="D514" s="78" t="s">
        <v>891</v>
      </c>
      <c r="E514" s="78" t="s">
        <v>1497</v>
      </c>
      <c r="F514" s="78" t="s">
        <v>1498</v>
      </c>
      <c r="G514" s="78" t="s">
        <v>1492</v>
      </c>
      <c r="H514" s="77"/>
      <c r="I514" s="226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9"/>
    </row>
    <row r="515" spans="1:31" x14ac:dyDescent="0.3">
      <c r="A515" s="76"/>
      <c r="B515" s="80"/>
      <c r="C515" s="78" t="s">
        <v>1507</v>
      </c>
      <c r="D515" s="78" t="s">
        <v>819</v>
      </c>
      <c r="E515" s="78" t="s">
        <v>1500</v>
      </c>
      <c r="F515" s="78" t="s">
        <v>1501</v>
      </c>
      <c r="G515" s="78" t="s">
        <v>1492</v>
      </c>
      <c r="H515" s="77"/>
      <c r="I515" s="226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9"/>
    </row>
    <row r="516" spans="1:31" x14ac:dyDescent="0.3">
      <c r="A516" s="76"/>
      <c r="B516" s="78" t="s">
        <v>1485</v>
      </c>
      <c r="C516" s="78" t="s">
        <v>1485</v>
      </c>
      <c r="D516" s="78" t="s">
        <v>1848</v>
      </c>
      <c r="E516" s="78" t="s">
        <v>1632</v>
      </c>
      <c r="F516" s="78" t="s">
        <v>1516</v>
      </c>
      <c r="G516" s="78" t="s">
        <v>1513</v>
      </c>
      <c r="H516" s="77"/>
      <c r="I516" s="226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9"/>
    </row>
    <row r="517" spans="1:31" x14ac:dyDescent="0.3">
      <c r="A517" s="76"/>
      <c r="B517" s="78" t="s">
        <v>1485</v>
      </c>
      <c r="C517" s="78" t="s">
        <v>1485</v>
      </c>
      <c r="D517" s="78" t="s">
        <v>1849</v>
      </c>
      <c r="E517" s="78" t="s">
        <v>1511</v>
      </c>
      <c r="F517" s="78" t="s">
        <v>1549</v>
      </c>
      <c r="G517" s="78" t="s">
        <v>1513</v>
      </c>
      <c r="H517" s="77"/>
      <c r="I517" s="226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9"/>
    </row>
    <row r="518" spans="1:31" x14ac:dyDescent="0.3">
      <c r="A518" s="76"/>
      <c r="B518" s="78" t="s">
        <v>1485</v>
      </c>
      <c r="C518" s="78" t="s">
        <v>1485</v>
      </c>
      <c r="D518" s="78" t="s">
        <v>1850</v>
      </c>
      <c r="E518" s="78" t="s">
        <v>1534</v>
      </c>
      <c r="F518" s="78" t="s">
        <v>1535</v>
      </c>
      <c r="G518" s="78" t="s">
        <v>1513</v>
      </c>
      <c r="H518" s="77"/>
      <c r="I518" s="226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9"/>
    </row>
    <row r="519" spans="1:31" x14ac:dyDescent="0.3">
      <c r="A519" s="76"/>
      <c r="B519" s="78" t="s">
        <v>1851</v>
      </c>
      <c r="C519" s="78" t="s">
        <v>1489</v>
      </c>
      <c r="D519" s="78" t="s">
        <v>488</v>
      </c>
      <c r="E519" s="78" t="s">
        <v>1480</v>
      </c>
      <c r="F519" s="78" t="s">
        <v>1518</v>
      </c>
      <c r="G519" s="78" t="s">
        <v>1513</v>
      </c>
      <c r="H519" s="85"/>
      <c r="I519" s="226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9"/>
    </row>
    <row r="520" spans="1:31" x14ac:dyDescent="0.3">
      <c r="A520" s="76"/>
      <c r="B520" s="78" t="s">
        <v>1852</v>
      </c>
      <c r="C520" s="78" t="s">
        <v>1499</v>
      </c>
      <c r="D520" s="78" t="s">
        <v>519</v>
      </c>
      <c r="E520" s="78" t="s">
        <v>1503</v>
      </c>
      <c r="F520" s="78" t="s">
        <v>1495</v>
      </c>
      <c r="G520" s="78" t="s">
        <v>1513</v>
      </c>
      <c r="H520" s="85"/>
      <c r="I520" s="226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9"/>
    </row>
    <row r="521" spans="1:31" x14ac:dyDescent="0.3">
      <c r="A521" s="76"/>
      <c r="B521" s="78" t="s">
        <v>1853</v>
      </c>
      <c r="C521" s="78" t="s">
        <v>1489</v>
      </c>
      <c r="D521" s="78" t="s">
        <v>819</v>
      </c>
      <c r="E521" s="78" t="s">
        <v>1500</v>
      </c>
      <c r="F521" s="78" t="s">
        <v>1501</v>
      </c>
      <c r="G521" s="78" t="s">
        <v>1513</v>
      </c>
      <c r="H521" s="77"/>
      <c r="I521" s="226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9"/>
    </row>
    <row r="522" spans="1:31" x14ac:dyDescent="0.3">
      <c r="A522" s="76"/>
      <c r="B522" s="78" t="s">
        <v>1854</v>
      </c>
      <c r="C522" s="78" t="s">
        <v>1489</v>
      </c>
      <c r="D522" s="78" t="s">
        <v>893</v>
      </c>
      <c r="E522" s="78" t="s">
        <v>1771</v>
      </c>
      <c r="F522" s="78" t="s">
        <v>1855</v>
      </c>
      <c r="G522" s="78" t="s">
        <v>1513</v>
      </c>
      <c r="H522" s="77"/>
      <c r="I522" s="226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9"/>
    </row>
    <row r="523" spans="1:31" ht="15" thickBot="1" x14ac:dyDescent="0.35">
      <c r="A523" s="81"/>
      <c r="B523" s="82" t="s">
        <v>1856</v>
      </c>
      <c r="C523" s="82" t="s">
        <v>1493</v>
      </c>
      <c r="D523" s="82" t="s">
        <v>695</v>
      </c>
      <c r="E523" s="82" t="s">
        <v>1490</v>
      </c>
      <c r="F523" s="82" t="s">
        <v>1546</v>
      </c>
      <c r="G523" s="82" t="s">
        <v>1513</v>
      </c>
      <c r="H523" s="83"/>
      <c r="I523" s="227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4"/>
    </row>
    <row r="524" spans="1:31" x14ac:dyDescent="0.3">
      <c r="A524" s="72" t="s">
        <v>830</v>
      </c>
      <c r="B524" s="73" t="s">
        <v>1857</v>
      </c>
      <c r="C524" s="74" t="s">
        <v>1479</v>
      </c>
      <c r="D524" s="74" t="s">
        <v>831</v>
      </c>
      <c r="E524" s="74" t="s">
        <v>1480</v>
      </c>
      <c r="F524" s="74"/>
      <c r="G524" s="74" t="s">
        <v>1481</v>
      </c>
      <c r="H524" s="73" t="s">
        <v>1482</v>
      </c>
      <c r="I524" s="225">
        <v>68</v>
      </c>
      <c r="J524" s="73" t="s">
        <v>829</v>
      </c>
      <c r="K524" s="73">
        <v>117</v>
      </c>
      <c r="L524" s="73" t="s">
        <v>195</v>
      </c>
      <c r="M524" s="73" t="s">
        <v>1483</v>
      </c>
      <c r="N524" s="73" t="s">
        <v>1483</v>
      </c>
      <c r="O524" s="73" t="s">
        <v>1483</v>
      </c>
      <c r="P524" s="73" t="s">
        <v>1483</v>
      </c>
      <c r="Q524" s="73" t="s">
        <v>1483</v>
      </c>
      <c r="R524" s="73" t="s">
        <v>1483</v>
      </c>
      <c r="S524" s="73" t="s">
        <v>1484</v>
      </c>
      <c r="T524" s="73" t="s">
        <v>1484</v>
      </c>
      <c r="U524" s="73" t="s">
        <v>1484</v>
      </c>
      <c r="V524" s="73" t="s">
        <v>1484</v>
      </c>
      <c r="W524" s="73" t="s">
        <v>1485</v>
      </c>
      <c r="X524" s="73" t="s">
        <v>1484</v>
      </c>
      <c r="Y524" s="73" t="s">
        <v>1484</v>
      </c>
      <c r="Z524" s="73" t="s">
        <v>1485</v>
      </c>
      <c r="AA524" s="73" t="s">
        <v>1485</v>
      </c>
      <c r="AB524" s="73" t="s">
        <v>1484</v>
      </c>
      <c r="AC524" s="73" t="s">
        <v>1486</v>
      </c>
      <c r="AD524" s="73" t="s">
        <v>1487</v>
      </c>
      <c r="AE524" s="75" t="s">
        <v>1488</v>
      </c>
    </row>
    <row r="525" spans="1:31" x14ac:dyDescent="0.3">
      <c r="A525" s="76"/>
      <c r="B525" s="77"/>
      <c r="C525" s="78" t="s">
        <v>1489</v>
      </c>
      <c r="D525" s="78" t="s">
        <v>421</v>
      </c>
      <c r="E525" s="78" t="s">
        <v>1595</v>
      </c>
      <c r="F525" s="78" t="s">
        <v>1680</v>
      </c>
      <c r="G525" s="78" t="s">
        <v>1492</v>
      </c>
      <c r="H525" s="85"/>
      <c r="I525" s="226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9"/>
    </row>
    <row r="526" spans="1:31" x14ac:dyDescent="0.3">
      <c r="A526" s="76"/>
      <c r="B526" s="77"/>
      <c r="C526" s="78" t="s">
        <v>1493</v>
      </c>
      <c r="D526" s="78" t="s">
        <v>297</v>
      </c>
      <c r="E526" s="78" t="s">
        <v>1494</v>
      </c>
      <c r="F526" s="78" t="s">
        <v>1495</v>
      </c>
      <c r="G526" s="78" t="s">
        <v>1492</v>
      </c>
      <c r="H526" s="85"/>
      <c r="I526" s="226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9"/>
    </row>
    <row r="527" spans="1:31" x14ac:dyDescent="0.3">
      <c r="A527" s="76"/>
      <c r="B527" s="77"/>
      <c r="C527" s="78" t="s">
        <v>1504</v>
      </c>
      <c r="D527" s="78" t="s">
        <v>832</v>
      </c>
      <c r="E527" s="78" t="s">
        <v>1497</v>
      </c>
      <c r="F527" s="78" t="s">
        <v>1498</v>
      </c>
      <c r="G527" s="78" t="s">
        <v>1492</v>
      </c>
      <c r="H527" s="77"/>
      <c r="I527" s="226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9"/>
    </row>
    <row r="528" spans="1:31" x14ac:dyDescent="0.3">
      <c r="A528" s="76"/>
      <c r="B528" s="80"/>
      <c r="C528" s="78" t="s">
        <v>1507</v>
      </c>
      <c r="D528" s="78" t="s">
        <v>796</v>
      </c>
      <c r="E528" s="78" t="s">
        <v>1500</v>
      </c>
      <c r="F528" s="78" t="s">
        <v>1501</v>
      </c>
      <c r="G528" s="78" t="s">
        <v>1492</v>
      </c>
      <c r="H528" s="77"/>
      <c r="I528" s="226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9"/>
    </row>
    <row r="529" spans="1:31" x14ac:dyDescent="0.3">
      <c r="A529" s="76"/>
      <c r="B529" s="78" t="s">
        <v>1485</v>
      </c>
      <c r="C529" s="78" t="s">
        <v>1485</v>
      </c>
      <c r="D529" s="78" t="s">
        <v>1858</v>
      </c>
      <c r="E529" s="78" t="s">
        <v>1548</v>
      </c>
      <c r="F529" s="78" t="s">
        <v>1549</v>
      </c>
      <c r="G529" s="78" t="s">
        <v>1513</v>
      </c>
      <c r="H529" s="77"/>
      <c r="I529" s="226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9"/>
    </row>
    <row r="530" spans="1:31" x14ac:dyDescent="0.3">
      <c r="A530" s="76"/>
      <c r="B530" s="78" t="s">
        <v>1485</v>
      </c>
      <c r="C530" s="78" t="s">
        <v>1485</v>
      </c>
      <c r="D530" s="78" t="s">
        <v>1859</v>
      </c>
      <c r="E530" s="78" t="s">
        <v>1534</v>
      </c>
      <c r="F530" s="78" t="s">
        <v>1535</v>
      </c>
      <c r="G530" s="78" t="s">
        <v>1513</v>
      </c>
      <c r="H530" s="77"/>
      <c r="I530" s="226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9"/>
    </row>
    <row r="531" spans="1:31" x14ac:dyDescent="0.3">
      <c r="A531" s="76"/>
      <c r="B531" s="78" t="s">
        <v>1860</v>
      </c>
      <c r="C531" s="78" t="s">
        <v>1489</v>
      </c>
      <c r="D531" s="78" t="s">
        <v>463</v>
      </c>
      <c r="E531" s="78" t="s">
        <v>1480</v>
      </c>
      <c r="F531" s="78" t="s">
        <v>1518</v>
      </c>
      <c r="G531" s="78" t="s">
        <v>1513</v>
      </c>
      <c r="H531" s="85"/>
      <c r="I531" s="226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9"/>
    </row>
    <row r="532" spans="1:31" x14ac:dyDescent="0.3">
      <c r="A532" s="76"/>
      <c r="B532" s="78" t="s">
        <v>1861</v>
      </c>
      <c r="C532" s="78" t="s">
        <v>1489</v>
      </c>
      <c r="D532" s="78" t="s">
        <v>297</v>
      </c>
      <c r="E532" s="78" t="s">
        <v>1494</v>
      </c>
      <c r="F532" s="78" t="s">
        <v>1495</v>
      </c>
      <c r="G532" s="78" t="s">
        <v>1513</v>
      </c>
      <c r="H532" s="85"/>
      <c r="I532" s="226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9"/>
    </row>
    <row r="533" spans="1:31" x14ac:dyDescent="0.3">
      <c r="A533" s="76"/>
      <c r="B533" s="78" t="s">
        <v>1862</v>
      </c>
      <c r="C533" s="78" t="s">
        <v>1489</v>
      </c>
      <c r="D533" s="78" t="s">
        <v>796</v>
      </c>
      <c r="E533" s="78" t="s">
        <v>1500</v>
      </c>
      <c r="F533" s="78" t="s">
        <v>1501</v>
      </c>
      <c r="G533" s="78" t="s">
        <v>1513</v>
      </c>
      <c r="H533" s="77"/>
      <c r="I533" s="226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9"/>
    </row>
    <row r="534" spans="1:31" x14ac:dyDescent="0.3">
      <c r="A534" s="76"/>
      <c r="B534" s="78" t="s">
        <v>1863</v>
      </c>
      <c r="C534" s="78" t="s">
        <v>1489</v>
      </c>
      <c r="D534" s="78" t="s">
        <v>306</v>
      </c>
      <c r="E534" s="78" t="s">
        <v>1864</v>
      </c>
      <c r="F534" s="78" t="s">
        <v>1558</v>
      </c>
      <c r="G534" s="78" t="s">
        <v>1513</v>
      </c>
      <c r="H534" s="77"/>
      <c r="I534" s="226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9"/>
    </row>
    <row r="535" spans="1:31" ht="15" thickBot="1" x14ac:dyDescent="0.35">
      <c r="A535" s="81"/>
      <c r="B535" s="82" t="s">
        <v>1865</v>
      </c>
      <c r="C535" s="82" t="s">
        <v>1489</v>
      </c>
      <c r="D535" s="82" t="s">
        <v>421</v>
      </c>
      <c r="E535" s="82" t="s">
        <v>1595</v>
      </c>
      <c r="F535" s="82" t="s">
        <v>1680</v>
      </c>
      <c r="G535" s="82" t="s">
        <v>1513</v>
      </c>
      <c r="H535" s="82"/>
      <c r="I535" s="227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4"/>
    </row>
    <row r="536" spans="1:31" x14ac:dyDescent="0.3">
      <c r="A536" s="72" t="s">
        <v>824</v>
      </c>
      <c r="B536" s="73" t="s">
        <v>1866</v>
      </c>
      <c r="C536" s="74" t="s">
        <v>1479</v>
      </c>
      <c r="D536" s="74" t="s">
        <v>825</v>
      </c>
      <c r="E536" s="74" t="s">
        <v>1480</v>
      </c>
      <c r="F536" s="74"/>
      <c r="G536" s="74" t="s">
        <v>1481</v>
      </c>
      <c r="H536" s="73" t="s">
        <v>1482</v>
      </c>
      <c r="I536" s="225">
        <v>67</v>
      </c>
      <c r="J536" s="73" t="s">
        <v>823</v>
      </c>
      <c r="K536" s="73">
        <v>116</v>
      </c>
      <c r="L536" s="73" t="s">
        <v>195</v>
      </c>
      <c r="M536" s="73" t="s">
        <v>1483</v>
      </c>
      <c r="N536" s="73" t="s">
        <v>1483</v>
      </c>
      <c r="O536" s="73" t="s">
        <v>1483</v>
      </c>
      <c r="P536" s="73" t="s">
        <v>1483</v>
      </c>
      <c r="Q536" s="73" t="s">
        <v>1483</v>
      </c>
      <c r="R536" s="73" t="s">
        <v>1483</v>
      </c>
      <c r="S536" s="73" t="s">
        <v>1484</v>
      </c>
      <c r="T536" s="73" t="s">
        <v>1484</v>
      </c>
      <c r="U536" s="73" t="s">
        <v>1484</v>
      </c>
      <c r="V536" s="73" t="s">
        <v>1484</v>
      </c>
      <c r="W536" s="73" t="s">
        <v>1485</v>
      </c>
      <c r="X536" s="73" t="s">
        <v>1484</v>
      </c>
      <c r="Y536" s="73" t="s">
        <v>1484</v>
      </c>
      <c r="Z536" s="73" t="s">
        <v>1485</v>
      </c>
      <c r="AA536" s="73" t="s">
        <v>1485</v>
      </c>
      <c r="AB536" s="73" t="s">
        <v>1484</v>
      </c>
      <c r="AC536" s="73" t="s">
        <v>1486</v>
      </c>
      <c r="AD536" s="73" t="s">
        <v>1487</v>
      </c>
      <c r="AE536" s="75" t="s">
        <v>1488</v>
      </c>
    </row>
    <row r="537" spans="1:31" x14ac:dyDescent="0.3">
      <c r="A537" s="76"/>
      <c r="B537" s="77"/>
      <c r="C537" s="78" t="s">
        <v>1489</v>
      </c>
      <c r="D537" s="78" t="s">
        <v>411</v>
      </c>
      <c r="E537" s="78" t="s">
        <v>1595</v>
      </c>
      <c r="F537" s="78" t="s">
        <v>1491</v>
      </c>
      <c r="G537" s="78" t="s">
        <v>1492</v>
      </c>
      <c r="H537" s="85"/>
      <c r="I537" s="226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9"/>
    </row>
    <row r="538" spans="1:31" x14ac:dyDescent="0.3">
      <c r="A538" s="76"/>
      <c r="B538" s="77"/>
      <c r="C538" s="78" t="s">
        <v>1493</v>
      </c>
      <c r="D538" s="78" t="s">
        <v>128</v>
      </c>
      <c r="E538" s="78" t="s">
        <v>1494</v>
      </c>
      <c r="F538" s="78" t="s">
        <v>1495</v>
      </c>
      <c r="G538" s="78" t="s">
        <v>1492</v>
      </c>
      <c r="H538" s="85"/>
      <c r="I538" s="226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9"/>
    </row>
    <row r="539" spans="1:31" x14ac:dyDescent="0.3">
      <c r="A539" s="76"/>
      <c r="B539" s="77"/>
      <c r="C539" s="78" t="s">
        <v>1496</v>
      </c>
      <c r="D539" s="78" t="s">
        <v>246</v>
      </c>
      <c r="E539" s="78" t="s">
        <v>1500</v>
      </c>
      <c r="F539" s="78" t="s">
        <v>1501</v>
      </c>
      <c r="G539" s="78" t="s">
        <v>1492</v>
      </c>
      <c r="H539" s="77"/>
      <c r="I539" s="226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9"/>
    </row>
    <row r="540" spans="1:31" x14ac:dyDescent="0.3">
      <c r="A540" s="76"/>
      <c r="B540" s="77"/>
      <c r="C540" s="78" t="s">
        <v>1502</v>
      </c>
      <c r="D540" s="78" t="s">
        <v>826</v>
      </c>
      <c r="E540" s="78" t="s">
        <v>1497</v>
      </c>
      <c r="F540" s="78" t="s">
        <v>1498</v>
      </c>
      <c r="G540" s="78" t="s">
        <v>1492</v>
      </c>
      <c r="H540" s="77"/>
      <c r="I540" s="226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9"/>
    </row>
    <row r="541" spans="1:31" x14ac:dyDescent="0.3">
      <c r="A541" s="76"/>
      <c r="B541" s="77"/>
      <c r="C541" s="78" t="s">
        <v>1504</v>
      </c>
      <c r="D541" s="78" t="s">
        <v>291</v>
      </c>
      <c r="E541" s="78" t="s">
        <v>1864</v>
      </c>
      <c r="F541" s="78" t="s">
        <v>1565</v>
      </c>
      <c r="G541" s="78" t="s">
        <v>1492</v>
      </c>
      <c r="H541" s="77"/>
      <c r="I541" s="226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9"/>
    </row>
    <row r="542" spans="1:31" x14ac:dyDescent="0.3">
      <c r="A542" s="76"/>
      <c r="B542" s="80"/>
      <c r="C542" s="78" t="s">
        <v>1507</v>
      </c>
      <c r="D542" s="78" t="s">
        <v>771</v>
      </c>
      <c r="E542" s="78" t="s">
        <v>1500</v>
      </c>
      <c r="F542" s="78" t="s">
        <v>1501</v>
      </c>
      <c r="G542" s="78" t="s">
        <v>1492</v>
      </c>
      <c r="H542" s="77"/>
      <c r="I542" s="226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9"/>
    </row>
    <row r="543" spans="1:31" x14ac:dyDescent="0.3">
      <c r="A543" s="76"/>
      <c r="B543" s="78" t="s">
        <v>1485</v>
      </c>
      <c r="C543" s="78" t="s">
        <v>1485</v>
      </c>
      <c r="D543" s="78" t="s">
        <v>1510</v>
      </c>
      <c r="E543" s="78" t="s">
        <v>1511</v>
      </c>
      <c r="F543" s="78" t="s">
        <v>1512</v>
      </c>
      <c r="G543" s="78" t="s">
        <v>1513</v>
      </c>
      <c r="H543" s="77"/>
      <c r="I543" s="226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9"/>
    </row>
    <row r="544" spans="1:31" x14ac:dyDescent="0.3">
      <c r="A544" s="76"/>
      <c r="B544" s="78" t="s">
        <v>1485</v>
      </c>
      <c r="C544" s="78" t="s">
        <v>1485</v>
      </c>
      <c r="D544" s="78" t="s">
        <v>1867</v>
      </c>
      <c r="E544" s="78" t="s">
        <v>1548</v>
      </c>
      <c r="F544" s="78" t="s">
        <v>1512</v>
      </c>
      <c r="G544" s="78" t="s">
        <v>1513</v>
      </c>
      <c r="H544" s="77"/>
      <c r="I544" s="226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9"/>
    </row>
    <row r="545" spans="1:31" x14ac:dyDescent="0.3">
      <c r="A545" s="76"/>
      <c r="B545" s="78" t="s">
        <v>1485</v>
      </c>
      <c r="C545" s="78" t="s">
        <v>1485</v>
      </c>
      <c r="D545" s="78" t="s">
        <v>1868</v>
      </c>
      <c r="E545" s="78" t="s">
        <v>1709</v>
      </c>
      <c r="F545" s="78" t="s">
        <v>1512</v>
      </c>
      <c r="G545" s="78" t="s">
        <v>1513</v>
      </c>
      <c r="H545" s="77"/>
      <c r="I545" s="226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9"/>
    </row>
    <row r="546" spans="1:31" x14ac:dyDescent="0.3">
      <c r="A546" s="76"/>
      <c r="B546" s="78" t="s">
        <v>1485</v>
      </c>
      <c r="C546" s="78" t="s">
        <v>1485</v>
      </c>
      <c r="D546" s="78" t="s">
        <v>1869</v>
      </c>
      <c r="E546" s="78" t="s">
        <v>1534</v>
      </c>
      <c r="F546" s="78" t="s">
        <v>1535</v>
      </c>
      <c r="G546" s="78" t="s">
        <v>1513</v>
      </c>
      <c r="H546" s="77"/>
      <c r="I546" s="226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9"/>
    </row>
    <row r="547" spans="1:31" x14ac:dyDescent="0.3">
      <c r="A547" s="76"/>
      <c r="B547" s="78" t="s">
        <v>1870</v>
      </c>
      <c r="C547" s="78" t="s">
        <v>1489</v>
      </c>
      <c r="D547" s="78" t="s">
        <v>456</v>
      </c>
      <c r="E547" s="78" t="s">
        <v>1480</v>
      </c>
      <c r="F547" s="78" t="s">
        <v>1518</v>
      </c>
      <c r="G547" s="78" t="s">
        <v>1513</v>
      </c>
      <c r="H547" s="85"/>
      <c r="I547" s="226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9"/>
    </row>
    <row r="548" spans="1:31" x14ac:dyDescent="0.3">
      <c r="A548" s="76"/>
      <c r="B548" s="78" t="s">
        <v>1871</v>
      </c>
      <c r="C548" s="78" t="s">
        <v>1493</v>
      </c>
      <c r="D548" s="78" t="s">
        <v>128</v>
      </c>
      <c r="E548" s="78" t="s">
        <v>1494</v>
      </c>
      <c r="F548" s="78" t="s">
        <v>1495</v>
      </c>
      <c r="G548" s="78" t="s">
        <v>1513</v>
      </c>
      <c r="H548" s="85"/>
      <c r="I548" s="226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9"/>
    </row>
    <row r="549" spans="1:31" x14ac:dyDescent="0.3">
      <c r="A549" s="76"/>
      <c r="B549" s="78" t="s">
        <v>1676</v>
      </c>
      <c r="C549" s="78" t="s">
        <v>1496</v>
      </c>
      <c r="D549" s="78" t="s">
        <v>246</v>
      </c>
      <c r="E549" s="78" t="s">
        <v>1500</v>
      </c>
      <c r="F549" s="78" t="s">
        <v>1501</v>
      </c>
      <c r="G549" s="78" t="s">
        <v>1513</v>
      </c>
      <c r="H549" s="77"/>
      <c r="I549" s="226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9"/>
    </row>
    <row r="550" spans="1:31" x14ac:dyDescent="0.3">
      <c r="A550" s="76"/>
      <c r="B550" s="78" t="s">
        <v>1872</v>
      </c>
      <c r="C550" s="78" t="s">
        <v>1489</v>
      </c>
      <c r="D550" s="78" t="s">
        <v>771</v>
      </c>
      <c r="E550" s="78" t="s">
        <v>1500</v>
      </c>
      <c r="F550" s="78" t="s">
        <v>1501</v>
      </c>
      <c r="G550" s="78" t="s">
        <v>1513</v>
      </c>
      <c r="H550" s="77"/>
      <c r="I550" s="226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9"/>
    </row>
    <row r="551" spans="1:31" x14ac:dyDescent="0.3">
      <c r="A551" s="76"/>
      <c r="B551" s="78" t="s">
        <v>1873</v>
      </c>
      <c r="C551" s="78" t="s">
        <v>1489</v>
      </c>
      <c r="D551" s="78" t="s">
        <v>411</v>
      </c>
      <c r="E551" s="78" t="s">
        <v>1595</v>
      </c>
      <c r="F551" s="78" t="s">
        <v>1491</v>
      </c>
      <c r="G551" s="78" t="s">
        <v>1513</v>
      </c>
      <c r="H551" s="85"/>
      <c r="I551" s="226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9"/>
    </row>
    <row r="552" spans="1:31" ht="15" thickBot="1" x14ac:dyDescent="0.35">
      <c r="A552" s="81"/>
      <c r="B552" s="82" t="s">
        <v>1874</v>
      </c>
      <c r="C552" s="82" t="s">
        <v>1489</v>
      </c>
      <c r="D552" s="82" t="s">
        <v>291</v>
      </c>
      <c r="E552" s="82" t="s">
        <v>1864</v>
      </c>
      <c r="F552" s="82" t="s">
        <v>1565</v>
      </c>
      <c r="G552" s="82" t="s">
        <v>1513</v>
      </c>
      <c r="H552" s="82"/>
      <c r="I552" s="227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4"/>
    </row>
    <row r="553" spans="1:31" x14ac:dyDescent="0.3">
      <c r="A553" s="72" t="s">
        <v>811</v>
      </c>
      <c r="B553" s="73" t="s">
        <v>1875</v>
      </c>
      <c r="C553" s="74" t="s">
        <v>1479</v>
      </c>
      <c r="D553" s="74" t="s">
        <v>812</v>
      </c>
      <c r="E553" s="74" t="s">
        <v>1480</v>
      </c>
      <c r="F553" s="74"/>
      <c r="G553" s="74" t="s">
        <v>1481</v>
      </c>
      <c r="H553" s="73" t="s">
        <v>1482</v>
      </c>
      <c r="I553" s="225">
        <v>66</v>
      </c>
      <c r="J553" s="73" t="s">
        <v>810</v>
      </c>
      <c r="K553" s="73">
        <v>114</v>
      </c>
      <c r="L553" s="73" t="s">
        <v>195</v>
      </c>
      <c r="M553" s="73" t="s">
        <v>1483</v>
      </c>
      <c r="N553" s="73" t="s">
        <v>1483</v>
      </c>
      <c r="O553" s="73" t="s">
        <v>1483</v>
      </c>
      <c r="P553" s="73" t="s">
        <v>1483</v>
      </c>
      <c r="Q553" s="73" t="s">
        <v>1483</v>
      </c>
      <c r="R553" s="73" t="s">
        <v>1483</v>
      </c>
      <c r="S553" s="73" t="s">
        <v>1484</v>
      </c>
      <c r="T553" s="73" t="s">
        <v>1484</v>
      </c>
      <c r="U553" s="73" t="s">
        <v>1484</v>
      </c>
      <c r="V553" s="73" t="s">
        <v>1484</v>
      </c>
      <c r="W553" s="73" t="s">
        <v>1485</v>
      </c>
      <c r="X553" s="73" t="s">
        <v>1484</v>
      </c>
      <c r="Y553" s="73" t="s">
        <v>1484</v>
      </c>
      <c r="Z553" s="73" t="s">
        <v>1485</v>
      </c>
      <c r="AA553" s="73" t="s">
        <v>1485</v>
      </c>
      <c r="AB553" s="73" t="s">
        <v>1484</v>
      </c>
      <c r="AC553" s="73" t="s">
        <v>1486</v>
      </c>
      <c r="AD553" s="73" t="s">
        <v>1487</v>
      </c>
      <c r="AE553" s="75" t="s">
        <v>1488</v>
      </c>
    </row>
    <row r="554" spans="1:31" x14ac:dyDescent="0.3">
      <c r="A554" s="76"/>
      <c r="B554" s="77"/>
      <c r="C554" s="78" t="s">
        <v>1493</v>
      </c>
      <c r="D554" s="78" t="s">
        <v>114</v>
      </c>
      <c r="E554" s="78" t="s">
        <v>1494</v>
      </c>
      <c r="F554" s="78" t="s">
        <v>1495</v>
      </c>
      <c r="G554" s="78" t="s">
        <v>1492</v>
      </c>
      <c r="H554" s="77"/>
      <c r="I554" s="226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9"/>
    </row>
    <row r="555" spans="1:31" x14ac:dyDescent="0.3">
      <c r="A555" s="76"/>
      <c r="B555" s="77"/>
      <c r="C555" s="78" t="s">
        <v>1496</v>
      </c>
      <c r="D555" s="78" t="s">
        <v>40</v>
      </c>
      <c r="E555" s="78" t="s">
        <v>1560</v>
      </c>
      <c r="F555" s="78" t="s">
        <v>1564</v>
      </c>
      <c r="G555" s="78" t="s">
        <v>1492</v>
      </c>
      <c r="H555" s="77"/>
      <c r="I555" s="226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9"/>
    </row>
    <row r="556" spans="1:31" x14ac:dyDescent="0.3">
      <c r="A556" s="76"/>
      <c r="B556" s="77"/>
      <c r="C556" s="78" t="s">
        <v>1499</v>
      </c>
      <c r="D556" s="78" t="s">
        <v>813</v>
      </c>
      <c r="E556" s="78" t="s">
        <v>1497</v>
      </c>
      <c r="F556" s="78" t="s">
        <v>1498</v>
      </c>
      <c r="G556" s="78" t="s">
        <v>1492</v>
      </c>
      <c r="H556" s="77"/>
      <c r="I556" s="226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9"/>
    </row>
    <row r="557" spans="1:31" x14ac:dyDescent="0.3">
      <c r="A557" s="76"/>
      <c r="B557" s="80"/>
      <c r="C557" s="78" t="s">
        <v>1507</v>
      </c>
      <c r="D557" s="78" t="s">
        <v>760</v>
      </c>
      <c r="E557" s="78" t="s">
        <v>1500</v>
      </c>
      <c r="F557" s="78" t="s">
        <v>1501</v>
      </c>
      <c r="G557" s="78" t="s">
        <v>1492</v>
      </c>
      <c r="H557" s="77"/>
      <c r="I557" s="226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9"/>
    </row>
    <row r="558" spans="1:31" x14ac:dyDescent="0.3">
      <c r="A558" s="76"/>
      <c r="B558" s="78" t="s">
        <v>1485</v>
      </c>
      <c r="C558" s="78" t="s">
        <v>1485</v>
      </c>
      <c r="D558" s="78" t="s">
        <v>1531</v>
      </c>
      <c r="E558" s="78" t="s">
        <v>1511</v>
      </c>
      <c r="F558" s="78" t="s">
        <v>1512</v>
      </c>
      <c r="G558" s="78" t="s">
        <v>1513</v>
      </c>
      <c r="H558" s="77"/>
      <c r="I558" s="226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9"/>
    </row>
    <row r="559" spans="1:31" x14ac:dyDescent="0.3">
      <c r="A559" s="76"/>
      <c r="B559" s="78" t="s">
        <v>1485</v>
      </c>
      <c r="C559" s="78" t="s">
        <v>1485</v>
      </c>
      <c r="D559" s="78" t="s">
        <v>1876</v>
      </c>
      <c r="E559" s="78" t="s">
        <v>1548</v>
      </c>
      <c r="F559" s="78" t="s">
        <v>1512</v>
      </c>
      <c r="G559" s="78" t="s">
        <v>1513</v>
      </c>
      <c r="H559" s="77"/>
      <c r="I559" s="226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9"/>
    </row>
    <row r="560" spans="1:31" x14ac:dyDescent="0.3">
      <c r="A560" s="76"/>
      <c r="B560" s="78" t="s">
        <v>1485</v>
      </c>
      <c r="C560" s="78" t="s">
        <v>1485</v>
      </c>
      <c r="D560" s="78" t="s">
        <v>172</v>
      </c>
      <c r="E560" s="78" t="s">
        <v>1709</v>
      </c>
      <c r="F560" s="78" t="s">
        <v>1512</v>
      </c>
      <c r="G560" s="78" t="s">
        <v>1513</v>
      </c>
      <c r="H560" s="77"/>
      <c r="I560" s="226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9"/>
    </row>
    <row r="561" spans="1:31" x14ac:dyDescent="0.3">
      <c r="A561" s="76"/>
      <c r="B561" s="78" t="s">
        <v>1877</v>
      </c>
      <c r="C561" s="78" t="s">
        <v>1489</v>
      </c>
      <c r="D561" s="78" t="s">
        <v>448</v>
      </c>
      <c r="E561" s="78" t="s">
        <v>1480</v>
      </c>
      <c r="F561" s="78" t="s">
        <v>1518</v>
      </c>
      <c r="G561" s="78" t="s">
        <v>1513</v>
      </c>
      <c r="H561" s="85"/>
      <c r="I561" s="226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9"/>
    </row>
    <row r="562" spans="1:31" x14ac:dyDescent="0.3">
      <c r="A562" s="76"/>
      <c r="B562" s="78" t="s">
        <v>1878</v>
      </c>
      <c r="C562" s="78" t="s">
        <v>1496</v>
      </c>
      <c r="D562" s="78" t="s">
        <v>114</v>
      </c>
      <c r="E562" s="78" t="s">
        <v>1494</v>
      </c>
      <c r="F562" s="78" t="s">
        <v>1495</v>
      </c>
      <c r="G562" s="78" t="s">
        <v>1513</v>
      </c>
      <c r="H562" s="85"/>
      <c r="I562" s="226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9"/>
    </row>
    <row r="563" spans="1:31" x14ac:dyDescent="0.3">
      <c r="A563" s="76"/>
      <c r="B563" s="78" t="s">
        <v>1879</v>
      </c>
      <c r="C563" s="78" t="s">
        <v>1489</v>
      </c>
      <c r="D563" s="78" t="s">
        <v>760</v>
      </c>
      <c r="E563" s="78" t="s">
        <v>1500</v>
      </c>
      <c r="F563" s="78" t="s">
        <v>1501</v>
      </c>
      <c r="G563" s="78" t="s">
        <v>1513</v>
      </c>
      <c r="H563" s="77"/>
      <c r="I563" s="226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9"/>
    </row>
    <row r="564" spans="1:31" x14ac:dyDescent="0.3">
      <c r="A564" s="76"/>
      <c r="B564" s="78" t="s">
        <v>1880</v>
      </c>
      <c r="C564" s="78" t="s">
        <v>1489</v>
      </c>
      <c r="D564" s="78" t="s">
        <v>657</v>
      </c>
      <c r="E564" s="78" t="s">
        <v>1881</v>
      </c>
      <c r="F564" s="78" t="s">
        <v>1558</v>
      </c>
      <c r="G564" s="78" t="s">
        <v>1513</v>
      </c>
      <c r="H564" s="77"/>
      <c r="I564" s="226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9"/>
    </row>
    <row r="565" spans="1:31" ht="15" thickBot="1" x14ac:dyDescent="0.35">
      <c r="A565" s="81"/>
      <c r="B565" s="82" t="s">
        <v>1571</v>
      </c>
      <c r="C565" s="82" t="s">
        <v>1493</v>
      </c>
      <c r="D565" s="82" t="s">
        <v>40</v>
      </c>
      <c r="E565" s="82" t="s">
        <v>1560</v>
      </c>
      <c r="F565" s="82" t="s">
        <v>1564</v>
      </c>
      <c r="G565" s="82" t="s">
        <v>1513</v>
      </c>
      <c r="H565" s="83"/>
      <c r="I565" s="227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4"/>
    </row>
    <row r="566" spans="1:31" x14ac:dyDescent="0.3">
      <c r="A566" s="72" t="s">
        <v>806</v>
      </c>
      <c r="B566" s="73" t="s">
        <v>1882</v>
      </c>
      <c r="C566" s="74" t="s">
        <v>1479</v>
      </c>
      <c r="D566" s="74" t="s">
        <v>807</v>
      </c>
      <c r="E566" s="74" t="s">
        <v>1480</v>
      </c>
      <c r="F566" s="74"/>
      <c r="G566" s="74" t="s">
        <v>1481</v>
      </c>
      <c r="H566" s="73" t="s">
        <v>1482</v>
      </c>
      <c r="I566" s="225">
        <v>65</v>
      </c>
      <c r="J566" s="73" t="s">
        <v>805</v>
      </c>
      <c r="K566" s="73">
        <v>113</v>
      </c>
      <c r="L566" s="73" t="s">
        <v>195</v>
      </c>
      <c r="M566" s="73" t="s">
        <v>1483</v>
      </c>
      <c r="N566" s="73" t="s">
        <v>1483</v>
      </c>
      <c r="O566" s="73" t="s">
        <v>1483</v>
      </c>
      <c r="P566" s="73" t="s">
        <v>1483</v>
      </c>
      <c r="Q566" s="73" t="s">
        <v>1483</v>
      </c>
      <c r="R566" s="73" t="s">
        <v>1483</v>
      </c>
      <c r="S566" s="73" t="s">
        <v>1484</v>
      </c>
      <c r="T566" s="73" t="s">
        <v>1484</v>
      </c>
      <c r="U566" s="73" t="s">
        <v>1484</v>
      </c>
      <c r="V566" s="73" t="s">
        <v>1484</v>
      </c>
      <c r="W566" s="73" t="s">
        <v>1485</v>
      </c>
      <c r="X566" s="73" t="s">
        <v>1484</v>
      </c>
      <c r="Y566" s="73" t="s">
        <v>1484</v>
      </c>
      <c r="Z566" s="73" t="s">
        <v>1485</v>
      </c>
      <c r="AA566" s="73" t="s">
        <v>1485</v>
      </c>
      <c r="AB566" s="73" t="s">
        <v>1484</v>
      </c>
      <c r="AC566" s="73" t="s">
        <v>1486</v>
      </c>
      <c r="AD566" s="73" t="s">
        <v>1487</v>
      </c>
      <c r="AE566" s="75" t="s">
        <v>1488</v>
      </c>
    </row>
    <row r="567" spans="1:31" x14ac:dyDescent="0.3">
      <c r="A567" s="76"/>
      <c r="B567" s="77"/>
      <c r="C567" s="78" t="s">
        <v>1493</v>
      </c>
      <c r="D567" s="78" t="s">
        <v>103</v>
      </c>
      <c r="E567" s="78" t="s">
        <v>1494</v>
      </c>
      <c r="F567" s="78" t="s">
        <v>1495</v>
      </c>
      <c r="G567" s="78" t="s">
        <v>1492</v>
      </c>
      <c r="H567" s="77"/>
      <c r="I567" s="226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9"/>
    </row>
    <row r="568" spans="1:31" x14ac:dyDescent="0.3">
      <c r="A568" s="76"/>
      <c r="B568" s="77"/>
      <c r="C568" s="78" t="s">
        <v>1496</v>
      </c>
      <c r="D568" s="78" t="s">
        <v>51</v>
      </c>
      <c r="E568" s="78" t="s">
        <v>1560</v>
      </c>
      <c r="F568" s="78" t="s">
        <v>1546</v>
      </c>
      <c r="G568" s="78" t="s">
        <v>1492</v>
      </c>
      <c r="H568" s="77"/>
      <c r="I568" s="226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9"/>
    </row>
    <row r="569" spans="1:31" x14ac:dyDescent="0.3">
      <c r="A569" s="76"/>
      <c r="B569" s="77"/>
      <c r="C569" s="78" t="s">
        <v>1504</v>
      </c>
      <c r="D569" s="78" t="s">
        <v>647</v>
      </c>
      <c r="E569" s="78" t="s">
        <v>1881</v>
      </c>
      <c r="F569" s="78" t="s">
        <v>1565</v>
      </c>
      <c r="G569" s="78" t="s">
        <v>1492</v>
      </c>
      <c r="H569" s="77"/>
      <c r="I569" s="226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9"/>
    </row>
    <row r="570" spans="1:31" x14ac:dyDescent="0.3">
      <c r="A570" s="76"/>
      <c r="B570" s="80"/>
      <c r="C570" s="78" t="s">
        <v>1507</v>
      </c>
      <c r="D570" s="78" t="s">
        <v>747</v>
      </c>
      <c r="E570" s="78" t="s">
        <v>1500</v>
      </c>
      <c r="F570" s="78" t="s">
        <v>1501</v>
      </c>
      <c r="G570" s="78" t="s">
        <v>1492</v>
      </c>
      <c r="H570" s="77"/>
      <c r="I570" s="226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9"/>
    </row>
    <row r="571" spans="1:31" x14ac:dyDescent="0.3">
      <c r="A571" s="76"/>
      <c r="B571" s="78" t="s">
        <v>1485</v>
      </c>
      <c r="C571" s="78" t="s">
        <v>1485</v>
      </c>
      <c r="D571" s="78" t="s">
        <v>1883</v>
      </c>
      <c r="E571" s="78" t="s">
        <v>1548</v>
      </c>
      <c r="F571" s="78" t="s">
        <v>1512</v>
      </c>
      <c r="G571" s="78" t="s">
        <v>1513</v>
      </c>
      <c r="H571" s="77"/>
      <c r="I571" s="226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9"/>
    </row>
    <row r="572" spans="1:31" x14ac:dyDescent="0.3">
      <c r="A572" s="76"/>
      <c r="B572" s="78" t="s">
        <v>1485</v>
      </c>
      <c r="C572" s="78" t="s">
        <v>1485</v>
      </c>
      <c r="D572" s="78" t="s">
        <v>1884</v>
      </c>
      <c r="E572" s="78" t="s">
        <v>1534</v>
      </c>
      <c r="F572" s="78" t="s">
        <v>1535</v>
      </c>
      <c r="G572" s="78" t="s">
        <v>1513</v>
      </c>
      <c r="H572" s="77"/>
      <c r="I572" s="226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9"/>
    </row>
    <row r="573" spans="1:31" x14ac:dyDescent="0.3">
      <c r="A573" s="76"/>
      <c r="B573" s="78" t="s">
        <v>1885</v>
      </c>
      <c r="C573" s="78" t="s">
        <v>1489</v>
      </c>
      <c r="D573" s="78" t="s">
        <v>344</v>
      </c>
      <c r="E573" s="78" t="s">
        <v>1480</v>
      </c>
      <c r="F573" s="78" t="s">
        <v>1518</v>
      </c>
      <c r="G573" s="78" t="s">
        <v>1513</v>
      </c>
      <c r="H573" s="77"/>
      <c r="I573" s="22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9"/>
    </row>
    <row r="574" spans="1:31" x14ac:dyDescent="0.3">
      <c r="A574" s="76"/>
      <c r="B574" s="78" t="s">
        <v>1779</v>
      </c>
      <c r="C574" s="78" t="s">
        <v>1489</v>
      </c>
      <c r="D574" s="78" t="s">
        <v>103</v>
      </c>
      <c r="E574" s="78" t="s">
        <v>1494</v>
      </c>
      <c r="F574" s="78" t="s">
        <v>1495</v>
      </c>
      <c r="G574" s="78" t="s">
        <v>1513</v>
      </c>
      <c r="H574" s="77"/>
      <c r="I574" s="226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9"/>
    </row>
    <row r="575" spans="1:31" x14ac:dyDescent="0.3">
      <c r="A575" s="76"/>
      <c r="B575" s="78" t="s">
        <v>1886</v>
      </c>
      <c r="C575" s="78" t="s">
        <v>1489</v>
      </c>
      <c r="D575" s="78" t="s">
        <v>747</v>
      </c>
      <c r="E575" s="78" t="s">
        <v>1500</v>
      </c>
      <c r="F575" s="78" t="s">
        <v>1501</v>
      </c>
      <c r="G575" s="78" t="s">
        <v>1513</v>
      </c>
      <c r="H575" s="77"/>
      <c r="I575" s="226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9"/>
    </row>
    <row r="576" spans="1:31" x14ac:dyDescent="0.3">
      <c r="A576" s="76"/>
      <c r="B576" s="78" t="s">
        <v>1559</v>
      </c>
      <c r="C576" s="78" t="s">
        <v>1489</v>
      </c>
      <c r="D576" s="78" t="s">
        <v>51</v>
      </c>
      <c r="E576" s="78" t="s">
        <v>1560</v>
      </c>
      <c r="F576" s="78" t="s">
        <v>1546</v>
      </c>
      <c r="G576" s="78" t="s">
        <v>1513</v>
      </c>
      <c r="H576" s="77"/>
      <c r="I576" s="226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9"/>
    </row>
    <row r="577" spans="1:31" ht="15" thickBot="1" x14ac:dyDescent="0.35">
      <c r="A577" s="81"/>
      <c r="B577" s="82" t="s">
        <v>1887</v>
      </c>
      <c r="C577" s="82" t="s">
        <v>1489</v>
      </c>
      <c r="D577" s="82" t="s">
        <v>647</v>
      </c>
      <c r="E577" s="82" t="s">
        <v>1881</v>
      </c>
      <c r="F577" s="82" t="s">
        <v>1565</v>
      </c>
      <c r="G577" s="82" t="s">
        <v>1513</v>
      </c>
      <c r="H577" s="83"/>
      <c r="I577" s="227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4"/>
    </row>
    <row r="578" spans="1:31" x14ac:dyDescent="0.3">
      <c r="A578" s="72" t="s">
        <v>801</v>
      </c>
      <c r="B578" s="73" t="s">
        <v>1888</v>
      </c>
      <c r="C578" s="74" t="s">
        <v>1479</v>
      </c>
      <c r="D578" s="74" t="s">
        <v>802</v>
      </c>
      <c r="E578" s="74" t="s">
        <v>1480</v>
      </c>
      <c r="F578" s="74"/>
      <c r="G578" s="74" t="s">
        <v>1481</v>
      </c>
      <c r="H578" s="73" t="s">
        <v>1482</v>
      </c>
      <c r="I578" s="225">
        <v>64</v>
      </c>
      <c r="J578" s="73" t="s">
        <v>800</v>
      </c>
      <c r="K578" s="73">
        <v>112</v>
      </c>
      <c r="L578" s="73" t="s">
        <v>195</v>
      </c>
      <c r="M578" s="73" t="s">
        <v>1483</v>
      </c>
      <c r="N578" s="73" t="s">
        <v>1483</v>
      </c>
      <c r="O578" s="73" t="s">
        <v>1483</v>
      </c>
      <c r="P578" s="73" t="s">
        <v>1483</v>
      </c>
      <c r="Q578" s="73" t="s">
        <v>1483</v>
      </c>
      <c r="R578" s="73" t="s">
        <v>1483</v>
      </c>
      <c r="S578" s="73" t="s">
        <v>1484</v>
      </c>
      <c r="T578" s="73" t="s">
        <v>1484</v>
      </c>
      <c r="U578" s="73" t="s">
        <v>1484</v>
      </c>
      <c r="V578" s="73" t="s">
        <v>1484</v>
      </c>
      <c r="W578" s="73" t="s">
        <v>1485</v>
      </c>
      <c r="X578" s="73" t="s">
        <v>1484</v>
      </c>
      <c r="Y578" s="73" t="s">
        <v>1484</v>
      </c>
      <c r="Z578" s="73" t="s">
        <v>1485</v>
      </c>
      <c r="AA578" s="73" t="s">
        <v>1485</v>
      </c>
      <c r="AB578" s="73" t="s">
        <v>1484</v>
      </c>
      <c r="AC578" s="73" t="s">
        <v>1486</v>
      </c>
      <c r="AD578" s="73" t="s">
        <v>1487</v>
      </c>
      <c r="AE578" s="75" t="s">
        <v>1488</v>
      </c>
    </row>
    <row r="579" spans="1:31" x14ac:dyDescent="0.3">
      <c r="A579" s="76"/>
      <c r="B579" s="77"/>
      <c r="C579" s="78" t="s">
        <v>1493</v>
      </c>
      <c r="D579" s="78" t="s">
        <v>399</v>
      </c>
      <c r="E579" s="78" t="s">
        <v>1494</v>
      </c>
      <c r="F579" s="78" t="s">
        <v>1495</v>
      </c>
      <c r="G579" s="78" t="s">
        <v>1492</v>
      </c>
      <c r="H579" s="77"/>
      <c r="I579" s="226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9"/>
    </row>
    <row r="580" spans="1:31" x14ac:dyDescent="0.3">
      <c r="A580" s="76"/>
      <c r="B580" s="77"/>
      <c r="C580" s="78" t="s">
        <v>1496</v>
      </c>
      <c r="D580" s="78" t="s">
        <v>27</v>
      </c>
      <c r="E580" s="78" t="s">
        <v>1560</v>
      </c>
      <c r="F580" s="78" t="s">
        <v>1619</v>
      </c>
      <c r="G580" s="78" t="s">
        <v>1492</v>
      </c>
      <c r="H580" s="77"/>
      <c r="I580" s="226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9"/>
    </row>
    <row r="581" spans="1:31" x14ac:dyDescent="0.3">
      <c r="A581" s="76"/>
      <c r="B581" s="77"/>
      <c r="C581" s="78" t="s">
        <v>1499</v>
      </c>
      <c r="D581" s="78" t="s">
        <v>126</v>
      </c>
      <c r="E581" s="78" t="s">
        <v>1708</v>
      </c>
      <c r="F581" s="78" t="s">
        <v>1565</v>
      </c>
      <c r="G581" s="78" t="s">
        <v>1492</v>
      </c>
      <c r="H581" s="77"/>
      <c r="I581" s="226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9"/>
    </row>
    <row r="582" spans="1:31" x14ac:dyDescent="0.3">
      <c r="A582" s="76"/>
      <c r="B582" s="80"/>
      <c r="C582" s="78" t="s">
        <v>1507</v>
      </c>
      <c r="D582" s="78" t="s">
        <v>730</v>
      </c>
      <c r="E582" s="78" t="s">
        <v>1500</v>
      </c>
      <c r="F582" s="78" t="s">
        <v>1501</v>
      </c>
      <c r="G582" s="78" t="s">
        <v>1492</v>
      </c>
      <c r="H582" s="77"/>
      <c r="I582" s="226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9"/>
    </row>
    <row r="583" spans="1:31" x14ac:dyDescent="0.3">
      <c r="A583" s="76"/>
      <c r="B583" s="78" t="s">
        <v>1485</v>
      </c>
      <c r="C583" s="78" t="s">
        <v>1485</v>
      </c>
      <c r="D583" s="78" t="s">
        <v>1889</v>
      </c>
      <c r="E583" s="78" t="s">
        <v>1534</v>
      </c>
      <c r="F583" s="78" t="s">
        <v>1535</v>
      </c>
      <c r="G583" s="78" t="s">
        <v>1513</v>
      </c>
      <c r="H583" s="77"/>
      <c r="I583" s="226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9"/>
    </row>
    <row r="584" spans="1:31" x14ac:dyDescent="0.3">
      <c r="A584" s="76"/>
      <c r="B584" s="78" t="s">
        <v>1485</v>
      </c>
      <c r="C584" s="78" t="s">
        <v>1485</v>
      </c>
      <c r="D584" s="78" t="s">
        <v>1890</v>
      </c>
      <c r="E584" s="78" t="s">
        <v>1548</v>
      </c>
      <c r="F584" s="78" t="s">
        <v>1512</v>
      </c>
      <c r="G584" s="78" t="s">
        <v>1513</v>
      </c>
      <c r="H584" s="77"/>
      <c r="I584" s="226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9"/>
    </row>
    <row r="585" spans="1:31" x14ac:dyDescent="0.3">
      <c r="A585" s="76"/>
      <c r="B585" s="78" t="s">
        <v>1891</v>
      </c>
      <c r="C585" s="78" t="s">
        <v>1489</v>
      </c>
      <c r="D585" s="78" t="s">
        <v>334</v>
      </c>
      <c r="E585" s="78" t="s">
        <v>1480</v>
      </c>
      <c r="F585" s="78" t="s">
        <v>1518</v>
      </c>
      <c r="G585" s="78" t="s">
        <v>1513</v>
      </c>
      <c r="H585" s="77"/>
      <c r="I585" s="226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9"/>
    </row>
    <row r="586" spans="1:31" x14ac:dyDescent="0.3">
      <c r="A586" s="76"/>
      <c r="B586" s="78" t="s">
        <v>1815</v>
      </c>
      <c r="C586" s="78" t="s">
        <v>1493</v>
      </c>
      <c r="D586" s="78" t="s">
        <v>399</v>
      </c>
      <c r="E586" s="78" t="s">
        <v>1494</v>
      </c>
      <c r="F586" s="78" t="s">
        <v>1495</v>
      </c>
      <c r="G586" s="78" t="s">
        <v>1513</v>
      </c>
      <c r="H586" s="77"/>
      <c r="I586" s="226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9"/>
    </row>
    <row r="587" spans="1:31" x14ac:dyDescent="0.3">
      <c r="A587" s="76"/>
      <c r="B587" s="78" t="s">
        <v>1892</v>
      </c>
      <c r="C587" s="78" t="s">
        <v>1489</v>
      </c>
      <c r="D587" s="78" t="s">
        <v>730</v>
      </c>
      <c r="E587" s="78" t="s">
        <v>1500</v>
      </c>
      <c r="F587" s="78" t="s">
        <v>1501</v>
      </c>
      <c r="G587" s="78" t="s">
        <v>1513</v>
      </c>
      <c r="H587" s="77"/>
      <c r="I587" s="226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9"/>
    </row>
    <row r="588" spans="1:31" x14ac:dyDescent="0.3">
      <c r="A588" s="76"/>
      <c r="B588" s="78" t="s">
        <v>1716</v>
      </c>
      <c r="C588" s="78" t="s">
        <v>1493</v>
      </c>
      <c r="D588" s="78" t="s">
        <v>27</v>
      </c>
      <c r="E588" s="78" t="s">
        <v>1560</v>
      </c>
      <c r="F588" s="78" t="s">
        <v>1619</v>
      </c>
      <c r="G588" s="78" t="s">
        <v>1513</v>
      </c>
      <c r="H588" s="77"/>
      <c r="I588" s="226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9"/>
    </row>
    <row r="589" spans="1:31" ht="15" thickBot="1" x14ac:dyDescent="0.35">
      <c r="A589" s="81"/>
      <c r="B589" s="82" t="s">
        <v>1712</v>
      </c>
      <c r="C589" s="82" t="s">
        <v>1493</v>
      </c>
      <c r="D589" s="82" t="s">
        <v>126</v>
      </c>
      <c r="E589" s="82" t="s">
        <v>1708</v>
      </c>
      <c r="F589" s="82" t="s">
        <v>1565</v>
      </c>
      <c r="G589" s="82" t="s">
        <v>1513</v>
      </c>
      <c r="H589" s="83"/>
      <c r="I589" s="227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4"/>
    </row>
    <row r="590" spans="1:31" x14ac:dyDescent="0.3">
      <c r="A590" s="72" t="s">
        <v>788</v>
      </c>
      <c r="B590" s="73" t="s">
        <v>1893</v>
      </c>
      <c r="C590" s="74" t="s">
        <v>1479</v>
      </c>
      <c r="D590" s="74" t="s">
        <v>789</v>
      </c>
      <c r="E590" s="74" t="s">
        <v>1480</v>
      </c>
      <c r="F590" s="74"/>
      <c r="G590" s="74" t="s">
        <v>1481</v>
      </c>
      <c r="H590" s="73" t="s">
        <v>1482</v>
      </c>
      <c r="I590" s="225">
        <v>63</v>
      </c>
      <c r="J590" s="73" t="s">
        <v>787</v>
      </c>
      <c r="K590" s="73">
        <v>110</v>
      </c>
      <c r="L590" s="73" t="s">
        <v>195</v>
      </c>
      <c r="M590" s="73" t="s">
        <v>1483</v>
      </c>
      <c r="N590" s="73" t="s">
        <v>1483</v>
      </c>
      <c r="O590" s="73" t="s">
        <v>1483</v>
      </c>
      <c r="P590" s="73" t="s">
        <v>1483</v>
      </c>
      <c r="Q590" s="73" t="s">
        <v>1483</v>
      </c>
      <c r="R590" s="73" t="s">
        <v>1483</v>
      </c>
      <c r="S590" s="73" t="s">
        <v>1484</v>
      </c>
      <c r="T590" s="73" t="s">
        <v>1484</v>
      </c>
      <c r="U590" s="73" t="s">
        <v>1484</v>
      </c>
      <c r="V590" s="73" t="s">
        <v>1484</v>
      </c>
      <c r="W590" s="73" t="s">
        <v>1485</v>
      </c>
      <c r="X590" s="73" t="s">
        <v>1484</v>
      </c>
      <c r="Y590" s="73" t="s">
        <v>1484</v>
      </c>
      <c r="Z590" s="73" t="s">
        <v>1485</v>
      </c>
      <c r="AA590" s="73" t="s">
        <v>1485</v>
      </c>
      <c r="AB590" s="73" t="s">
        <v>1484</v>
      </c>
      <c r="AC590" s="73" t="s">
        <v>1486</v>
      </c>
      <c r="AD590" s="73" t="s">
        <v>1487</v>
      </c>
      <c r="AE590" s="75" t="s">
        <v>1488</v>
      </c>
    </row>
    <row r="591" spans="1:31" x14ac:dyDescent="0.3">
      <c r="A591" s="76"/>
      <c r="B591" s="77"/>
      <c r="C591" s="78" t="s">
        <v>1493</v>
      </c>
      <c r="D591" s="78" t="s">
        <v>392</v>
      </c>
      <c r="E591" s="78" t="s">
        <v>1494</v>
      </c>
      <c r="F591" s="78" t="s">
        <v>1495</v>
      </c>
      <c r="G591" s="78" t="s">
        <v>1492</v>
      </c>
      <c r="H591" s="77"/>
      <c r="I591" s="226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9"/>
    </row>
    <row r="592" spans="1:31" x14ac:dyDescent="0.3">
      <c r="A592" s="76"/>
      <c r="B592" s="77"/>
      <c r="C592" s="78" t="s">
        <v>1496</v>
      </c>
      <c r="D592" s="78" t="s">
        <v>790</v>
      </c>
      <c r="E592" s="78" t="s">
        <v>1560</v>
      </c>
      <c r="F592" s="78" t="s">
        <v>1680</v>
      </c>
      <c r="G592" s="78" t="s">
        <v>1492</v>
      </c>
      <c r="H592" s="77"/>
      <c r="I592" s="226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9"/>
    </row>
    <row r="593" spans="1:31" x14ac:dyDescent="0.3">
      <c r="A593" s="76"/>
      <c r="B593" s="77"/>
      <c r="C593" s="78" t="s">
        <v>1499</v>
      </c>
      <c r="D593" s="78" t="s">
        <v>179</v>
      </c>
      <c r="E593" s="78" t="s">
        <v>1503</v>
      </c>
      <c r="F593" s="78" t="s">
        <v>1495</v>
      </c>
      <c r="G593" s="78" t="s">
        <v>1492</v>
      </c>
      <c r="H593" s="77"/>
      <c r="I593" s="226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9"/>
    </row>
    <row r="594" spans="1:31" x14ac:dyDescent="0.3">
      <c r="A594" s="76"/>
      <c r="B594" s="77"/>
      <c r="C594" s="78" t="s">
        <v>1504</v>
      </c>
      <c r="D594" s="78" t="s">
        <v>263</v>
      </c>
      <c r="E594" s="78" t="s">
        <v>1595</v>
      </c>
      <c r="F594" s="78" t="s">
        <v>1631</v>
      </c>
      <c r="G594" s="78" t="s">
        <v>1492</v>
      </c>
      <c r="H594" s="77"/>
      <c r="I594" s="226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9"/>
    </row>
    <row r="595" spans="1:31" x14ac:dyDescent="0.3">
      <c r="A595" s="76"/>
      <c r="B595" s="80"/>
      <c r="C595" s="78" t="s">
        <v>1507</v>
      </c>
      <c r="D595" s="78" t="s">
        <v>709</v>
      </c>
      <c r="E595" s="78" t="s">
        <v>1500</v>
      </c>
      <c r="F595" s="78" t="s">
        <v>1501</v>
      </c>
      <c r="G595" s="78" t="s">
        <v>1492</v>
      </c>
      <c r="H595" s="77"/>
      <c r="I595" s="226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9"/>
    </row>
    <row r="596" spans="1:31" x14ac:dyDescent="0.3">
      <c r="A596" s="76"/>
      <c r="B596" s="78" t="s">
        <v>1485</v>
      </c>
      <c r="C596" s="78" t="s">
        <v>1485</v>
      </c>
      <c r="D596" s="78" t="s">
        <v>1894</v>
      </c>
      <c r="E596" s="78" t="s">
        <v>1548</v>
      </c>
      <c r="F596" s="78" t="s">
        <v>1549</v>
      </c>
      <c r="G596" s="78" t="s">
        <v>1513</v>
      </c>
      <c r="H596" s="77"/>
      <c r="I596" s="226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9"/>
    </row>
    <row r="597" spans="1:31" x14ac:dyDescent="0.3">
      <c r="A597" s="76"/>
      <c r="B597" s="78" t="s">
        <v>1485</v>
      </c>
      <c r="C597" s="78" t="s">
        <v>1485</v>
      </c>
      <c r="D597" s="78" t="s">
        <v>1895</v>
      </c>
      <c r="E597" s="78" t="s">
        <v>1534</v>
      </c>
      <c r="F597" s="78" t="s">
        <v>1535</v>
      </c>
      <c r="G597" s="78" t="s">
        <v>1513</v>
      </c>
      <c r="H597" s="77"/>
      <c r="I597" s="226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9"/>
    </row>
    <row r="598" spans="1:31" x14ac:dyDescent="0.3">
      <c r="A598" s="76"/>
      <c r="B598" s="78" t="s">
        <v>1896</v>
      </c>
      <c r="C598" s="78" t="s">
        <v>1489</v>
      </c>
      <c r="D598" s="78" t="s">
        <v>304</v>
      </c>
      <c r="E598" s="78" t="s">
        <v>1480</v>
      </c>
      <c r="F598" s="78" t="s">
        <v>1518</v>
      </c>
      <c r="G598" s="78" t="s">
        <v>1513</v>
      </c>
      <c r="H598" s="77"/>
      <c r="I598" s="226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9"/>
    </row>
    <row r="599" spans="1:31" x14ac:dyDescent="0.3">
      <c r="A599" s="76"/>
      <c r="B599" s="78" t="s">
        <v>1822</v>
      </c>
      <c r="C599" s="78" t="s">
        <v>1493</v>
      </c>
      <c r="D599" s="78" t="s">
        <v>392</v>
      </c>
      <c r="E599" s="78" t="s">
        <v>1494</v>
      </c>
      <c r="F599" s="78" t="s">
        <v>1495</v>
      </c>
      <c r="G599" s="78" t="s">
        <v>1513</v>
      </c>
      <c r="H599" s="77"/>
      <c r="I599" s="226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9"/>
    </row>
    <row r="600" spans="1:31" x14ac:dyDescent="0.3">
      <c r="A600" s="76"/>
      <c r="B600" s="78" t="s">
        <v>1741</v>
      </c>
      <c r="C600" s="78" t="s">
        <v>1507</v>
      </c>
      <c r="D600" s="78" t="s">
        <v>179</v>
      </c>
      <c r="E600" s="78" t="s">
        <v>1503</v>
      </c>
      <c r="F600" s="78" t="s">
        <v>1495</v>
      </c>
      <c r="G600" s="78" t="s">
        <v>1513</v>
      </c>
      <c r="H600" s="77"/>
      <c r="I600" s="226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9"/>
    </row>
    <row r="601" spans="1:31" x14ac:dyDescent="0.3">
      <c r="A601" s="76"/>
      <c r="B601" s="78" t="s">
        <v>1897</v>
      </c>
      <c r="C601" s="78" t="s">
        <v>1489</v>
      </c>
      <c r="D601" s="78" t="s">
        <v>709</v>
      </c>
      <c r="E601" s="78" t="s">
        <v>1500</v>
      </c>
      <c r="F601" s="78" t="s">
        <v>1501</v>
      </c>
      <c r="G601" s="78" t="s">
        <v>1513</v>
      </c>
      <c r="H601" s="77"/>
      <c r="I601" s="226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9"/>
    </row>
    <row r="602" spans="1:31" x14ac:dyDescent="0.3">
      <c r="A602" s="76"/>
      <c r="B602" s="78" t="s">
        <v>1898</v>
      </c>
      <c r="C602" s="78" t="s">
        <v>1496</v>
      </c>
      <c r="D602" s="78" t="s">
        <v>145</v>
      </c>
      <c r="E602" s="78" t="s">
        <v>1708</v>
      </c>
      <c r="F602" s="78" t="s">
        <v>1558</v>
      </c>
      <c r="G602" s="78" t="s">
        <v>1513</v>
      </c>
      <c r="H602" s="77"/>
      <c r="I602" s="226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9"/>
    </row>
    <row r="603" spans="1:31" x14ac:dyDescent="0.3">
      <c r="A603" s="76"/>
      <c r="B603" s="78" t="s">
        <v>1685</v>
      </c>
      <c r="C603" s="78" t="s">
        <v>1489</v>
      </c>
      <c r="D603" s="78" t="s">
        <v>790</v>
      </c>
      <c r="E603" s="78" t="s">
        <v>1560</v>
      </c>
      <c r="F603" s="78" t="s">
        <v>1680</v>
      </c>
      <c r="G603" s="78" t="s">
        <v>1513</v>
      </c>
      <c r="H603" s="77"/>
      <c r="I603" s="226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9"/>
    </row>
    <row r="604" spans="1:31" ht="15" thickBot="1" x14ac:dyDescent="0.35">
      <c r="A604" s="81"/>
      <c r="B604" s="82" t="s">
        <v>1638</v>
      </c>
      <c r="C604" s="82" t="s">
        <v>1493</v>
      </c>
      <c r="D604" s="82" t="s">
        <v>263</v>
      </c>
      <c r="E604" s="82" t="s">
        <v>1595</v>
      </c>
      <c r="F604" s="82" t="s">
        <v>1631</v>
      </c>
      <c r="G604" s="82" t="s">
        <v>1513</v>
      </c>
      <c r="H604" s="83"/>
      <c r="I604" s="227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4"/>
    </row>
    <row r="605" spans="1:31" x14ac:dyDescent="0.3">
      <c r="A605" s="72" t="s">
        <v>347</v>
      </c>
      <c r="B605" s="73" t="s">
        <v>1899</v>
      </c>
      <c r="C605" s="74" t="s">
        <v>1479</v>
      </c>
      <c r="D605" s="74" t="s">
        <v>348</v>
      </c>
      <c r="E605" s="74" t="s">
        <v>1480</v>
      </c>
      <c r="F605" s="74"/>
      <c r="G605" s="74" t="s">
        <v>1481</v>
      </c>
      <c r="H605" s="73" t="s">
        <v>1482</v>
      </c>
      <c r="I605" s="225" t="s">
        <v>1485</v>
      </c>
      <c r="J605" s="73" t="s">
        <v>346</v>
      </c>
      <c r="K605" s="73">
        <v>42</v>
      </c>
      <c r="L605" s="73" t="s">
        <v>320</v>
      </c>
      <c r="M605" s="73" t="s">
        <v>1483</v>
      </c>
      <c r="N605" s="73" t="s">
        <v>1483</v>
      </c>
      <c r="O605" s="73" t="s">
        <v>1483</v>
      </c>
      <c r="P605" s="73" t="s">
        <v>1483</v>
      </c>
      <c r="Q605" s="73" t="s">
        <v>1483</v>
      </c>
      <c r="R605" s="73" t="s">
        <v>1483</v>
      </c>
      <c r="S605" s="73" t="s">
        <v>1484</v>
      </c>
      <c r="T605" s="73" t="s">
        <v>1484</v>
      </c>
      <c r="U605" s="73" t="s">
        <v>1484</v>
      </c>
      <c r="V605" s="73" t="s">
        <v>1484</v>
      </c>
      <c r="W605" s="73" t="s">
        <v>1485</v>
      </c>
      <c r="X605" s="73" t="s">
        <v>1484</v>
      </c>
      <c r="Y605" s="73" t="s">
        <v>1484</v>
      </c>
      <c r="Z605" s="73" t="s">
        <v>1485</v>
      </c>
      <c r="AA605" s="73" t="s">
        <v>1485</v>
      </c>
      <c r="AB605" s="73" t="s">
        <v>1484</v>
      </c>
      <c r="AC605" s="73" t="s">
        <v>1486</v>
      </c>
      <c r="AD605" s="73" t="s">
        <v>1487</v>
      </c>
      <c r="AE605" s="75" t="s">
        <v>1488</v>
      </c>
    </row>
    <row r="606" spans="1:31" x14ac:dyDescent="0.3">
      <c r="A606" s="76"/>
      <c r="B606" s="77"/>
      <c r="C606" s="78" t="s">
        <v>1489</v>
      </c>
      <c r="D606" s="78" t="s">
        <v>349</v>
      </c>
      <c r="E606" s="78" t="s">
        <v>1900</v>
      </c>
      <c r="F606" s="78" t="s">
        <v>1565</v>
      </c>
      <c r="G606" s="78" t="s">
        <v>1492</v>
      </c>
      <c r="H606" s="77"/>
      <c r="I606" s="226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9"/>
    </row>
    <row r="607" spans="1:31" x14ac:dyDescent="0.3">
      <c r="A607" s="76"/>
      <c r="B607" s="77"/>
      <c r="C607" s="78" t="s">
        <v>1493</v>
      </c>
      <c r="D607" s="78" t="s">
        <v>290</v>
      </c>
      <c r="E607" s="78" t="s">
        <v>1503</v>
      </c>
      <c r="F607" s="78" t="s">
        <v>1495</v>
      </c>
      <c r="G607" s="78" t="s">
        <v>1492</v>
      </c>
      <c r="H607" s="77"/>
      <c r="I607" s="226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9"/>
    </row>
    <row r="608" spans="1:31" x14ac:dyDescent="0.3">
      <c r="A608" s="76"/>
      <c r="B608" s="77"/>
      <c r="C608" s="78" t="s">
        <v>1496</v>
      </c>
      <c r="D608" s="78" t="s">
        <v>106</v>
      </c>
      <c r="E608" s="78" t="s">
        <v>1500</v>
      </c>
      <c r="F608" s="78" t="s">
        <v>1501</v>
      </c>
      <c r="G608" s="78" t="s">
        <v>1492</v>
      </c>
      <c r="H608" s="77"/>
      <c r="I608" s="226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9"/>
    </row>
    <row r="609" spans="1:31" x14ac:dyDescent="0.3">
      <c r="A609" s="76"/>
      <c r="B609" s="77"/>
      <c r="C609" s="78" t="s">
        <v>1499</v>
      </c>
      <c r="D609" s="78" t="s">
        <v>167</v>
      </c>
      <c r="E609" s="78" t="s">
        <v>1560</v>
      </c>
      <c r="F609" s="78" t="s">
        <v>1528</v>
      </c>
      <c r="G609" s="78" t="s">
        <v>1492</v>
      </c>
      <c r="H609" s="77"/>
      <c r="I609" s="226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9"/>
    </row>
    <row r="610" spans="1:31" x14ac:dyDescent="0.3">
      <c r="A610" s="76"/>
      <c r="B610" s="77"/>
      <c r="C610" s="78" t="s">
        <v>1502</v>
      </c>
      <c r="D610" s="78" t="s">
        <v>350</v>
      </c>
      <c r="E610" s="78" t="s">
        <v>1620</v>
      </c>
      <c r="F610" s="78" t="s">
        <v>1495</v>
      </c>
      <c r="G610" s="78" t="s">
        <v>1492</v>
      </c>
      <c r="H610" s="77"/>
      <c r="I610" s="226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9"/>
    </row>
    <row r="611" spans="1:31" x14ac:dyDescent="0.3">
      <c r="A611" s="76"/>
      <c r="B611" s="80"/>
      <c r="C611" s="78" t="s">
        <v>1507</v>
      </c>
      <c r="D611" s="78" t="s">
        <v>351</v>
      </c>
      <c r="E611" s="78" t="s">
        <v>1508</v>
      </c>
      <c r="F611" s="78" t="s">
        <v>1509</v>
      </c>
      <c r="G611" s="78" t="s">
        <v>1492</v>
      </c>
      <c r="H611" s="77"/>
      <c r="I611" s="22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9"/>
    </row>
    <row r="612" spans="1:31" x14ac:dyDescent="0.3">
      <c r="A612" s="76"/>
      <c r="B612" s="78" t="s">
        <v>1829</v>
      </c>
      <c r="C612" s="78" t="s">
        <v>1493</v>
      </c>
      <c r="D612" s="78" t="s">
        <v>290</v>
      </c>
      <c r="E612" s="78" t="s">
        <v>1503</v>
      </c>
      <c r="F612" s="78" t="s">
        <v>1495</v>
      </c>
      <c r="G612" s="78" t="s">
        <v>1513</v>
      </c>
      <c r="H612" s="77"/>
      <c r="I612" s="226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9"/>
    </row>
    <row r="613" spans="1:31" x14ac:dyDescent="0.3">
      <c r="A613" s="76"/>
      <c r="B613" s="78" t="s">
        <v>1901</v>
      </c>
      <c r="C613" s="78" t="s">
        <v>1493</v>
      </c>
      <c r="D613" s="78" t="s">
        <v>350</v>
      </c>
      <c r="E613" s="78" t="s">
        <v>1620</v>
      </c>
      <c r="F613" s="78" t="s">
        <v>1495</v>
      </c>
      <c r="G613" s="78" t="s">
        <v>1513</v>
      </c>
      <c r="H613" s="77"/>
      <c r="I613" s="226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9"/>
    </row>
    <row r="614" spans="1:31" x14ac:dyDescent="0.3">
      <c r="A614" s="76"/>
      <c r="B614" s="78" t="s">
        <v>1656</v>
      </c>
      <c r="C614" s="78" t="s">
        <v>1504</v>
      </c>
      <c r="D614" s="78" t="s">
        <v>106</v>
      </c>
      <c r="E614" s="78" t="s">
        <v>1500</v>
      </c>
      <c r="F614" s="78" t="s">
        <v>1501</v>
      </c>
      <c r="G614" s="78" t="s">
        <v>1513</v>
      </c>
      <c r="H614" s="77"/>
      <c r="I614" s="226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9"/>
    </row>
    <row r="615" spans="1:31" x14ac:dyDescent="0.3">
      <c r="A615" s="76"/>
      <c r="B615" s="78" t="s">
        <v>1606</v>
      </c>
      <c r="C615" s="78" t="s">
        <v>1493</v>
      </c>
      <c r="D615" s="78" t="s">
        <v>167</v>
      </c>
      <c r="E615" s="78" t="s">
        <v>1560</v>
      </c>
      <c r="F615" s="78" t="s">
        <v>1528</v>
      </c>
      <c r="G615" s="78" t="s">
        <v>1513</v>
      </c>
      <c r="H615" s="77"/>
      <c r="I615" s="226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9"/>
    </row>
    <row r="616" spans="1:31" ht="15" thickBot="1" x14ac:dyDescent="0.35">
      <c r="A616" s="81"/>
      <c r="B616" s="82" t="s">
        <v>1902</v>
      </c>
      <c r="C616" s="82" t="s">
        <v>1489</v>
      </c>
      <c r="D616" s="82" t="s">
        <v>349</v>
      </c>
      <c r="E616" s="82" t="s">
        <v>1900</v>
      </c>
      <c r="F616" s="82" t="s">
        <v>1565</v>
      </c>
      <c r="G616" s="82" t="s">
        <v>1513</v>
      </c>
      <c r="H616" s="83"/>
      <c r="I616" s="227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4"/>
    </row>
    <row r="617" spans="1:31" x14ac:dyDescent="0.3">
      <c r="A617" s="72" t="s">
        <v>354</v>
      </c>
      <c r="B617" s="73" t="s">
        <v>1903</v>
      </c>
      <c r="C617" s="74" t="s">
        <v>1479</v>
      </c>
      <c r="D617" s="74" t="s">
        <v>355</v>
      </c>
      <c r="E617" s="74" t="s">
        <v>1480</v>
      </c>
      <c r="F617" s="74"/>
      <c r="G617" s="74" t="s">
        <v>1481</v>
      </c>
      <c r="H617" s="73" t="s">
        <v>1482</v>
      </c>
      <c r="I617" s="225" t="s">
        <v>1485</v>
      </c>
      <c r="J617" s="73" t="s">
        <v>353</v>
      </c>
      <c r="K617" s="73">
        <v>43</v>
      </c>
      <c r="L617" s="73" t="s">
        <v>320</v>
      </c>
      <c r="M617" s="73" t="s">
        <v>1483</v>
      </c>
      <c r="N617" s="73" t="s">
        <v>1483</v>
      </c>
      <c r="O617" s="73" t="s">
        <v>1483</v>
      </c>
      <c r="P617" s="73" t="s">
        <v>1483</v>
      </c>
      <c r="Q617" s="73" t="s">
        <v>1483</v>
      </c>
      <c r="R617" s="73" t="s">
        <v>1483</v>
      </c>
      <c r="S617" s="73" t="s">
        <v>1484</v>
      </c>
      <c r="T617" s="73" t="s">
        <v>1484</v>
      </c>
      <c r="U617" s="73" t="s">
        <v>1484</v>
      </c>
      <c r="V617" s="73" t="s">
        <v>1484</v>
      </c>
      <c r="W617" s="73" t="s">
        <v>1485</v>
      </c>
      <c r="X617" s="73" t="s">
        <v>1484</v>
      </c>
      <c r="Y617" s="73" t="s">
        <v>1484</v>
      </c>
      <c r="Z617" s="73" t="s">
        <v>1485</v>
      </c>
      <c r="AA617" s="73" t="s">
        <v>1485</v>
      </c>
      <c r="AB617" s="73" t="s">
        <v>1484</v>
      </c>
      <c r="AC617" s="73" t="s">
        <v>1486</v>
      </c>
      <c r="AD617" s="73" t="s">
        <v>1487</v>
      </c>
      <c r="AE617" s="75" t="s">
        <v>1488</v>
      </c>
    </row>
    <row r="618" spans="1:31" x14ac:dyDescent="0.3">
      <c r="A618" s="76"/>
      <c r="B618" s="77"/>
      <c r="C618" s="78" t="s">
        <v>1493</v>
      </c>
      <c r="D618" s="78" t="s">
        <v>290</v>
      </c>
      <c r="E618" s="78" t="s">
        <v>1503</v>
      </c>
      <c r="F618" s="200" t="s">
        <v>1495</v>
      </c>
      <c r="G618" s="78" t="s">
        <v>1492</v>
      </c>
      <c r="H618" s="77"/>
      <c r="I618" s="226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9"/>
    </row>
    <row r="619" spans="1:31" x14ac:dyDescent="0.3">
      <c r="A619" s="76"/>
      <c r="B619" s="77"/>
      <c r="C619" s="78" t="s">
        <v>1496</v>
      </c>
      <c r="D619" s="78" t="s">
        <v>79</v>
      </c>
      <c r="E619" s="78" t="s">
        <v>1500</v>
      </c>
      <c r="F619" s="78" t="s">
        <v>1501</v>
      </c>
      <c r="G619" s="78" t="s">
        <v>1492</v>
      </c>
      <c r="H619" s="77"/>
      <c r="I619" s="226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9"/>
    </row>
    <row r="620" spans="1:31" x14ac:dyDescent="0.3">
      <c r="A620" s="76"/>
      <c r="B620" s="77"/>
      <c r="C620" s="78" t="s">
        <v>1502</v>
      </c>
      <c r="D620" s="78" t="s">
        <v>356</v>
      </c>
      <c r="E620" s="78" t="s">
        <v>1620</v>
      </c>
      <c r="F620" s="78" t="s">
        <v>1495</v>
      </c>
      <c r="G620" s="78" t="s">
        <v>1492</v>
      </c>
      <c r="H620" s="85"/>
      <c r="I620" s="226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9"/>
    </row>
    <row r="621" spans="1:31" x14ac:dyDescent="0.3">
      <c r="A621" s="76"/>
      <c r="B621" s="80"/>
      <c r="C621" s="78" t="s">
        <v>1507</v>
      </c>
      <c r="D621" s="78" t="s">
        <v>357</v>
      </c>
      <c r="E621" s="78" t="s">
        <v>1508</v>
      </c>
      <c r="F621" s="78" t="s">
        <v>1509</v>
      </c>
      <c r="G621" s="78" t="s">
        <v>1492</v>
      </c>
      <c r="H621" s="85"/>
      <c r="I621" s="226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9"/>
    </row>
    <row r="622" spans="1:31" x14ac:dyDescent="0.3">
      <c r="A622" s="76"/>
      <c r="B622" s="78" t="s">
        <v>1485</v>
      </c>
      <c r="C622" s="78" t="s">
        <v>1485</v>
      </c>
      <c r="D622" s="78" t="s">
        <v>358</v>
      </c>
      <c r="E622" s="78" t="s">
        <v>1534</v>
      </c>
      <c r="F622" s="78" t="s">
        <v>1535</v>
      </c>
      <c r="G622" s="78" t="s">
        <v>1513</v>
      </c>
      <c r="H622" s="77"/>
      <c r="I622" s="226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9"/>
    </row>
    <row r="623" spans="1:31" x14ac:dyDescent="0.3">
      <c r="A623" s="76"/>
      <c r="B623" s="78" t="s">
        <v>1829</v>
      </c>
      <c r="C623" s="78" t="s">
        <v>1496</v>
      </c>
      <c r="D623" s="78" t="s">
        <v>290</v>
      </c>
      <c r="E623" s="78" t="s">
        <v>1503</v>
      </c>
      <c r="F623" s="200" t="s">
        <v>2650</v>
      </c>
      <c r="G623" s="78" t="s">
        <v>1513</v>
      </c>
      <c r="H623" s="77"/>
      <c r="I623" s="226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9"/>
    </row>
    <row r="624" spans="1:31" x14ac:dyDescent="0.3">
      <c r="A624" s="76"/>
      <c r="B624" s="78" t="s">
        <v>1904</v>
      </c>
      <c r="C624" s="78" t="s">
        <v>1496</v>
      </c>
      <c r="D624" s="78" t="s">
        <v>356</v>
      </c>
      <c r="E624" s="78" t="s">
        <v>1620</v>
      </c>
      <c r="F624" s="78" t="s">
        <v>1495</v>
      </c>
      <c r="G624" s="78" t="s">
        <v>1513</v>
      </c>
      <c r="H624" s="85"/>
      <c r="I624" s="226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9"/>
    </row>
    <row r="625" spans="1:31" x14ac:dyDescent="0.3">
      <c r="A625" s="76"/>
      <c r="B625" s="78" t="s">
        <v>1521</v>
      </c>
      <c r="C625" s="78" t="s">
        <v>1502</v>
      </c>
      <c r="D625" s="78" t="s">
        <v>79</v>
      </c>
      <c r="E625" s="78" t="s">
        <v>1500</v>
      </c>
      <c r="F625" s="78" t="s">
        <v>1501</v>
      </c>
      <c r="G625" s="78" t="s">
        <v>1513</v>
      </c>
      <c r="H625" s="77"/>
      <c r="I625" s="226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9"/>
    </row>
    <row r="626" spans="1:31" ht="15" thickBot="1" x14ac:dyDescent="0.35">
      <c r="A626" s="81"/>
      <c r="B626" s="82" t="s">
        <v>1905</v>
      </c>
      <c r="C626" s="82" t="s">
        <v>1489</v>
      </c>
      <c r="D626" s="82" t="s">
        <v>359</v>
      </c>
      <c r="E626" s="82" t="s">
        <v>1900</v>
      </c>
      <c r="F626" s="82" t="s">
        <v>1558</v>
      </c>
      <c r="G626" s="82" t="s">
        <v>1513</v>
      </c>
      <c r="H626" s="82"/>
      <c r="I626" s="227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4"/>
    </row>
    <row r="627" spans="1:31" x14ac:dyDescent="0.3">
      <c r="A627" s="72" t="s">
        <v>362</v>
      </c>
      <c r="B627" s="73" t="s">
        <v>1906</v>
      </c>
      <c r="C627" s="74" t="s">
        <v>1479</v>
      </c>
      <c r="D627" s="74" t="s">
        <v>363</v>
      </c>
      <c r="E627" s="74" t="s">
        <v>1480</v>
      </c>
      <c r="F627" s="74"/>
      <c r="G627" s="74" t="s">
        <v>1481</v>
      </c>
      <c r="H627" s="73" t="s">
        <v>1482</v>
      </c>
      <c r="I627" s="225" t="s">
        <v>1485</v>
      </c>
      <c r="J627" s="73" t="s">
        <v>361</v>
      </c>
      <c r="K627" s="73">
        <v>44</v>
      </c>
      <c r="L627" s="73" t="s">
        <v>320</v>
      </c>
      <c r="M627" s="73" t="s">
        <v>1483</v>
      </c>
      <c r="N627" s="73" t="s">
        <v>1483</v>
      </c>
      <c r="O627" s="73" t="s">
        <v>1483</v>
      </c>
      <c r="P627" s="73" t="s">
        <v>1483</v>
      </c>
      <c r="Q627" s="73" t="s">
        <v>1483</v>
      </c>
      <c r="R627" s="73" t="s">
        <v>1483</v>
      </c>
      <c r="S627" s="73" t="s">
        <v>1484</v>
      </c>
      <c r="T627" s="73" t="s">
        <v>1484</v>
      </c>
      <c r="U627" s="73" t="s">
        <v>1484</v>
      </c>
      <c r="V627" s="73" t="s">
        <v>1484</v>
      </c>
      <c r="W627" s="73" t="s">
        <v>1485</v>
      </c>
      <c r="X627" s="73" t="s">
        <v>1484</v>
      </c>
      <c r="Y627" s="73" t="s">
        <v>1484</v>
      </c>
      <c r="Z627" s="73" t="s">
        <v>1485</v>
      </c>
      <c r="AA627" s="73" t="s">
        <v>1485</v>
      </c>
      <c r="AB627" s="73" t="s">
        <v>1484</v>
      </c>
      <c r="AC627" s="73" t="s">
        <v>1486</v>
      </c>
      <c r="AD627" s="73" t="s">
        <v>1487</v>
      </c>
      <c r="AE627" s="75" t="s">
        <v>1488</v>
      </c>
    </row>
    <row r="628" spans="1:31" x14ac:dyDescent="0.3">
      <c r="A628" s="76"/>
      <c r="B628" s="77"/>
      <c r="C628" s="78" t="s">
        <v>1489</v>
      </c>
      <c r="D628" s="78" t="s">
        <v>364</v>
      </c>
      <c r="E628" s="78" t="s">
        <v>1907</v>
      </c>
      <c r="F628" s="78" t="s">
        <v>1565</v>
      </c>
      <c r="G628" s="78" t="s">
        <v>1492</v>
      </c>
      <c r="H628" s="77"/>
      <c r="I628" s="226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9"/>
    </row>
    <row r="629" spans="1:31" x14ac:dyDescent="0.3">
      <c r="A629" s="76"/>
      <c r="B629" s="77"/>
      <c r="C629" s="78" t="s">
        <v>1493</v>
      </c>
      <c r="D629" s="78" t="s">
        <v>28</v>
      </c>
      <c r="E629" s="78" t="s">
        <v>1503</v>
      </c>
      <c r="F629" s="78" t="s">
        <v>1495</v>
      </c>
      <c r="G629" s="78" t="s">
        <v>1492</v>
      </c>
      <c r="H629" s="77"/>
      <c r="I629" s="226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9"/>
    </row>
    <row r="630" spans="1:31" x14ac:dyDescent="0.3">
      <c r="A630" s="76"/>
      <c r="B630" s="77"/>
      <c r="C630" s="78" t="s">
        <v>1496</v>
      </c>
      <c r="D630" s="78" t="s">
        <v>65</v>
      </c>
      <c r="E630" s="78" t="s">
        <v>1500</v>
      </c>
      <c r="F630" s="78" t="s">
        <v>1501</v>
      </c>
      <c r="G630" s="78" t="s">
        <v>1492</v>
      </c>
      <c r="H630" s="77"/>
      <c r="I630" s="226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9"/>
    </row>
    <row r="631" spans="1:31" x14ac:dyDescent="0.3">
      <c r="A631" s="76"/>
      <c r="B631" s="77"/>
      <c r="C631" s="78" t="s">
        <v>1502</v>
      </c>
      <c r="D631" s="78" t="s">
        <v>365</v>
      </c>
      <c r="E631" s="78" t="s">
        <v>1620</v>
      </c>
      <c r="F631" s="78" t="s">
        <v>1495</v>
      </c>
      <c r="G631" s="78" t="s">
        <v>1492</v>
      </c>
      <c r="H631" s="77"/>
      <c r="I631" s="226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9"/>
    </row>
    <row r="632" spans="1:31" x14ac:dyDescent="0.3">
      <c r="A632" s="76"/>
      <c r="B632" s="80"/>
      <c r="C632" s="78" t="s">
        <v>1507</v>
      </c>
      <c r="D632" s="78" t="s">
        <v>366</v>
      </c>
      <c r="E632" s="78" t="s">
        <v>1508</v>
      </c>
      <c r="F632" s="78" t="s">
        <v>1509</v>
      </c>
      <c r="G632" s="78" t="s">
        <v>1492</v>
      </c>
      <c r="H632" s="77"/>
      <c r="I632" s="226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9"/>
    </row>
    <row r="633" spans="1:31" x14ac:dyDescent="0.3">
      <c r="A633" s="76"/>
      <c r="B633" s="78" t="s">
        <v>1714</v>
      </c>
      <c r="C633" s="78" t="s">
        <v>1496</v>
      </c>
      <c r="D633" s="78" t="s">
        <v>28</v>
      </c>
      <c r="E633" s="78" t="s">
        <v>1503</v>
      </c>
      <c r="F633" s="78" t="s">
        <v>1495</v>
      </c>
      <c r="G633" s="78" t="s">
        <v>1513</v>
      </c>
      <c r="H633" s="77"/>
      <c r="I633" s="226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9"/>
    </row>
    <row r="634" spans="1:31" x14ac:dyDescent="0.3">
      <c r="A634" s="76"/>
      <c r="B634" s="78" t="s">
        <v>1908</v>
      </c>
      <c r="C634" s="78" t="s">
        <v>1493</v>
      </c>
      <c r="D634" s="78" t="s">
        <v>365</v>
      </c>
      <c r="E634" s="78" t="s">
        <v>1620</v>
      </c>
      <c r="F634" s="78" t="s">
        <v>1495</v>
      </c>
      <c r="G634" s="78" t="s">
        <v>1513</v>
      </c>
      <c r="H634" s="77"/>
      <c r="I634" s="226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9"/>
    </row>
    <row r="635" spans="1:31" x14ac:dyDescent="0.3">
      <c r="A635" s="76"/>
      <c r="B635" s="78" t="s">
        <v>1538</v>
      </c>
      <c r="C635" s="78" t="s">
        <v>1502</v>
      </c>
      <c r="D635" s="78" t="s">
        <v>65</v>
      </c>
      <c r="E635" s="78" t="s">
        <v>1500</v>
      </c>
      <c r="F635" s="78" t="s">
        <v>1501</v>
      </c>
      <c r="G635" s="78" t="s">
        <v>1513</v>
      </c>
      <c r="H635" s="77"/>
      <c r="I635" s="226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9"/>
    </row>
    <row r="636" spans="1:31" ht="15" thickBot="1" x14ac:dyDescent="0.35">
      <c r="A636" s="81"/>
      <c r="B636" s="82" t="s">
        <v>1909</v>
      </c>
      <c r="C636" s="82" t="s">
        <v>1489</v>
      </c>
      <c r="D636" s="82" t="s">
        <v>364</v>
      </c>
      <c r="E636" s="82" t="s">
        <v>1907</v>
      </c>
      <c r="F636" s="82" t="s">
        <v>1565</v>
      </c>
      <c r="G636" s="82" t="s">
        <v>1513</v>
      </c>
      <c r="H636" s="83"/>
      <c r="I636" s="227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4"/>
    </row>
    <row r="637" spans="1:31" x14ac:dyDescent="0.3">
      <c r="A637" s="72" t="s">
        <v>369</v>
      </c>
      <c r="B637" s="73" t="s">
        <v>1910</v>
      </c>
      <c r="C637" s="74" t="s">
        <v>1479</v>
      </c>
      <c r="D637" s="74" t="s">
        <v>370</v>
      </c>
      <c r="E637" s="74" t="s">
        <v>1480</v>
      </c>
      <c r="F637" s="74"/>
      <c r="G637" s="74" t="s">
        <v>1481</v>
      </c>
      <c r="H637" s="73" t="s">
        <v>1482</v>
      </c>
      <c r="I637" s="225" t="s">
        <v>1485</v>
      </c>
      <c r="J637" s="73" t="s">
        <v>368</v>
      </c>
      <c r="K637" s="73">
        <v>45</v>
      </c>
      <c r="L637" s="73" t="s">
        <v>320</v>
      </c>
      <c r="M637" s="73" t="s">
        <v>1483</v>
      </c>
      <c r="N637" s="73" t="s">
        <v>1483</v>
      </c>
      <c r="O637" s="73" t="s">
        <v>1483</v>
      </c>
      <c r="P637" s="73" t="s">
        <v>1483</v>
      </c>
      <c r="Q637" s="73" t="s">
        <v>1483</v>
      </c>
      <c r="R637" s="73" t="s">
        <v>1483</v>
      </c>
      <c r="S637" s="73" t="s">
        <v>1484</v>
      </c>
      <c r="T637" s="73" t="s">
        <v>1484</v>
      </c>
      <c r="U637" s="73" t="s">
        <v>1484</v>
      </c>
      <c r="V637" s="73" t="s">
        <v>1484</v>
      </c>
      <c r="W637" s="73" t="s">
        <v>1485</v>
      </c>
      <c r="X637" s="73" t="s">
        <v>1484</v>
      </c>
      <c r="Y637" s="73" t="s">
        <v>1484</v>
      </c>
      <c r="Z637" s="73" t="s">
        <v>1485</v>
      </c>
      <c r="AA637" s="73" t="s">
        <v>1485</v>
      </c>
      <c r="AB637" s="73" t="s">
        <v>1484</v>
      </c>
      <c r="AC637" s="73" t="s">
        <v>1486</v>
      </c>
      <c r="AD637" s="73" t="s">
        <v>1487</v>
      </c>
      <c r="AE637" s="75" t="s">
        <v>1488</v>
      </c>
    </row>
    <row r="638" spans="1:31" x14ac:dyDescent="0.3">
      <c r="A638" s="76"/>
      <c r="B638" s="77"/>
      <c r="C638" s="78" t="s">
        <v>1493</v>
      </c>
      <c r="D638" s="78" t="s">
        <v>371</v>
      </c>
      <c r="E638" s="78" t="s">
        <v>1503</v>
      </c>
      <c r="F638" s="78" t="s">
        <v>1495</v>
      </c>
      <c r="G638" s="78" t="s">
        <v>1492</v>
      </c>
      <c r="H638" s="77"/>
      <c r="I638" s="226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9"/>
    </row>
    <row r="639" spans="1:31" x14ac:dyDescent="0.3">
      <c r="A639" s="76"/>
      <c r="B639" s="77"/>
      <c r="C639" s="78" t="s">
        <v>1496</v>
      </c>
      <c r="D639" s="78" t="s">
        <v>142</v>
      </c>
      <c r="E639" s="78" t="s">
        <v>1500</v>
      </c>
      <c r="F639" s="78" t="s">
        <v>1501</v>
      </c>
      <c r="G639" s="78" t="s">
        <v>1492</v>
      </c>
      <c r="H639" s="77"/>
      <c r="I639" s="226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9"/>
    </row>
    <row r="640" spans="1:31" x14ac:dyDescent="0.3">
      <c r="A640" s="76"/>
      <c r="B640" s="77"/>
      <c r="C640" s="78" t="s">
        <v>1502</v>
      </c>
      <c r="D640" s="78" t="s">
        <v>372</v>
      </c>
      <c r="E640" s="78" t="s">
        <v>1620</v>
      </c>
      <c r="F640" s="78" t="s">
        <v>1495</v>
      </c>
      <c r="G640" s="78" t="s">
        <v>1492</v>
      </c>
      <c r="H640" s="77"/>
      <c r="I640" s="226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9"/>
    </row>
    <row r="641" spans="1:31" x14ac:dyDescent="0.3">
      <c r="A641" s="76"/>
      <c r="B641" s="80"/>
      <c r="C641" s="78" t="s">
        <v>1507</v>
      </c>
      <c r="D641" s="78" t="s">
        <v>373</v>
      </c>
      <c r="E641" s="78" t="s">
        <v>1508</v>
      </c>
      <c r="F641" s="78" t="s">
        <v>1509</v>
      </c>
      <c r="G641" s="78" t="s">
        <v>1492</v>
      </c>
      <c r="H641" s="77"/>
      <c r="I641" s="226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9"/>
    </row>
    <row r="642" spans="1:31" x14ac:dyDescent="0.3">
      <c r="A642" s="76"/>
      <c r="B642" s="78" t="s">
        <v>1485</v>
      </c>
      <c r="C642" s="78" t="s">
        <v>1485</v>
      </c>
      <c r="D642" s="78" t="s">
        <v>374</v>
      </c>
      <c r="E642" s="78" t="s">
        <v>1534</v>
      </c>
      <c r="F642" s="78" t="s">
        <v>1535</v>
      </c>
      <c r="G642" s="78" t="s">
        <v>1513</v>
      </c>
      <c r="H642" s="77"/>
      <c r="I642" s="226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9"/>
    </row>
    <row r="643" spans="1:31" x14ac:dyDescent="0.3">
      <c r="A643" s="76"/>
      <c r="B643" s="78" t="s">
        <v>1778</v>
      </c>
      <c r="C643" s="78" t="s">
        <v>1493</v>
      </c>
      <c r="D643" s="78" t="s">
        <v>119</v>
      </c>
      <c r="E643" s="78" t="s">
        <v>1480</v>
      </c>
      <c r="F643" s="78" t="s">
        <v>1518</v>
      </c>
      <c r="G643" s="78" t="s">
        <v>1513</v>
      </c>
      <c r="H643" s="77"/>
      <c r="I643" s="226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9"/>
    </row>
    <row r="644" spans="1:31" x14ac:dyDescent="0.3">
      <c r="A644" s="76"/>
      <c r="B644" s="78" t="s">
        <v>1844</v>
      </c>
      <c r="C644" s="78" t="s">
        <v>1493</v>
      </c>
      <c r="D644" s="78" t="s">
        <v>371</v>
      </c>
      <c r="E644" s="78" t="s">
        <v>1503</v>
      </c>
      <c r="F644" s="78" t="s">
        <v>1495</v>
      </c>
      <c r="G644" s="78" t="s">
        <v>1513</v>
      </c>
      <c r="H644" s="77"/>
      <c r="I644" s="226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9"/>
    </row>
    <row r="645" spans="1:31" x14ac:dyDescent="0.3">
      <c r="A645" s="76"/>
      <c r="B645" s="78" t="s">
        <v>1911</v>
      </c>
      <c r="C645" s="78" t="s">
        <v>1493</v>
      </c>
      <c r="D645" s="78" t="s">
        <v>372</v>
      </c>
      <c r="E645" s="78" t="s">
        <v>1620</v>
      </c>
      <c r="F645" s="78" t="s">
        <v>1495</v>
      </c>
      <c r="G645" s="78" t="s">
        <v>1513</v>
      </c>
      <c r="H645" s="77"/>
      <c r="I645" s="226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9"/>
    </row>
    <row r="646" spans="1:31" x14ac:dyDescent="0.3">
      <c r="A646" s="76"/>
      <c r="B646" s="78" t="s">
        <v>1556</v>
      </c>
      <c r="C646" s="78" t="s">
        <v>1502</v>
      </c>
      <c r="D646" s="78" t="s">
        <v>142</v>
      </c>
      <c r="E646" s="78" t="s">
        <v>1500</v>
      </c>
      <c r="F646" s="78" t="s">
        <v>1501</v>
      </c>
      <c r="G646" s="78" t="s">
        <v>1513</v>
      </c>
      <c r="H646" s="77"/>
      <c r="I646" s="226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9"/>
    </row>
    <row r="647" spans="1:31" ht="15" thickBot="1" x14ac:dyDescent="0.35">
      <c r="A647" s="81"/>
      <c r="B647" s="82" t="s">
        <v>1912</v>
      </c>
      <c r="C647" s="82" t="s">
        <v>1489</v>
      </c>
      <c r="D647" s="82" t="s">
        <v>375</v>
      </c>
      <c r="E647" s="82" t="s">
        <v>1907</v>
      </c>
      <c r="F647" s="82" t="s">
        <v>1558</v>
      </c>
      <c r="G647" s="82" t="s">
        <v>1513</v>
      </c>
      <c r="H647" s="83"/>
      <c r="I647" s="227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4"/>
    </row>
    <row r="648" spans="1:31" x14ac:dyDescent="0.3">
      <c r="A648" s="72" t="s">
        <v>516</v>
      </c>
      <c r="B648" s="73" t="s">
        <v>1913</v>
      </c>
      <c r="C648" s="74" t="s">
        <v>1479</v>
      </c>
      <c r="D648" s="74" t="s">
        <v>517</v>
      </c>
      <c r="E648" s="74" t="s">
        <v>1480</v>
      </c>
      <c r="F648" s="74"/>
      <c r="G648" s="74" t="s">
        <v>1481</v>
      </c>
      <c r="H648" s="73" t="s">
        <v>1575</v>
      </c>
      <c r="I648" s="225" t="s">
        <v>1485</v>
      </c>
      <c r="J648" s="73" t="s">
        <v>515</v>
      </c>
      <c r="K648" s="73">
        <v>67</v>
      </c>
      <c r="L648" s="73" t="s">
        <v>320</v>
      </c>
      <c r="M648" s="73" t="s">
        <v>1483</v>
      </c>
      <c r="N648" s="73" t="s">
        <v>1483</v>
      </c>
      <c r="O648" s="73" t="s">
        <v>1483</v>
      </c>
      <c r="P648" s="73" t="s">
        <v>1483</v>
      </c>
      <c r="Q648" s="73" t="s">
        <v>1483</v>
      </c>
      <c r="R648" s="73" t="s">
        <v>1483</v>
      </c>
      <c r="S648" s="73" t="s">
        <v>1484</v>
      </c>
      <c r="T648" s="73" t="s">
        <v>1484</v>
      </c>
      <c r="U648" s="73" t="s">
        <v>1484</v>
      </c>
      <c r="V648" s="73" t="s">
        <v>1484</v>
      </c>
      <c r="W648" s="73" t="s">
        <v>1485</v>
      </c>
      <c r="X648" s="73" t="s">
        <v>1484</v>
      </c>
      <c r="Y648" s="73" t="s">
        <v>1484</v>
      </c>
      <c r="Z648" s="73" t="s">
        <v>1484</v>
      </c>
      <c r="AA648" s="73" t="s">
        <v>1485</v>
      </c>
      <c r="AB648" s="73" t="s">
        <v>1484</v>
      </c>
      <c r="AC648" s="73" t="s">
        <v>1486</v>
      </c>
      <c r="AD648" s="73" t="s">
        <v>1487</v>
      </c>
      <c r="AE648" s="75" t="s">
        <v>1579</v>
      </c>
    </row>
    <row r="649" spans="1:31" x14ac:dyDescent="0.3">
      <c r="A649" s="76"/>
      <c r="B649" s="77"/>
      <c r="C649" s="78" t="s">
        <v>1489</v>
      </c>
      <c r="D649" s="78" t="s">
        <v>518</v>
      </c>
      <c r="E649" s="78" t="s">
        <v>1651</v>
      </c>
      <c r="F649" s="78" t="s">
        <v>1611</v>
      </c>
      <c r="G649" s="78" t="s">
        <v>1492</v>
      </c>
      <c r="H649" s="77"/>
      <c r="I649" s="22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9"/>
    </row>
    <row r="650" spans="1:31" x14ac:dyDescent="0.3">
      <c r="A650" s="76"/>
      <c r="B650" s="77"/>
      <c r="C650" s="78" t="s">
        <v>1493</v>
      </c>
      <c r="D650" s="78" t="s">
        <v>519</v>
      </c>
      <c r="E650" s="78" t="s">
        <v>1503</v>
      </c>
      <c r="F650" s="78" t="s">
        <v>1495</v>
      </c>
      <c r="G650" s="78" t="s">
        <v>1492</v>
      </c>
      <c r="H650" s="77"/>
      <c r="I650" s="226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9"/>
    </row>
    <row r="651" spans="1:31" x14ac:dyDescent="0.3">
      <c r="A651" s="76"/>
      <c r="B651" s="77"/>
      <c r="C651" s="78" t="s">
        <v>1496</v>
      </c>
      <c r="D651" s="78" t="s">
        <v>380</v>
      </c>
      <c r="E651" s="78" t="s">
        <v>1595</v>
      </c>
      <c r="F651" s="78" t="s">
        <v>1528</v>
      </c>
      <c r="G651" s="78" t="s">
        <v>1492</v>
      </c>
      <c r="H651" s="77"/>
      <c r="I651" s="226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9"/>
    </row>
    <row r="652" spans="1:31" x14ac:dyDescent="0.3">
      <c r="A652" s="76"/>
      <c r="B652" s="77"/>
      <c r="C652" s="78" t="s">
        <v>1499</v>
      </c>
      <c r="D652" s="78" t="s">
        <v>520</v>
      </c>
      <c r="E652" s="78" t="s">
        <v>1620</v>
      </c>
      <c r="F652" s="78" t="s">
        <v>1495</v>
      </c>
      <c r="G652" s="78" t="s">
        <v>1492</v>
      </c>
      <c r="H652" s="77"/>
      <c r="I652" s="226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9"/>
    </row>
    <row r="653" spans="1:31" x14ac:dyDescent="0.3">
      <c r="A653" s="76"/>
      <c r="B653" s="77"/>
      <c r="C653" s="78" t="s">
        <v>1502</v>
      </c>
      <c r="D653" s="78" t="s">
        <v>26</v>
      </c>
      <c r="E653" s="78" t="s">
        <v>1609</v>
      </c>
      <c r="F653" s="78" t="s">
        <v>1565</v>
      </c>
      <c r="G653" s="78" t="s">
        <v>1492</v>
      </c>
      <c r="H653" s="77"/>
      <c r="I653" s="226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9"/>
    </row>
    <row r="654" spans="1:31" x14ac:dyDescent="0.3">
      <c r="A654" s="76"/>
      <c r="B654" s="77"/>
      <c r="C654" s="78" t="s">
        <v>1504</v>
      </c>
      <c r="D654" s="78" t="s">
        <v>439</v>
      </c>
      <c r="E654" s="78" t="s">
        <v>1500</v>
      </c>
      <c r="F654" s="78" t="s">
        <v>1501</v>
      </c>
      <c r="G654" s="78" t="s">
        <v>1492</v>
      </c>
      <c r="H654" s="77"/>
      <c r="I654" s="226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9"/>
    </row>
    <row r="655" spans="1:31" x14ac:dyDescent="0.3">
      <c r="A655" s="76"/>
      <c r="B655" s="80"/>
      <c r="C655" s="78" t="s">
        <v>1507</v>
      </c>
      <c r="D655" s="78" t="s">
        <v>521</v>
      </c>
      <c r="E655" s="78" t="s">
        <v>1508</v>
      </c>
      <c r="F655" s="78" t="s">
        <v>1509</v>
      </c>
      <c r="G655" s="78" t="s">
        <v>1492</v>
      </c>
      <c r="H655" s="77"/>
      <c r="I655" s="226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9"/>
    </row>
    <row r="656" spans="1:31" x14ac:dyDescent="0.3">
      <c r="A656" s="76"/>
      <c r="B656" s="78" t="s">
        <v>1784</v>
      </c>
      <c r="C656" s="78" t="s">
        <v>1493</v>
      </c>
      <c r="D656" s="78" t="s">
        <v>109</v>
      </c>
      <c r="E656" s="78" t="s">
        <v>1480</v>
      </c>
      <c r="F656" s="78" t="s">
        <v>1518</v>
      </c>
      <c r="G656" s="78" t="s">
        <v>1513</v>
      </c>
      <c r="H656" s="77"/>
      <c r="I656" s="226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9"/>
    </row>
    <row r="657" spans="1:31" x14ac:dyDescent="0.3">
      <c r="A657" s="76"/>
      <c r="B657" s="78" t="s">
        <v>1852</v>
      </c>
      <c r="C657" s="78" t="s">
        <v>1493</v>
      </c>
      <c r="D657" s="78" t="s">
        <v>519</v>
      </c>
      <c r="E657" s="78" t="s">
        <v>1503</v>
      </c>
      <c r="F657" s="78" t="s">
        <v>1495</v>
      </c>
      <c r="G657" s="78" t="s">
        <v>1513</v>
      </c>
      <c r="H657" s="77"/>
      <c r="I657" s="226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9"/>
    </row>
    <row r="658" spans="1:31" x14ac:dyDescent="0.3">
      <c r="A658" s="76"/>
      <c r="B658" s="78" t="s">
        <v>1683</v>
      </c>
      <c r="C658" s="78" t="s">
        <v>1493</v>
      </c>
      <c r="D658" s="78" t="s">
        <v>520</v>
      </c>
      <c r="E658" s="78" t="s">
        <v>1620</v>
      </c>
      <c r="F658" s="78" t="s">
        <v>1495</v>
      </c>
      <c r="G658" s="78" t="s">
        <v>1513</v>
      </c>
      <c r="H658" s="77"/>
      <c r="I658" s="226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9"/>
    </row>
    <row r="659" spans="1:31" x14ac:dyDescent="0.3">
      <c r="A659" s="76"/>
      <c r="B659" s="78" t="s">
        <v>1914</v>
      </c>
      <c r="C659" s="78" t="s">
        <v>1502</v>
      </c>
      <c r="D659" s="78" t="s">
        <v>439</v>
      </c>
      <c r="E659" s="78" t="s">
        <v>1500</v>
      </c>
      <c r="F659" s="78" t="s">
        <v>1501</v>
      </c>
      <c r="G659" s="78" t="s">
        <v>1513</v>
      </c>
      <c r="H659" s="77"/>
      <c r="I659" s="226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9"/>
    </row>
    <row r="660" spans="1:31" x14ac:dyDescent="0.3">
      <c r="A660" s="76"/>
      <c r="B660" s="78" t="s">
        <v>1607</v>
      </c>
      <c r="C660" s="78" t="s">
        <v>1499</v>
      </c>
      <c r="D660" s="78" t="s">
        <v>380</v>
      </c>
      <c r="E660" s="78" t="s">
        <v>1595</v>
      </c>
      <c r="F660" s="78" t="s">
        <v>1528</v>
      </c>
      <c r="G660" s="78" t="s">
        <v>1513</v>
      </c>
      <c r="H660" s="77"/>
      <c r="I660" s="226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9"/>
    </row>
    <row r="661" spans="1:31" x14ac:dyDescent="0.3">
      <c r="A661" s="76"/>
      <c r="B661" s="78" t="s">
        <v>1915</v>
      </c>
      <c r="C661" s="78" t="s">
        <v>1489</v>
      </c>
      <c r="D661" s="78" t="s">
        <v>522</v>
      </c>
      <c r="E661" s="78" t="s">
        <v>1749</v>
      </c>
      <c r="F661" s="78" t="s">
        <v>1916</v>
      </c>
      <c r="G661" s="78" t="s">
        <v>1513</v>
      </c>
      <c r="H661" s="77"/>
      <c r="I661" s="226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9"/>
    </row>
    <row r="662" spans="1:31" ht="15" thickBot="1" x14ac:dyDescent="0.35">
      <c r="A662" s="81"/>
      <c r="B662" s="82" t="s">
        <v>1719</v>
      </c>
      <c r="C662" s="82" t="s">
        <v>1502</v>
      </c>
      <c r="D662" s="82" t="s">
        <v>26</v>
      </c>
      <c r="E662" s="82" t="s">
        <v>1609</v>
      </c>
      <c r="F662" s="82" t="s">
        <v>1565</v>
      </c>
      <c r="G662" s="82" t="s">
        <v>1513</v>
      </c>
      <c r="H662" s="83"/>
      <c r="I662" s="227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4"/>
    </row>
    <row r="663" spans="1:31" x14ac:dyDescent="0.3">
      <c r="A663" s="72" t="s">
        <v>534</v>
      </c>
      <c r="B663" s="73" t="s">
        <v>1917</v>
      </c>
      <c r="C663" s="74" t="s">
        <v>1479</v>
      </c>
      <c r="D663" s="74" t="s">
        <v>535</v>
      </c>
      <c r="E663" s="74" t="s">
        <v>1480</v>
      </c>
      <c r="F663" s="74"/>
      <c r="G663" s="74" t="s">
        <v>1481</v>
      </c>
      <c r="H663" s="73" t="s">
        <v>1482</v>
      </c>
      <c r="I663" s="225" t="s">
        <v>1485</v>
      </c>
      <c r="J663" s="73" t="s">
        <v>533</v>
      </c>
      <c r="K663" s="73">
        <v>69</v>
      </c>
      <c r="L663" s="73" t="s">
        <v>320</v>
      </c>
      <c r="M663" s="73" t="s">
        <v>1483</v>
      </c>
      <c r="N663" s="73" t="s">
        <v>1483</v>
      </c>
      <c r="O663" s="73" t="s">
        <v>1483</v>
      </c>
      <c r="P663" s="73" t="s">
        <v>1483</v>
      </c>
      <c r="Q663" s="73" t="s">
        <v>1483</v>
      </c>
      <c r="R663" s="73" t="s">
        <v>1483</v>
      </c>
      <c r="S663" s="73" t="s">
        <v>1484</v>
      </c>
      <c r="T663" s="73" t="s">
        <v>1484</v>
      </c>
      <c r="U663" s="73" t="s">
        <v>1484</v>
      </c>
      <c r="V663" s="73" t="s">
        <v>1484</v>
      </c>
      <c r="W663" s="73" t="s">
        <v>1485</v>
      </c>
      <c r="X663" s="73" t="s">
        <v>1484</v>
      </c>
      <c r="Y663" s="73" t="s">
        <v>1484</v>
      </c>
      <c r="Z663" s="73" t="s">
        <v>1485</v>
      </c>
      <c r="AA663" s="73" t="s">
        <v>1485</v>
      </c>
      <c r="AB663" s="73" t="s">
        <v>1484</v>
      </c>
      <c r="AC663" s="73" t="s">
        <v>1486</v>
      </c>
      <c r="AD663" s="73" t="s">
        <v>1487</v>
      </c>
      <c r="AE663" s="75" t="s">
        <v>1488</v>
      </c>
    </row>
    <row r="664" spans="1:31" x14ac:dyDescent="0.3">
      <c r="A664" s="76"/>
      <c r="B664" s="77"/>
      <c r="C664" s="78" t="s">
        <v>1489</v>
      </c>
      <c r="D664" s="78" t="s">
        <v>536</v>
      </c>
      <c r="E664" s="78" t="s">
        <v>1548</v>
      </c>
      <c r="F664" s="78" t="s">
        <v>1791</v>
      </c>
      <c r="G664" s="78" t="s">
        <v>1492</v>
      </c>
      <c r="H664" s="77"/>
      <c r="I664" s="226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9"/>
    </row>
    <row r="665" spans="1:31" x14ac:dyDescent="0.3">
      <c r="A665" s="76"/>
      <c r="B665" s="77"/>
      <c r="C665" s="78" t="s">
        <v>1493</v>
      </c>
      <c r="D665" s="78" t="s">
        <v>537</v>
      </c>
      <c r="E665" s="78" t="s">
        <v>1503</v>
      </c>
      <c r="F665" s="78" t="s">
        <v>1495</v>
      </c>
      <c r="G665" s="78" t="s">
        <v>1492</v>
      </c>
      <c r="H665" s="77"/>
      <c r="I665" s="226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9"/>
    </row>
    <row r="666" spans="1:31" x14ac:dyDescent="0.3">
      <c r="A666" s="76"/>
      <c r="B666" s="77"/>
      <c r="C666" s="78" t="s">
        <v>1496</v>
      </c>
      <c r="D666" s="78" t="s">
        <v>142</v>
      </c>
      <c r="E666" s="78" t="s">
        <v>1500</v>
      </c>
      <c r="F666" s="78" t="s">
        <v>1501</v>
      </c>
      <c r="G666" s="78" t="s">
        <v>1492</v>
      </c>
      <c r="H666" s="77"/>
      <c r="I666" s="226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9"/>
    </row>
    <row r="667" spans="1:31" x14ac:dyDescent="0.3">
      <c r="A667" s="76"/>
      <c r="B667" s="77"/>
      <c r="C667" s="78" t="s">
        <v>1499</v>
      </c>
      <c r="D667" s="78" t="s">
        <v>538</v>
      </c>
      <c r="E667" s="78" t="s">
        <v>1620</v>
      </c>
      <c r="F667" s="78" t="s">
        <v>1495</v>
      </c>
      <c r="G667" s="78" t="s">
        <v>1492</v>
      </c>
      <c r="H667" s="77"/>
      <c r="I667" s="226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9"/>
    </row>
    <row r="668" spans="1:31" x14ac:dyDescent="0.3">
      <c r="A668" s="76"/>
      <c r="B668" s="80"/>
      <c r="C668" s="78" t="s">
        <v>1507</v>
      </c>
      <c r="D668" s="78" t="s">
        <v>539</v>
      </c>
      <c r="E668" s="78" t="s">
        <v>1508</v>
      </c>
      <c r="F668" s="78" t="s">
        <v>1509</v>
      </c>
      <c r="G668" s="78" t="s">
        <v>1492</v>
      </c>
      <c r="H668" s="77"/>
      <c r="I668" s="226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9"/>
    </row>
    <row r="669" spans="1:31" x14ac:dyDescent="0.3">
      <c r="A669" s="76"/>
      <c r="B669" s="78" t="s">
        <v>1485</v>
      </c>
      <c r="C669" s="78" t="s">
        <v>1485</v>
      </c>
      <c r="D669" s="78" t="s">
        <v>540</v>
      </c>
      <c r="E669" s="78" t="s">
        <v>1534</v>
      </c>
      <c r="F669" s="78" t="s">
        <v>1535</v>
      </c>
      <c r="G669" s="78" t="s">
        <v>1513</v>
      </c>
      <c r="H669" s="77"/>
      <c r="I669" s="226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9"/>
    </row>
    <row r="670" spans="1:31" x14ac:dyDescent="0.3">
      <c r="A670" s="76"/>
      <c r="B670" s="78" t="s">
        <v>1662</v>
      </c>
      <c r="C670" s="78" t="s">
        <v>1499</v>
      </c>
      <c r="D670" s="78" t="s">
        <v>541</v>
      </c>
      <c r="E670" s="78" t="s">
        <v>1651</v>
      </c>
      <c r="F670" s="78" t="s">
        <v>1600</v>
      </c>
      <c r="G670" s="78" t="s">
        <v>1513</v>
      </c>
      <c r="H670" s="77"/>
      <c r="I670" s="226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9"/>
    </row>
    <row r="671" spans="1:31" x14ac:dyDescent="0.3">
      <c r="A671" s="76"/>
      <c r="B671" s="78" t="s">
        <v>1796</v>
      </c>
      <c r="C671" s="78" t="s">
        <v>1493</v>
      </c>
      <c r="D671" s="78" t="s">
        <v>133</v>
      </c>
      <c r="E671" s="78" t="s">
        <v>1480</v>
      </c>
      <c r="F671" s="78" t="s">
        <v>1518</v>
      </c>
      <c r="G671" s="78" t="s">
        <v>1513</v>
      </c>
      <c r="H671" s="77"/>
      <c r="I671" s="226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9"/>
    </row>
    <row r="672" spans="1:31" x14ac:dyDescent="0.3">
      <c r="A672" s="76"/>
      <c r="B672" s="78" t="s">
        <v>1553</v>
      </c>
      <c r="C672" s="78" t="s">
        <v>1493</v>
      </c>
      <c r="D672" s="78" t="s">
        <v>537</v>
      </c>
      <c r="E672" s="78" t="s">
        <v>1503</v>
      </c>
      <c r="F672" s="78" t="s">
        <v>1495</v>
      </c>
      <c r="G672" s="78" t="s">
        <v>1513</v>
      </c>
      <c r="H672" s="77"/>
      <c r="I672" s="226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9"/>
    </row>
    <row r="673" spans="1:31" x14ac:dyDescent="0.3">
      <c r="A673" s="76"/>
      <c r="B673" s="78" t="s">
        <v>1918</v>
      </c>
      <c r="C673" s="78" t="s">
        <v>1493</v>
      </c>
      <c r="D673" s="78" t="s">
        <v>538</v>
      </c>
      <c r="E673" s="78" t="s">
        <v>1620</v>
      </c>
      <c r="F673" s="78" t="s">
        <v>1495</v>
      </c>
      <c r="G673" s="78" t="s">
        <v>1513</v>
      </c>
      <c r="H673" s="77"/>
      <c r="I673" s="226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9"/>
    </row>
    <row r="674" spans="1:31" x14ac:dyDescent="0.3">
      <c r="A674" s="76"/>
      <c r="B674" s="78" t="s">
        <v>1556</v>
      </c>
      <c r="C674" s="78" t="s">
        <v>1504</v>
      </c>
      <c r="D674" s="78" t="s">
        <v>142</v>
      </c>
      <c r="E674" s="78" t="s">
        <v>1500</v>
      </c>
      <c r="F674" s="78" t="s">
        <v>1501</v>
      </c>
      <c r="G674" s="78" t="s">
        <v>1513</v>
      </c>
      <c r="H674" s="77"/>
      <c r="I674" s="226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9"/>
    </row>
    <row r="675" spans="1:31" x14ac:dyDescent="0.3">
      <c r="A675" s="76"/>
      <c r="B675" s="78" t="s">
        <v>1722</v>
      </c>
      <c r="C675" s="78" t="s">
        <v>1499</v>
      </c>
      <c r="D675" s="78" t="s">
        <v>44</v>
      </c>
      <c r="E675" s="78" t="s">
        <v>1609</v>
      </c>
      <c r="F675" s="78" t="s">
        <v>1558</v>
      </c>
      <c r="G675" s="78" t="s">
        <v>1513</v>
      </c>
      <c r="H675" s="77"/>
      <c r="I675" s="226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9"/>
    </row>
    <row r="676" spans="1:31" ht="15" thickBot="1" x14ac:dyDescent="0.35">
      <c r="A676" s="81"/>
      <c r="B676" s="82" t="s">
        <v>1919</v>
      </c>
      <c r="C676" s="82" t="s">
        <v>1489</v>
      </c>
      <c r="D676" s="82" t="s">
        <v>542</v>
      </c>
      <c r="E676" s="82" t="s">
        <v>1749</v>
      </c>
      <c r="F676" s="82" t="s">
        <v>1920</v>
      </c>
      <c r="G676" s="82" t="s">
        <v>1513</v>
      </c>
      <c r="H676" s="83"/>
      <c r="I676" s="227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4"/>
    </row>
    <row r="677" spans="1:31" x14ac:dyDescent="0.3">
      <c r="A677" s="72" t="s">
        <v>545</v>
      </c>
      <c r="B677" s="73" t="s">
        <v>1921</v>
      </c>
      <c r="C677" s="74" t="s">
        <v>1479</v>
      </c>
      <c r="D677" s="74" t="s">
        <v>546</v>
      </c>
      <c r="E677" s="74" t="s">
        <v>1480</v>
      </c>
      <c r="F677" s="74"/>
      <c r="G677" s="74" t="s">
        <v>1481</v>
      </c>
      <c r="H677" s="73" t="s">
        <v>1482</v>
      </c>
      <c r="I677" s="225" t="s">
        <v>1485</v>
      </c>
      <c r="J677" s="73" t="s">
        <v>544</v>
      </c>
      <c r="K677" s="73">
        <v>70</v>
      </c>
      <c r="L677" s="73" t="s">
        <v>320</v>
      </c>
      <c r="M677" s="73" t="s">
        <v>1483</v>
      </c>
      <c r="N677" s="73" t="s">
        <v>1483</v>
      </c>
      <c r="O677" s="73" t="s">
        <v>1483</v>
      </c>
      <c r="P677" s="73" t="s">
        <v>1483</v>
      </c>
      <c r="Q677" s="73" t="s">
        <v>1483</v>
      </c>
      <c r="R677" s="73" t="s">
        <v>1483</v>
      </c>
      <c r="S677" s="73" t="s">
        <v>1484</v>
      </c>
      <c r="T677" s="73" t="s">
        <v>1484</v>
      </c>
      <c r="U677" s="73" t="s">
        <v>1484</v>
      </c>
      <c r="V677" s="73" t="s">
        <v>1484</v>
      </c>
      <c r="W677" s="73" t="s">
        <v>1485</v>
      </c>
      <c r="X677" s="73" t="s">
        <v>1484</v>
      </c>
      <c r="Y677" s="73" t="s">
        <v>1484</v>
      </c>
      <c r="Z677" s="73" t="s">
        <v>1485</v>
      </c>
      <c r="AA677" s="73" t="s">
        <v>1485</v>
      </c>
      <c r="AB677" s="73" t="s">
        <v>1484</v>
      </c>
      <c r="AC677" s="73" t="s">
        <v>1486</v>
      </c>
      <c r="AD677" s="73" t="s">
        <v>1487</v>
      </c>
      <c r="AE677" s="75" t="s">
        <v>1488</v>
      </c>
    </row>
    <row r="678" spans="1:31" x14ac:dyDescent="0.3">
      <c r="A678" s="76"/>
      <c r="B678" s="77"/>
      <c r="C678" s="78" t="s">
        <v>1489</v>
      </c>
      <c r="D678" s="78" t="s">
        <v>547</v>
      </c>
      <c r="E678" s="78" t="s">
        <v>1548</v>
      </c>
      <c r="F678" s="78" t="s">
        <v>1791</v>
      </c>
      <c r="G678" s="78" t="s">
        <v>1492</v>
      </c>
      <c r="H678" s="77"/>
      <c r="I678" s="226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9"/>
    </row>
    <row r="679" spans="1:31" x14ac:dyDescent="0.3">
      <c r="A679" s="76"/>
      <c r="B679" s="77"/>
      <c r="C679" s="78" t="s">
        <v>1493</v>
      </c>
      <c r="D679" s="78" t="s">
        <v>548</v>
      </c>
      <c r="E679" s="78" t="s">
        <v>1503</v>
      </c>
      <c r="F679" s="78" t="s">
        <v>1495</v>
      </c>
      <c r="G679" s="78" t="s">
        <v>1492</v>
      </c>
      <c r="H679" s="77"/>
      <c r="I679" s="226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9"/>
    </row>
    <row r="680" spans="1:31" x14ac:dyDescent="0.3">
      <c r="A680" s="76"/>
      <c r="B680" s="77"/>
      <c r="C680" s="78" t="s">
        <v>1496</v>
      </c>
      <c r="D680" s="78" t="s">
        <v>130</v>
      </c>
      <c r="E680" s="78" t="s">
        <v>1500</v>
      </c>
      <c r="F680" s="78" t="s">
        <v>1501</v>
      </c>
      <c r="G680" s="78" t="s">
        <v>1492</v>
      </c>
      <c r="H680" s="77"/>
      <c r="I680" s="226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9"/>
    </row>
    <row r="681" spans="1:31" x14ac:dyDescent="0.3">
      <c r="A681" s="76"/>
      <c r="B681" s="80"/>
      <c r="C681" s="78" t="s">
        <v>1499</v>
      </c>
      <c r="D681" s="78" t="s">
        <v>549</v>
      </c>
      <c r="E681" s="78" t="s">
        <v>1620</v>
      </c>
      <c r="F681" s="78" t="s">
        <v>1495</v>
      </c>
      <c r="G681" s="78" t="s">
        <v>1492</v>
      </c>
      <c r="H681" s="77"/>
      <c r="I681" s="226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9"/>
    </row>
    <row r="682" spans="1:31" x14ac:dyDescent="0.3">
      <c r="A682" s="76"/>
      <c r="B682" s="78" t="s">
        <v>1805</v>
      </c>
      <c r="C682" s="78" t="s">
        <v>1493</v>
      </c>
      <c r="D682" s="78" t="s">
        <v>247</v>
      </c>
      <c r="E682" s="78" t="s">
        <v>1480</v>
      </c>
      <c r="F682" s="78" t="s">
        <v>1518</v>
      </c>
      <c r="G682" s="78" t="s">
        <v>1513</v>
      </c>
      <c r="H682" s="77"/>
      <c r="I682" s="226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9"/>
    </row>
    <row r="683" spans="1:31" x14ac:dyDescent="0.3">
      <c r="A683" s="76"/>
      <c r="B683" s="78" t="s">
        <v>1567</v>
      </c>
      <c r="C683" s="78" t="s">
        <v>1493</v>
      </c>
      <c r="D683" s="78" t="s">
        <v>548</v>
      </c>
      <c r="E683" s="78" t="s">
        <v>1503</v>
      </c>
      <c r="F683" s="78" t="s">
        <v>1495</v>
      </c>
      <c r="G683" s="78" t="s">
        <v>1513</v>
      </c>
      <c r="H683" s="77"/>
      <c r="I683" s="226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9"/>
    </row>
    <row r="684" spans="1:31" x14ac:dyDescent="0.3">
      <c r="A684" s="76"/>
      <c r="B684" s="78" t="s">
        <v>1922</v>
      </c>
      <c r="C684" s="78" t="s">
        <v>1493</v>
      </c>
      <c r="D684" s="78" t="s">
        <v>549</v>
      </c>
      <c r="E684" s="78" t="s">
        <v>1620</v>
      </c>
      <c r="F684" s="78" t="s">
        <v>1495</v>
      </c>
      <c r="G684" s="78" t="s">
        <v>1513</v>
      </c>
      <c r="H684" s="77"/>
      <c r="I684" s="226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9"/>
    </row>
    <row r="685" spans="1:31" ht="15" thickBot="1" x14ac:dyDescent="0.35">
      <c r="A685" s="81"/>
      <c r="B685" s="82" t="s">
        <v>1570</v>
      </c>
      <c r="C685" s="82" t="s">
        <v>1504</v>
      </c>
      <c r="D685" s="82" t="s">
        <v>130</v>
      </c>
      <c r="E685" s="82" t="s">
        <v>1500</v>
      </c>
      <c r="F685" s="82" t="s">
        <v>1501</v>
      </c>
      <c r="G685" s="82" t="s">
        <v>1513</v>
      </c>
      <c r="H685" s="83"/>
      <c r="I685" s="227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4"/>
    </row>
    <row r="686" spans="1:31" x14ac:dyDescent="0.3">
      <c r="A686" s="72" t="s">
        <v>562</v>
      </c>
      <c r="B686" s="73" t="s">
        <v>1923</v>
      </c>
      <c r="C686" s="74" t="s">
        <v>1479</v>
      </c>
      <c r="D686" s="74" t="s">
        <v>563</v>
      </c>
      <c r="E686" s="74" t="s">
        <v>1480</v>
      </c>
      <c r="F686" s="74"/>
      <c r="G686" s="74" t="s">
        <v>1481</v>
      </c>
      <c r="H686" s="73" t="s">
        <v>1482</v>
      </c>
      <c r="I686" s="225" t="s">
        <v>1485</v>
      </c>
      <c r="J686" s="73" t="s">
        <v>561</v>
      </c>
      <c r="K686" s="73">
        <v>72</v>
      </c>
      <c r="L686" s="73" t="s">
        <v>320</v>
      </c>
      <c r="M686" s="73" t="s">
        <v>1483</v>
      </c>
      <c r="N686" s="73" t="s">
        <v>1483</v>
      </c>
      <c r="O686" s="73" t="s">
        <v>1483</v>
      </c>
      <c r="P686" s="73" t="s">
        <v>1483</v>
      </c>
      <c r="Q686" s="73" t="s">
        <v>1483</v>
      </c>
      <c r="R686" s="73" t="s">
        <v>1483</v>
      </c>
      <c r="S686" s="73" t="s">
        <v>1484</v>
      </c>
      <c r="T686" s="73" t="s">
        <v>1484</v>
      </c>
      <c r="U686" s="73" t="s">
        <v>1484</v>
      </c>
      <c r="V686" s="73" t="s">
        <v>1484</v>
      </c>
      <c r="W686" s="73" t="s">
        <v>1485</v>
      </c>
      <c r="X686" s="73" t="s">
        <v>1484</v>
      </c>
      <c r="Y686" s="73" t="s">
        <v>1484</v>
      </c>
      <c r="Z686" s="73" t="s">
        <v>1485</v>
      </c>
      <c r="AA686" s="73" t="s">
        <v>1485</v>
      </c>
      <c r="AB686" s="73" t="s">
        <v>1484</v>
      </c>
      <c r="AC686" s="73" t="s">
        <v>1486</v>
      </c>
      <c r="AD686" s="73" t="s">
        <v>1487</v>
      </c>
      <c r="AE686" s="75" t="s">
        <v>1488</v>
      </c>
    </row>
    <row r="687" spans="1:31" x14ac:dyDescent="0.3">
      <c r="A687" s="76"/>
      <c r="B687" s="77"/>
      <c r="C687" s="78" t="s">
        <v>1489</v>
      </c>
      <c r="D687" s="78" t="s">
        <v>564</v>
      </c>
      <c r="E687" s="78" t="s">
        <v>1924</v>
      </c>
      <c r="F687" s="78" t="s">
        <v>1565</v>
      </c>
      <c r="G687" s="78" t="s">
        <v>1492</v>
      </c>
      <c r="H687" s="77"/>
      <c r="I687" s="22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9"/>
    </row>
    <row r="688" spans="1:31" x14ac:dyDescent="0.3">
      <c r="A688" s="76"/>
      <c r="B688" s="77"/>
      <c r="C688" s="78" t="s">
        <v>1493</v>
      </c>
      <c r="D688" s="78" t="s">
        <v>565</v>
      </c>
      <c r="E688" s="78" t="s">
        <v>1503</v>
      </c>
      <c r="F688" s="78" t="s">
        <v>1495</v>
      </c>
      <c r="G688" s="78" t="s">
        <v>1492</v>
      </c>
      <c r="H688" s="77"/>
      <c r="I688" s="226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9"/>
    </row>
    <row r="689" spans="1:31" x14ac:dyDescent="0.3">
      <c r="A689" s="76"/>
      <c r="B689" s="77"/>
      <c r="C689" s="78" t="s">
        <v>1496</v>
      </c>
      <c r="D689" s="78" t="s">
        <v>171</v>
      </c>
      <c r="E689" s="78" t="s">
        <v>1500</v>
      </c>
      <c r="F689" s="78" t="s">
        <v>1501</v>
      </c>
      <c r="G689" s="78" t="s">
        <v>1492</v>
      </c>
      <c r="H689" s="77"/>
      <c r="I689" s="226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9"/>
    </row>
    <row r="690" spans="1:31" x14ac:dyDescent="0.3">
      <c r="A690" s="76"/>
      <c r="B690" s="77"/>
      <c r="C690" s="78" t="s">
        <v>1499</v>
      </c>
      <c r="D690" s="78" t="s">
        <v>566</v>
      </c>
      <c r="E690" s="78" t="s">
        <v>1620</v>
      </c>
      <c r="F690" s="78" t="s">
        <v>1495</v>
      </c>
      <c r="G690" s="78" t="s">
        <v>1492</v>
      </c>
      <c r="H690" s="77"/>
      <c r="I690" s="226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9"/>
    </row>
    <row r="691" spans="1:31" x14ac:dyDescent="0.3">
      <c r="A691" s="76"/>
      <c r="B691" s="80"/>
      <c r="C691" s="78" t="s">
        <v>1502</v>
      </c>
      <c r="D691" s="78" t="s">
        <v>127</v>
      </c>
      <c r="E691" s="78" t="s">
        <v>1618</v>
      </c>
      <c r="F691" s="78" t="s">
        <v>1631</v>
      </c>
      <c r="G691" s="78" t="s">
        <v>1492</v>
      </c>
      <c r="H691" s="77"/>
      <c r="I691" s="226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9"/>
    </row>
    <row r="692" spans="1:31" x14ac:dyDescent="0.3">
      <c r="A692" s="76"/>
      <c r="B692" s="78" t="s">
        <v>1814</v>
      </c>
      <c r="C692" s="78" t="s">
        <v>1493</v>
      </c>
      <c r="D692" s="78" t="s">
        <v>152</v>
      </c>
      <c r="E692" s="78" t="s">
        <v>1480</v>
      </c>
      <c r="F692" s="78" t="s">
        <v>1518</v>
      </c>
      <c r="G692" s="78" t="s">
        <v>1513</v>
      </c>
      <c r="H692" s="77"/>
      <c r="I692" s="226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9"/>
    </row>
    <row r="693" spans="1:31" x14ac:dyDescent="0.3">
      <c r="A693" s="76"/>
      <c r="B693" s="78" t="s">
        <v>1925</v>
      </c>
      <c r="C693" s="78" t="s">
        <v>1493</v>
      </c>
      <c r="D693" s="78" t="s">
        <v>565</v>
      </c>
      <c r="E693" s="78" t="s">
        <v>1503</v>
      </c>
      <c r="F693" s="78" t="s">
        <v>1495</v>
      </c>
      <c r="G693" s="78" t="s">
        <v>1513</v>
      </c>
      <c r="H693" s="77"/>
      <c r="I693" s="226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9"/>
    </row>
    <row r="694" spans="1:31" x14ac:dyDescent="0.3">
      <c r="A694" s="76"/>
      <c r="B694" s="78" t="s">
        <v>1926</v>
      </c>
      <c r="C694" s="78" t="s">
        <v>1493</v>
      </c>
      <c r="D694" s="78" t="s">
        <v>566</v>
      </c>
      <c r="E694" s="78" t="s">
        <v>1620</v>
      </c>
      <c r="F694" s="78" t="s">
        <v>1495</v>
      </c>
      <c r="G694" s="78" t="s">
        <v>1513</v>
      </c>
      <c r="H694" s="77"/>
      <c r="I694" s="226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9"/>
    </row>
    <row r="695" spans="1:31" x14ac:dyDescent="0.3">
      <c r="A695" s="76"/>
      <c r="B695" s="78" t="s">
        <v>1585</v>
      </c>
      <c r="C695" s="78" t="s">
        <v>1502</v>
      </c>
      <c r="D695" s="78" t="s">
        <v>171</v>
      </c>
      <c r="E695" s="78" t="s">
        <v>1500</v>
      </c>
      <c r="F695" s="78" t="s">
        <v>1501</v>
      </c>
      <c r="G695" s="78" t="s">
        <v>1513</v>
      </c>
      <c r="H695" s="77"/>
      <c r="I695" s="226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9"/>
    </row>
    <row r="696" spans="1:31" x14ac:dyDescent="0.3">
      <c r="A696" s="76"/>
      <c r="B696" s="78" t="s">
        <v>1637</v>
      </c>
      <c r="C696" s="78" t="s">
        <v>1499</v>
      </c>
      <c r="D696" s="78" t="s">
        <v>127</v>
      </c>
      <c r="E696" s="78" t="s">
        <v>1618</v>
      </c>
      <c r="F696" s="78" t="s">
        <v>1631</v>
      </c>
      <c r="G696" s="78" t="s">
        <v>1513</v>
      </c>
      <c r="H696" s="77"/>
      <c r="I696" s="226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9"/>
    </row>
    <row r="697" spans="1:31" ht="15" thickBot="1" x14ac:dyDescent="0.35">
      <c r="A697" s="81"/>
      <c r="B697" s="82" t="s">
        <v>1927</v>
      </c>
      <c r="C697" s="82" t="s">
        <v>1489</v>
      </c>
      <c r="D697" s="82" t="s">
        <v>564</v>
      </c>
      <c r="E697" s="82" t="s">
        <v>1924</v>
      </c>
      <c r="F697" s="82" t="s">
        <v>1565</v>
      </c>
      <c r="G697" s="82" t="s">
        <v>1513</v>
      </c>
      <c r="H697" s="83"/>
      <c r="I697" s="227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4"/>
    </row>
    <row r="698" spans="1:31" x14ac:dyDescent="0.3">
      <c r="A698" s="72" t="s">
        <v>569</v>
      </c>
      <c r="B698" s="73" t="s">
        <v>1928</v>
      </c>
      <c r="C698" s="74" t="s">
        <v>1479</v>
      </c>
      <c r="D698" s="74" t="s">
        <v>570</v>
      </c>
      <c r="E698" s="74" t="s">
        <v>1480</v>
      </c>
      <c r="F698" s="74"/>
      <c r="G698" s="74" t="s">
        <v>1481</v>
      </c>
      <c r="H698" s="73" t="s">
        <v>1482</v>
      </c>
      <c r="I698" s="225" t="s">
        <v>1485</v>
      </c>
      <c r="J698" s="73" t="s">
        <v>568</v>
      </c>
      <c r="K698" s="73">
        <v>73</v>
      </c>
      <c r="L698" s="73" t="s">
        <v>320</v>
      </c>
      <c r="M698" s="73" t="s">
        <v>1483</v>
      </c>
      <c r="N698" s="73" t="s">
        <v>1483</v>
      </c>
      <c r="O698" s="73" t="s">
        <v>1483</v>
      </c>
      <c r="P698" s="73" t="s">
        <v>1483</v>
      </c>
      <c r="Q698" s="73" t="s">
        <v>1483</v>
      </c>
      <c r="R698" s="73" t="s">
        <v>1483</v>
      </c>
      <c r="S698" s="73" t="s">
        <v>1484</v>
      </c>
      <c r="T698" s="73" t="s">
        <v>1484</v>
      </c>
      <c r="U698" s="73" t="s">
        <v>1484</v>
      </c>
      <c r="V698" s="73" t="s">
        <v>1484</v>
      </c>
      <c r="W698" s="73" t="s">
        <v>1485</v>
      </c>
      <c r="X698" s="73" t="s">
        <v>1484</v>
      </c>
      <c r="Y698" s="73" t="s">
        <v>1484</v>
      </c>
      <c r="Z698" s="73" t="s">
        <v>1485</v>
      </c>
      <c r="AA698" s="73" t="s">
        <v>1485</v>
      </c>
      <c r="AB698" s="73" t="s">
        <v>1484</v>
      </c>
      <c r="AC698" s="73" t="s">
        <v>1486</v>
      </c>
      <c r="AD698" s="73" t="s">
        <v>1487</v>
      </c>
      <c r="AE698" s="75" t="s">
        <v>1488</v>
      </c>
    </row>
    <row r="699" spans="1:31" x14ac:dyDescent="0.3">
      <c r="A699" s="76"/>
      <c r="B699" s="77"/>
      <c r="C699" s="78" t="s">
        <v>1493</v>
      </c>
      <c r="D699" s="78" t="s">
        <v>571</v>
      </c>
      <c r="E699" s="78" t="s">
        <v>1503</v>
      </c>
      <c r="F699" s="78" t="s">
        <v>1495</v>
      </c>
      <c r="G699" s="78" t="s">
        <v>1492</v>
      </c>
      <c r="H699" s="77"/>
      <c r="I699" s="226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9"/>
    </row>
    <row r="700" spans="1:31" x14ac:dyDescent="0.3">
      <c r="A700" s="76"/>
      <c r="B700" s="77"/>
      <c r="C700" s="78" t="s">
        <v>1496</v>
      </c>
      <c r="D700" s="78" t="s">
        <v>158</v>
      </c>
      <c r="E700" s="78" t="s">
        <v>1500</v>
      </c>
      <c r="F700" s="78" t="s">
        <v>1501</v>
      </c>
      <c r="G700" s="78" t="s">
        <v>1492</v>
      </c>
      <c r="H700" s="77"/>
      <c r="I700" s="226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9"/>
    </row>
    <row r="701" spans="1:31" x14ac:dyDescent="0.3">
      <c r="A701" s="76"/>
      <c r="B701" s="80"/>
      <c r="C701" s="78" t="s">
        <v>1499</v>
      </c>
      <c r="D701" s="78" t="s">
        <v>572</v>
      </c>
      <c r="E701" s="78" t="s">
        <v>1620</v>
      </c>
      <c r="F701" s="78" t="s">
        <v>1495</v>
      </c>
      <c r="G701" s="78" t="s">
        <v>1492</v>
      </c>
      <c r="H701" s="77"/>
      <c r="I701" s="226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9"/>
    </row>
    <row r="702" spans="1:31" x14ac:dyDescent="0.3">
      <c r="A702" s="76"/>
      <c r="B702" s="78" t="s">
        <v>1485</v>
      </c>
      <c r="C702" s="78" t="s">
        <v>1485</v>
      </c>
      <c r="D702" s="78" t="s">
        <v>573</v>
      </c>
      <c r="E702" s="78" t="s">
        <v>1534</v>
      </c>
      <c r="F702" s="78" t="s">
        <v>1535</v>
      </c>
      <c r="G702" s="78" t="s">
        <v>1513</v>
      </c>
      <c r="H702" s="77"/>
      <c r="I702" s="226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9"/>
    </row>
    <row r="703" spans="1:31" x14ac:dyDescent="0.3">
      <c r="A703" s="76"/>
      <c r="B703" s="78" t="s">
        <v>1821</v>
      </c>
      <c r="C703" s="78" t="s">
        <v>1493</v>
      </c>
      <c r="D703" s="78" t="s">
        <v>220</v>
      </c>
      <c r="E703" s="78" t="s">
        <v>1480</v>
      </c>
      <c r="F703" s="78" t="s">
        <v>1518</v>
      </c>
      <c r="G703" s="78" t="s">
        <v>1513</v>
      </c>
      <c r="H703" s="77"/>
      <c r="I703" s="226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9"/>
    </row>
    <row r="704" spans="1:31" x14ac:dyDescent="0.3">
      <c r="A704" s="76"/>
      <c r="B704" s="78" t="s">
        <v>1929</v>
      </c>
      <c r="C704" s="78" t="s">
        <v>1493</v>
      </c>
      <c r="D704" s="78" t="s">
        <v>571</v>
      </c>
      <c r="E704" s="78" t="s">
        <v>1503</v>
      </c>
      <c r="F704" s="78" t="s">
        <v>1495</v>
      </c>
      <c r="G704" s="78" t="s">
        <v>1513</v>
      </c>
      <c r="H704" s="77"/>
      <c r="I704" s="226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9"/>
    </row>
    <row r="705" spans="1:31" x14ac:dyDescent="0.3">
      <c r="A705" s="76"/>
      <c r="B705" s="78" t="s">
        <v>1930</v>
      </c>
      <c r="C705" s="78" t="s">
        <v>1493</v>
      </c>
      <c r="D705" s="78" t="s">
        <v>572</v>
      </c>
      <c r="E705" s="78" t="s">
        <v>1620</v>
      </c>
      <c r="F705" s="78" t="s">
        <v>1495</v>
      </c>
      <c r="G705" s="78" t="s">
        <v>1513</v>
      </c>
      <c r="H705" s="77"/>
      <c r="I705" s="226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9"/>
    </row>
    <row r="706" spans="1:31" x14ac:dyDescent="0.3">
      <c r="A706" s="76"/>
      <c r="B706" s="78" t="s">
        <v>1636</v>
      </c>
      <c r="C706" s="78" t="s">
        <v>1504</v>
      </c>
      <c r="D706" s="78" t="s">
        <v>158</v>
      </c>
      <c r="E706" s="78" t="s">
        <v>1500</v>
      </c>
      <c r="F706" s="78" t="s">
        <v>1501</v>
      </c>
      <c r="G706" s="78" t="s">
        <v>1513</v>
      </c>
      <c r="H706" s="77"/>
      <c r="I706" s="226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9"/>
    </row>
    <row r="707" spans="1:31" ht="15" thickBot="1" x14ac:dyDescent="0.35">
      <c r="A707" s="81"/>
      <c r="B707" s="82" t="s">
        <v>1931</v>
      </c>
      <c r="C707" s="82" t="s">
        <v>1489</v>
      </c>
      <c r="D707" s="82" t="s">
        <v>574</v>
      </c>
      <c r="E707" s="82" t="s">
        <v>1924</v>
      </c>
      <c r="F707" s="82" t="s">
        <v>1558</v>
      </c>
      <c r="G707" s="82" t="s">
        <v>1513</v>
      </c>
      <c r="H707" s="83"/>
      <c r="I707" s="227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4"/>
    </row>
    <row r="708" spans="1:31" x14ac:dyDescent="0.3">
      <c r="A708" s="72" t="s">
        <v>589</v>
      </c>
      <c r="B708" s="73" t="s">
        <v>1932</v>
      </c>
      <c r="C708" s="74" t="s">
        <v>1479</v>
      </c>
      <c r="D708" s="74" t="s">
        <v>590</v>
      </c>
      <c r="E708" s="74" t="s">
        <v>1480</v>
      </c>
      <c r="F708" s="74"/>
      <c r="G708" s="74" t="s">
        <v>1481</v>
      </c>
      <c r="H708" s="73" t="s">
        <v>1482</v>
      </c>
      <c r="I708" s="225" t="s">
        <v>1485</v>
      </c>
      <c r="J708" s="73" t="s">
        <v>588</v>
      </c>
      <c r="K708" s="73">
        <v>75</v>
      </c>
      <c r="L708" s="73" t="s">
        <v>320</v>
      </c>
      <c r="M708" s="73" t="s">
        <v>1483</v>
      </c>
      <c r="N708" s="73" t="s">
        <v>1483</v>
      </c>
      <c r="O708" s="73" t="s">
        <v>1483</v>
      </c>
      <c r="P708" s="73" t="s">
        <v>1483</v>
      </c>
      <c r="Q708" s="73" t="s">
        <v>1483</v>
      </c>
      <c r="R708" s="73" t="s">
        <v>1483</v>
      </c>
      <c r="S708" s="73" t="s">
        <v>1484</v>
      </c>
      <c r="T708" s="73" t="s">
        <v>1484</v>
      </c>
      <c r="U708" s="73" t="s">
        <v>1484</v>
      </c>
      <c r="V708" s="73" t="s">
        <v>1484</v>
      </c>
      <c r="W708" s="73" t="s">
        <v>1485</v>
      </c>
      <c r="X708" s="73" t="s">
        <v>1484</v>
      </c>
      <c r="Y708" s="73" t="s">
        <v>1484</v>
      </c>
      <c r="Z708" s="73" t="s">
        <v>1485</v>
      </c>
      <c r="AA708" s="73" t="s">
        <v>1485</v>
      </c>
      <c r="AB708" s="73" t="s">
        <v>1484</v>
      </c>
      <c r="AC708" s="73" t="s">
        <v>1486</v>
      </c>
      <c r="AD708" s="73" t="s">
        <v>1487</v>
      </c>
      <c r="AE708" s="75" t="s">
        <v>1488</v>
      </c>
    </row>
    <row r="709" spans="1:31" x14ac:dyDescent="0.3">
      <c r="A709" s="76"/>
      <c r="B709" s="77"/>
      <c r="C709" s="78" t="s">
        <v>1489</v>
      </c>
      <c r="D709" s="78" t="s">
        <v>102</v>
      </c>
      <c r="E709" s="78" t="s">
        <v>1933</v>
      </c>
      <c r="F709" s="78" t="s">
        <v>1565</v>
      </c>
      <c r="G709" s="78" t="s">
        <v>1492</v>
      </c>
      <c r="H709" s="77"/>
      <c r="I709" s="226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9"/>
    </row>
    <row r="710" spans="1:31" x14ac:dyDescent="0.3">
      <c r="A710" s="76"/>
      <c r="B710" s="77"/>
      <c r="C710" s="78" t="s">
        <v>1493</v>
      </c>
      <c r="D710" s="78" t="s">
        <v>591</v>
      </c>
      <c r="E710" s="78" t="s">
        <v>1503</v>
      </c>
      <c r="F710" s="78" t="s">
        <v>1495</v>
      </c>
      <c r="G710" s="78" t="s">
        <v>1492</v>
      </c>
      <c r="H710" s="77"/>
      <c r="I710" s="226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9"/>
    </row>
    <row r="711" spans="1:31" x14ac:dyDescent="0.3">
      <c r="A711" s="76"/>
      <c r="B711" s="77"/>
      <c r="C711" s="78" t="s">
        <v>1496</v>
      </c>
      <c r="D711" s="78" t="s">
        <v>246</v>
      </c>
      <c r="E711" s="78" t="s">
        <v>1500</v>
      </c>
      <c r="F711" s="78" t="s">
        <v>1501</v>
      </c>
      <c r="G711" s="78" t="s">
        <v>1492</v>
      </c>
      <c r="H711" s="77"/>
      <c r="I711" s="226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9"/>
    </row>
    <row r="712" spans="1:31" x14ac:dyDescent="0.3">
      <c r="A712" s="76"/>
      <c r="B712" s="77"/>
      <c r="C712" s="78" t="s">
        <v>1499</v>
      </c>
      <c r="D712" s="78" t="s">
        <v>592</v>
      </c>
      <c r="E712" s="78" t="s">
        <v>1620</v>
      </c>
      <c r="F712" s="78" t="s">
        <v>1495</v>
      </c>
      <c r="G712" s="78" t="s">
        <v>1492</v>
      </c>
      <c r="H712" s="77"/>
      <c r="I712" s="226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9"/>
    </row>
    <row r="713" spans="1:31" x14ac:dyDescent="0.3">
      <c r="A713" s="76"/>
      <c r="B713" s="80"/>
      <c r="C713" s="78" t="s">
        <v>1502</v>
      </c>
      <c r="D713" s="78" t="s">
        <v>581</v>
      </c>
      <c r="E713" s="78" t="s">
        <v>1618</v>
      </c>
      <c r="F713" s="78" t="s">
        <v>1619</v>
      </c>
      <c r="G713" s="78" t="s">
        <v>1492</v>
      </c>
      <c r="H713" s="77"/>
      <c r="I713" s="226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9"/>
    </row>
    <row r="714" spans="1:31" x14ac:dyDescent="0.3">
      <c r="A714" s="76"/>
      <c r="B714" s="78" t="s">
        <v>1934</v>
      </c>
      <c r="C714" s="78" t="s">
        <v>1493</v>
      </c>
      <c r="D714" s="78" t="s">
        <v>591</v>
      </c>
      <c r="E714" s="78" t="s">
        <v>1503</v>
      </c>
      <c r="F714" s="78" t="s">
        <v>1495</v>
      </c>
      <c r="G714" s="78" t="s">
        <v>1513</v>
      </c>
      <c r="H714" s="77"/>
      <c r="I714" s="226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9"/>
    </row>
    <row r="715" spans="1:31" x14ac:dyDescent="0.3">
      <c r="A715" s="76"/>
      <c r="B715" s="78" t="s">
        <v>1935</v>
      </c>
      <c r="C715" s="78" t="s">
        <v>1493</v>
      </c>
      <c r="D715" s="78" t="s">
        <v>592</v>
      </c>
      <c r="E715" s="78" t="s">
        <v>1620</v>
      </c>
      <c r="F715" s="78" t="s">
        <v>1495</v>
      </c>
      <c r="G715" s="78" t="s">
        <v>1513</v>
      </c>
      <c r="H715" s="77"/>
      <c r="I715" s="226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9"/>
    </row>
    <row r="716" spans="1:31" x14ac:dyDescent="0.3">
      <c r="A716" s="76"/>
      <c r="B716" s="78" t="s">
        <v>1676</v>
      </c>
      <c r="C716" s="78" t="s">
        <v>1493</v>
      </c>
      <c r="D716" s="78" t="s">
        <v>246</v>
      </c>
      <c r="E716" s="78" t="s">
        <v>1500</v>
      </c>
      <c r="F716" s="78" t="s">
        <v>1501</v>
      </c>
      <c r="G716" s="78" t="s">
        <v>1513</v>
      </c>
      <c r="H716" s="77"/>
      <c r="I716" s="226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9"/>
    </row>
    <row r="717" spans="1:31" x14ac:dyDescent="0.3">
      <c r="A717" s="76"/>
      <c r="B717" s="78" t="s">
        <v>1629</v>
      </c>
      <c r="C717" s="78" t="s">
        <v>1496</v>
      </c>
      <c r="D717" s="78" t="s">
        <v>581</v>
      </c>
      <c r="E717" s="78" t="s">
        <v>1618</v>
      </c>
      <c r="F717" s="78" t="s">
        <v>1619</v>
      </c>
      <c r="G717" s="78" t="s">
        <v>1513</v>
      </c>
      <c r="H717" s="77"/>
      <c r="I717" s="226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9"/>
    </row>
    <row r="718" spans="1:31" ht="15" thickBot="1" x14ac:dyDescent="0.35">
      <c r="A718" s="81"/>
      <c r="B718" s="82" t="s">
        <v>1936</v>
      </c>
      <c r="C718" s="82" t="s">
        <v>1496</v>
      </c>
      <c r="D718" s="82" t="s">
        <v>102</v>
      </c>
      <c r="E718" s="82" t="s">
        <v>1933</v>
      </c>
      <c r="F718" s="82" t="s">
        <v>1565</v>
      </c>
      <c r="G718" s="82" t="s">
        <v>1513</v>
      </c>
      <c r="H718" s="83"/>
      <c r="I718" s="227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4"/>
    </row>
    <row r="719" spans="1:31" x14ac:dyDescent="0.3">
      <c r="A719" s="72" t="s">
        <v>595</v>
      </c>
      <c r="B719" s="73" t="s">
        <v>1937</v>
      </c>
      <c r="C719" s="74" t="s">
        <v>1479</v>
      </c>
      <c r="D719" s="74" t="s">
        <v>596</v>
      </c>
      <c r="E719" s="74" t="s">
        <v>1480</v>
      </c>
      <c r="F719" s="74"/>
      <c r="G719" s="74" t="s">
        <v>1481</v>
      </c>
      <c r="H719" s="73" t="s">
        <v>1482</v>
      </c>
      <c r="I719" s="225" t="s">
        <v>1485</v>
      </c>
      <c r="J719" s="73" t="s">
        <v>594</v>
      </c>
      <c r="K719" s="73">
        <v>76</v>
      </c>
      <c r="L719" s="73" t="s">
        <v>320</v>
      </c>
      <c r="M719" s="73" t="s">
        <v>1483</v>
      </c>
      <c r="N719" s="73" t="s">
        <v>1483</v>
      </c>
      <c r="O719" s="73" t="s">
        <v>1483</v>
      </c>
      <c r="P719" s="73" t="s">
        <v>1483</v>
      </c>
      <c r="Q719" s="73" t="s">
        <v>1483</v>
      </c>
      <c r="R719" s="73" t="s">
        <v>1483</v>
      </c>
      <c r="S719" s="73" t="s">
        <v>1484</v>
      </c>
      <c r="T719" s="73" t="s">
        <v>1484</v>
      </c>
      <c r="U719" s="73" t="s">
        <v>1484</v>
      </c>
      <c r="V719" s="73" t="s">
        <v>1484</v>
      </c>
      <c r="W719" s="73" t="s">
        <v>1485</v>
      </c>
      <c r="X719" s="73" t="s">
        <v>1484</v>
      </c>
      <c r="Y719" s="73" t="s">
        <v>1484</v>
      </c>
      <c r="Z719" s="73" t="s">
        <v>1485</v>
      </c>
      <c r="AA719" s="73" t="s">
        <v>1485</v>
      </c>
      <c r="AB719" s="73" t="s">
        <v>1484</v>
      </c>
      <c r="AC719" s="73" t="s">
        <v>1486</v>
      </c>
      <c r="AD719" s="73" t="s">
        <v>1487</v>
      </c>
      <c r="AE719" s="75" t="s">
        <v>1488</v>
      </c>
    </row>
    <row r="720" spans="1:31" x14ac:dyDescent="0.3">
      <c r="A720" s="76"/>
      <c r="B720" s="77"/>
      <c r="C720" s="78" t="s">
        <v>1489</v>
      </c>
      <c r="D720" s="78" t="s">
        <v>597</v>
      </c>
      <c r="E720" s="78" t="s">
        <v>1548</v>
      </c>
      <c r="F720" s="78" t="s">
        <v>1791</v>
      </c>
      <c r="G720" s="78" t="s">
        <v>1492</v>
      </c>
      <c r="H720" s="77"/>
      <c r="I720" s="226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9"/>
    </row>
    <row r="721" spans="1:31" x14ac:dyDescent="0.3">
      <c r="A721" s="76"/>
      <c r="B721" s="77"/>
      <c r="C721" s="78" t="s">
        <v>1496</v>
      </c>
      <c r="D721" s="78" t="s">
        <v>264</v>
      </c>
      <c r="E721" s="78" t="s">
        <v>1500</v>
      </c>
      <c r="F721" s="78" t="s">
        <v>1501</v>
      </c>
      <c r="G721" s="78" t="s">
        <v>1492</v>
      </c>
      <c r="H721" s="77"/>
      <c r="I721" s="226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9"/>
    </row>
    <row r="722" spans="1:31" x14ac:dyDescent="0.3">
      <c r="A722" s="76"/>
      <c r="B722" s="77"/>
      <c r="C722" s="78" t="s">
        <v>1499</v>
      </c>
      <c r="D722" s="78" t="s">
        <v>238</v>
      </c>
      <c r="E722" s="78" t="s">
        <v>1620</v>
      </c>
      <c r="F722" s="78" t="s">
        <v>1495</v>
      </c>
      <c r="G722" s="78" t="s">
        <v>1492</v>
      </c>
      <c r="H722" s="77"/>
      <c r="I722" s="226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9"/>
    </row>
    <row r="723" spans="1:31" x14ac:dyDescent="0.3">
      <c r="A723" s="76"/>
      <c r="B723" s="77"/>
      <c r="C723" s="78" t="s">
        <v>1502</v>
      </c>
      <c r="D723" s="78" t="s">
        <v>62</v>
      </c>
      <c r="E723" s="78" t="s">
        <v>1618</v>
      </c>
      <c r="F723" s="78" t="s">
        <v>1546</v>
      </c>
      <c r="G723" s="78" t="s">
        <v>1492</v>
      </c>
      <c r="H723" s="77"/>
      <c r="I723" s="226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9"/>
    </row>
    <row r="724" spans="1:31" x14ac:dyDescent="0.3">
      <c r="A724" s="76"/>
      <c r="B724" s="77"/>
      <c r="C724" s="78" t="s">
        <v>1504</v>
      </c>
      <c r="D724" s="78" t="s">
        <v>598</v>
      </c>
      <c r="E724" s="78" t="s">
        <v>1773</v>
      </c>
      <c r="F724" s="78" t="s">
        <v>1498</v>
      </c>
      <c r="G724" s="78" t="s">
        <v>1492</v>
      </c>
      <c r="H724" s="77"/>
      <c r="I724" s="226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9"/>
    </row>
    <row r="725" spans="1:31" x14ac:dyDescent="0.3">
      <c r="A725" s="76"/>
      <c r="B725" s="80"/>
      <c r="C725" s="78" t="s">
        <v>1507</v>
      </c>
      <c r="D725" s="78" t="s">
        <v>245</v>
      </c>
      <c r="E725" s="78" t="s">
        <v>1749</v>
      </c>
      <c r="F725" s="78" t="s">
        <v>1750</v>
      </c>
      <c r="G725" s="78" t="s">
        <v>1492</v>
      </c>
      <c r="H725" s="77"/>
      <c r="I725" s="22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9"/>
    </row>
    <row r="726" spans="1:31" x14ac:dyDescent="0.3">
      <c r="A726" s="76"/>
      <c r="B726" s="78" t="s">
        <v>1485</v>
      </c>
      <c r="C726" s="78" t="s">
        <v>1485</v>
      </c>
      <c r="D726" s="78" t="s">
        <v>599</v>
      </c>
      <c r="E726" s="78" t="s">
        <v>1534</v>
      </c>
      <c r="F726" s="78" t="s">
        <v>1535</v>
      </c>
      <c r="G726" s="78" t="s">
        <v>1513</v>
      </c>
      <c r="H726" s="77"/>
      <c r="I726" s="226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9"/>
    </row>
    <row r="727" spans="1:31" x14ac:dyDescent="0.3">
      <c r="A727" s="76"/>
      <c r="B727" s="78" t="s">
        <v>1828</v>
      </c>
      <c r="C727" s="78" t="s">
        <v>1493</v>
      </c>
      <c r="D727" s="78" t="s">
        <v>82</v>
      </c>
      <c r="E727" s="78" t="s">
        <v>1480</v>
      </c>
      <c r="F727" s="78" t="s">
        <v>1518</v>
      </c>
      <c r="G727" s="78" t="s">
        <v>1513</v>
      </c>
      <c r="H727" s="77"/>
      <c r="I727" s="226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9"/>
    </row>
    <row r="728" spans="1:31" x14ac:dyDescent="0.3">
      <c r="A728" s="76"/>
      <c r="B728" s="78" t="s">
        <v>1757</v>
      </c>
      <c r="C728" s="78" t="s">
        <v>1496</v>
      </c>
      <c r="D728" s="78" t="s">
        <v>238</v>
      </c>
      <c r="E728" s="78" t="s">
        <v>1620</v>
      </c>
      <c r="F728" s="78" t="s">
        <v>1495</v>
      </c>
      <c r="G728" s="78" t="s">
        <v>1513</v>
      </c>
      <c r="H728" s="77"/>
      <c r="I728" s="226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9"/>
    </row>
    <row r="729" spans="1:31" x14ac:dyDescent="0.3">
      <c r="A729" s="76"/>
      <c r="B729" s="78" t="s">
        <v>1938</v>
      </c>
      <c r="C729" s="78" t="s">
        <v>1493</v>
      </c>
      <c r="D729" s="78" t="s">
        <v>245</v>
      </c>
      <c r="E729" s="78" t="s">
        <v>1749</v>
      </c>
      <c r="F729" s="78" t="s">
        <v>1750</v>
      </c>
      <c r="G729" s="78" t="s">
        <v>1513</v>
      </c>
      <c r="H729" s="77"/>
      <c r="I729" s="226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9"/>
    </row>
    <row r="730" spans="1:31" x14ac:dyDescent="0.3">
      <c r="A730" s="76"/>
      <c r="B730" s="78" t="s">
        <v>1614</v>
      </c>
      <c r="C730" s="78" t="s">
        <v>1493</v>
      </c>
      <c r="D730" s="78" t="s">
        <v>264</v>
      </c>
      <c r="E730" s="78" t="s">
        <v>1500</v>
      </c>
      <c r="F730" s="78" t="s">
        <v>1501</v>
      </c>
      <c r="G730" s="78" t="s">
        <v>1513</v>
      </c>
      <c r="H730" s="77"/>
      <c r="I730" s="226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9"/>
    </row>
    <row r="731" spans="1:31" x14ac:dyDescent="0.3">
      <c r="A731" s="76"/>
      <c r="B731" s="78" t="s">
        <v>1939</v>
      </c>
      <c r="C731" s="78" t="s">
        <v>1499</v>
      </c>
      <c r="D731" s="78" t="s">
        <v>120</v>
      </c>
      <c r="E731" s="78" t="s">
        <v>1933</v>
      </c>
      <c r="F731" s="78" t="s">
        <v>1558</v>
      </c>
      <c r="G731" s="78" t="s">
        <v>1513</v>
      </c>
      <c r="H731" s="77"/>
      <c r="I731" s="226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9"/>
    </row>
    <row r="732" spans="1:31" ht="15" thickBot="1" x14ac:dyDescent="0.35">
      <c r="A732" s="81"/>
      <c r="B732" s="82" t="s">
        <v>1801</v>
      </c>
      <c r="C732" s="82" t="s">
        <v>1496</v>
      </c>
      <c r="D732" s="82" t="s">
        <v>62</v>
      </c>
      <c r="E732" s="82" t="s">
        <v>1618</v>
      </c>
      <c r="F732" s="82" t="s">
        <v>1546</v>
      </c>
      <c r="G732" s="82" t="s">
        <v>1513</v>
      </c>
      <c r="H732" s="83"/>
      <c r="I732" s="227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4"/>
    </row>
    <row r="733" spans="1:31" x14ac:dyDescent="0.3">
      <c r="A733" s="72" t="s">
        <v>615</v>
      </c>
      <c r="B733" s="73" t="s">
        <v>1940</v>
      </c>
      <c r="C733" s="74" t="s">
        <v>1479</v>
      </c>
      <c r="D733" s="74" t="s">
        <v>616</v>
      </c>
      <c r="E733" s="74" t="s">
        <v>1480</v>
      </c>
      <c r="F733" s="74"/>
      <c r="G733" s="74" t="s">
        <v>1481</v>
      </c>
      <c r="H733" s="73" t="s">
        <v>1575</v>
      </c>
      <c r="I733" s="225" t="s">
        <v>1485</v>
      </c>
      <c r="J733" s="73" t="s">
        <v>614</v>
      </c>
      <c r="K733" s="73">
        <v>80</v>
      </c>
      <c r="L733" s="73" t="s">
        <v>320</v>
      </c>
      <c r="M733" s="73" t="s">
        <v>1483</v>
      </c>
      <c r="N733" s="73" t="s">
        <v>1483</v>
      </c>
      <c r="O733" s="73" t="s">
        <v>1483</v>
      </c>
      <c r="P733" s="73" t="s">
        <v>1483</v>
      </c>
      <c r="Q733" s="73" t="s">
        <v>1483</v>
      </c>
      <c r="R733" s="73" t="s">
        <v>1483</v>
      </c>
      <c r="S733" s="73" t="s">
        <v>1484</v>
      </c>
      <c r="T733" s="73" t="s">
        <v>1484</v>
      </c>
      <c r="U733" s="73" t="s">
        <v>1484</v>
      </c>
      <c r="V733" s="73" t="s">
        <v>1484</v>
      </c>
      <c r="W733" s="73" t="s">
        <v>1485</v>
      </c>
      <c r="X733" s="73" t="s">
        <v>1484</v>
      </c>
      <c r="Y733" s="73" t="s">
        <v>1484</v>
      </c>
      <c r="Z733" s="73" t="s">
        <v>1484</v>
      </c>
      <c r="AA733" s="73" t="s">
        <v>1485</v>
      </c>
      <c r="AB733" s="73" t="s">
        <v>1484</v>
      </c>
      <c r="AC733" s="73" t="s">
        <v>1486</v>
      </c>
      <c r="AD733" s="73" t="s">
        <v>1487</v>
      </c>
      <c r="AE733" s="75" t="s">
        <v>1579</v>
      </c>
    </row>
    <row r="734" spans="1:31" x14ac:dyDescent="0.3">
      <c r="A734" s="76"/>
      <c r="B734" s="77"/>
      <c r="C734" s="78" t="s">
        <v>1489</v>
      </c>
      <c r="D734" s="78" t="s">
        <v>485</v>
      </c>
      <c r="E734" s="78" t="s">
        <v>1694</v>
      </c>
      <c r="F734" s="78" t="s">
        <v>1565</v>
      </c>
      <c r="G734" s="78" t="s">
        <v>1492</v>
      </c>
      <c r="H734" s="77"/>
      <c r="I734" s="226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9"/>
    </row>
    <row r="735" spans="1:31" x14ac:dyDescent="0.3">
      <c r="A735" s="76"/>
      <c r="B735" s="77"/>
      <c r="C735" s="78" t="s">
        <v>1496</v>
      </c>
      <c r="D735" s="78" t="s">
        <v>301</v>
      </c>
      <c r="E735" s="78" t="s">
        <v>1500</v>
      </c>
      <c r="F735" s="78" t="s">
        <v>1501</v>
      </c>
      <c r="G735" s="78" t="s">
        <v>1492</v>
      </c>
      <c r="H735" s="77"/>
      <c r="I735" s="226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9"/>
    </row>
    <row r="736" spans="1:31" x14ac:dyDescent="0.3">
      <c r="A736" s="76"/>
      <c r="B736" s="77"/>
      <c r="C736" s="78" t="s">
        <v>1499</v>
      </c>
      <c r="D736" s="78" t="s">
        <v>253</v>
      </c>
      <c r="E736" s="78" t="s">
        <v>1620</v>
      </c>
      <c r="F736" s="78" t="s">
        <v>1495</v>
      </c>
      <c r="G736" s="78" t="s">
        <v>1492</v>
      </c>
      <c r="H736" s="77"/>
      <c r="I736" s="226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9"/>
    </row>
    <row r="737" spans="1:31" x14ac:dyDescent="0.3">
      <c r="A737" s="76"/>
      <c r="B737" s="77"/>
      <c r="C737" s="78" t="s">
        <v>1502</v>
      </c>
      <c r="D737" s="78" t="s">
        <v>76</v>
      </c>
      <c r="E737" s="78" t="s">
        <v>1618</v>
      </c>
      <c r="F737" s="78" t="s">
        <v>1564</v>
      </c>
      <c r="G737" s="78" t="s">
        <v>1492</v>
      </c>
      <c r="H737" s="77"/>
      <c r="I737" s="226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9"/>
    </row>
    <row r="738" spans="1:31" x14ac:dyDescent="0.3">
      <c r="A738" s="76"/>
      <c r="B738" s="77"/>
      <c r="C738" s="78" t="s">
        <v>1504</v>
      </c>
      <c r="D738" s="78" t="s">
        <v>617</v>
      </c>
      <c r="E738" s="78" t="s">
        <v>1773</v>
      </c>
      <c r="F738" s="78" t="s">
        <v>1498</v>
      </c>
      <c r="G738" s="78" t="s">
        <v>1492</v>
      </c>
      <c r="H738" s="77"/>
      <c r="I738" s="226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9"/>
    </row>
    <row r="739" spans="1:31" x14ac:dyDescent="0.3">
      <c r="A739" s="76"/>
      <c r="B739" s="80"/>
      <c r="C739" s="78" t="s">
        <v>1507</v>
      </c>
      <c r="D739" s="78" t="s">
        <v>618</v>
      </c>
      <c r="E739" s="78" t="s">
        <v>1792</v>
      </c>
      <c r="F739" s="78" t="s">
        <v>1793</v>
      </c>
      <c r="G739" s="78" t="s">
        <v>1492</v>
      </c>
      <c r="H739" s="77"/>
      <c r="I739" s="226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9"/>
    </row>
    <row r="740" spans="1:31" x14ac:dyDescent="0.3">
      <c r="A740" s="76"/>
      <c r="B740" s="78" t="s">
        <v>1761</v>
      </c>
      <c r="C740" s="78" t="s">
        <v>1496</v>
      </c>
      <c r="D740" s="78" t="s">
        <v>253</v>
      </c>
      <c r="E740" s="78" t="s">
        <v>1620</v>
      </c>
      <c r="F740" s="78" t="s">
        <v>1495</v>
      </c>
      <c r="G740" s="78" t="s">
        <v>1513</v>
      </c>
      <c r="H740" s="77"/>
      <c r="I740" s="226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9"/>
    </row>
    <row r="741" spans="1:31" x14ac:dyDescent="0.3">
      <c r="A741" s="76"/>
      <c r="B741" s="78" t="s">
        <v>1941</v>
      </c>
      <c r="C741" s="78" t="s">
        <v>1493</v>
      </c>
      <c r="D741" s="78" t="s">
        <v>301</v>
      </c>
      <c r="E741" s="78" t="s">
        <v>1500</v>
      </c>
      <c r="F741" s="78" t="s">
        <v>1501</v>
      </c>
      <c r="G741" s="78" t="s">
        <v>1513</v>
      </c>
      <c r="H741" s="77"/>
      <c r="I741" s="226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9"/>
    </row>
    <row r="742" spans="1:31" x14ac:dyDescent="0.3">
      <c r="A742" s="76"/>
      <c r="B742" s="78" t="s">
        <v>1942</v>
      </c>
      <c r="C742" s="78" t="s">
        <v>1496</v>
      </c>
      <c r="D742" s="78" t="s">
        <v>76</v>
      </c>
      <c r="E742" s="78" t="s">
        <v>1618</v>
      </c>
      <c r="F742" s="78" t="s">
        <v>1564</v>
      </c>
      <c r="G742" s="78" t="s">
        <v>1513</v>
      </c>
      <c r="H742" s="77"/>
      <c r="I742" s="226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9"/>
    </row>
    <row r="743" spans="1:31" x14ac:dyDescent="0.3">
      <c r="A743" s="76"/>
      <c r="B743" s="78" t="s">
        <v>1943</v>
      </c>
      <c r="C743" s="78" t="s">
        <v>1489</v>
      </c>
      <c r="D743" s="78" t="s">
        <v>618</v>
      </c>
      <c r="E743" s="78" t="s">
        <v>1792</v>
      </c>
      <c r="F743" s="78" t="s">
        <v>1793</v>
      </c>
      <c r="G743" s="78" t="s">
        <v>1513</v>
      </c>
      <c r="H743" s="77"/>
      <c r="I743" s="226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9"/>
    </row>
    <row r="744" spans="1:31" ht="15" thickBot="1" x14ac:dyDescent="0.35">
      <c r="A744" s="81"/>
      <c r="B744" s="82" t="s">
        <v>1706</v>
      </c>
      <c r="C744" s="82" t="s">
        <v>1496</v>
      </c>
      <c r="D744" s="82" t="s">
        <v>485</v>
      </c>
      <c r="E744" s="82" t="s">
        <v>1694</v>
      </c>
      <c r="F744" s="82" t="s">
        <v>1565</v>
      </c>
      <c r="G744" s="82" t="s">
        <v>1513</v>
      </c>
      <c r="H744" s="83"/>
      <c r="I744" s="227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4"/>
    </row>
    <row r="745" spans="1:31" x14ac:dyDescent="0.3">
      <c r="A745" s="72" t="s">
        <v>1423</v>
      </c>
      <c r="B745" s="73" t="s">
        <v>1944</v>
      </c>
      <c r="C745" s="74" t="s">
        <v>1479</v>
      </c>
      <c r="D745" s="74" t="s">
        <v>1424</v>
      </c>
      <c r="E745" s="74" t="s">
        <v>1480</v>
      </c>
      <c r="F745" s="74"/>
      <c r="G745" s="74" t="s">
        <v>1481</v>
      </c>
      <c r="H745" s="73" t="s">
        <v>1482</v>
      </c>
      <c r="I745" s="225" t="s">
        <v>1485</v>
      </c>
      <c r="J745" s="73" t="s">
        <v>1422</v>
      </c>
      <c r="K745" s="73" t="s">
        <v>1485</v>
      </c>
      <c r="L745" s="73" t="s">
        <v>195</v>
      </c>
      <c r="M745" s="73" t="s">
        <v>1483</v>
      </c>
      <c r="N745" s="73" t="s">
        <v>1483</v>
      </c>
      <c r="O745" s="73" t="s">
        <v>1483</v>
      </c>
      <c r="P745" s="73" t="s">
        <v>1483</v>
      </c>
      <c r="Q745" s="73" t="s">
        <v>1483</v>
      </c>
      <c r="R745" s="73" t="s">
        <v>1483</v>
      </c>
      <c r="S745" s="73" t="s">
        <v>1484</v>
      </c>
      <c r="T745" s="73" t="s">
        <v>1484</v>
      </c>
      <c r="U745" s="73" t="s">
        <v>1484</v>
      </c>
      <c r="V745" s="73" t="s">
        <v>1484</v>
      </c>
      <c r="W745" s="73" t="s">
        <v>1485</v>
      </c>
      <c r="X745" s="73" t="s">
        <v>1484</v>
      </c>
      <c r="Y745" s="73" t="s">
        <v>1484</v>
      </c>
      <c r="Z745" s="73" t="s">
        <v>1485</v>
      </c>
      <c r="AA745" s="73" t="s">
        <v>1485</v>
      </c>
      <c r="AB745" s="73" t="s">
        <v>1484</v>
      </c>
      <c r="AC745" s="73" t="s">
        <v>1486</v>
      </c>
      <c r="AD745" s="73" t="s">
        <v>1487</v>
      </c>
      <c r="AE745" s="75" t="s">
        <v>1488</v>
      </c>
    </row>
    <row r="746" spans="1:31" x14ac:dyDescent="0.3">
      <c r="A746" s="76"/>
      <c r="B746" s="77"/>
      <c r="C746" s="78" t="s">
        <v>1496</v>
      </c>
      <c r="D746" s="78" t="s">
        <v>315</v>
      </c>
      <c r="E746" s="78" t="s">
        <v>1500</v>
      </c>
      <c r="F746" s="78" t="s">
        <v>1501</v>
      </c>
      <c r="G746" s="78" t="s">
        <v>1492</v>
      </c>
      <c r="H746" s="77"/>
      <c r="I746" s="226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9"/>
    </row>
    <row r="747" spans="1:31" x14ac:dyDescent="0.3">
      <c r="A747" s="76"/>
      <c r="B747" s="80"/>
      <c r="C747" s="78" t="s">
        <v>1502</v>
      </c>
      <c r="D747" s="78" t="s">
        <v>724</v>
      </c>
      <c r="E747" s="78" t="s">
        <v>1774</v>
      </c>
      <c r="F747" s="78" t="s">
        <v>1775</v>
      </c>
      <c r="G747" s="78" t="s">
        <v>1492</v>
      </c>
      <c r="H747" s="77"/>
      <c r="I747" s="226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9"/>
    </row>
    <row r="748" spans="1:31" ht="15" thickBot="1" x14ac:dyDescent="0.35">
      <c r="A748" s="81"/>
      <c r="B748" s="82" t="s">
        <v>1945</v>
      </c>
      <c r="C748" s="82" t="s">
        <v>1493</v>
      </c>
      <c r="D748" s="82" t="s">
        <v>315</v>
      </c>
      <c r="E748" s="82" t="s">
        <v>1500</v>
      </c>
      <c r="F748" s="82" t="s">
        <v>1501</v>
      </c>
      <c r="G748" s="82" t="s">
        <v>1513</v>
      </c>
      <c r="H748" s="83"/>
      <c r="I748" s="227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4"/>
    </row>
    <row r="749" spans="1:31" x14ac:dyDescent="0.3">
      <c r="A749" s="72" t="s">
        <v>1427</v>
      </c>
      <c r="B749" s="74" t="s">
        <v>1946</v>
      </c>
      <c r="C749" s="74" t="s">
        <v>1479</v>
      </c>
      <c r="D749" s="74" t="s">
        <v>1428</v>
      </c>
      <c r="E749" s="74" t="s">
        <v>1480</v>
      </c>
      <c r="F749" s="74"/>
      <c r="G749" s="74" t="s">
        <v>1481</v>
      </c>
      <c r="H749" s="73" t="s">
        <v>1482</v>
      </c>
      <c r="I749" s="225" t="s">
        <v>1485</v>
      </c>
      <c r="J749" s="73" t="s">
        <v>1426</v>
      </c>
      <c r="K749" s="73" t="s">
        <v>1485</v>
      </c>
      <c r="L749" s="73" t="s">
        <v>195</v>
      </c>
      <c r="M749" s="73" t="s">
        <v>1483</v>
      </c>
      <c r="N749" s="73" t="s">
        <v>1483</v>
      </c>
      <c r="O749" s="73" t="s">
        <v>1483</v>
      </c>
      <c r="P749" s="73" t="s">
        <v>1483</v>
      </c>
      <c r="Q749" s="73" t="s">
        <v>1483</v>
      </c>
      <c r="R749" s="73" t="s">
        <v>1483</v>
      </c>
      <c r="S749" s="73" t="s">
        <v>1484</v>
      </c>
      <c r="T749" s="73" t="s">
        <v>1484</v>
      </c>
      <c r="U749" s="73" t="s">
        <v>1484</v>
      </c>
      <c r="V749" s="73" t="s">
        <v>1484</v>
      </c>
      <c r="W749" s="73" t="s">
        <v>1485</v>
      </c>
      <c r="X749" s="73" t="s">
        <v>1484</v>
      </c>
      <c r="Y749" s="73" t="s">
        <v>1484</v>
      </c>
      <c r="Z749" s="73" t="s">
        <v>1485</v>
      </c>
      <c r="AA749" s="73" t="s">
        <v>1485</v>
      </c>
      <c r="AB749" s="73" t="s">
        <v>1484</v>
      </c>
      <c r="AC749" s="73" t="s">
        <v>1486</v>
      </c>
      <c r="AD749" s="73" t="s">
        <v>1487</v>
      </c>
      <c r="AE749" s="75" t="s">
        <v>1488</v>
      </c>
    </row>
    <row r="750" spans="1:31" x14ac:dyDescent="0.3">
      <c r="A750" s="76"/>
      <c r="B750" s="78" t="s">
        <v>1837</v>
      </c>
      <c r="C750" s="78" t="s">
        <v>1493</v>
      </c>
      <c r="D750" s="78" t="s">
        <v>68</v>
      </c>
      <c r="E750" s="78" t="s">
        <v>1480</v>
      </c>
      <c r="F750" s="78" t="s">
        <v>1518</v>
      </c>
      <c r="G750" s="78" t="s">
        <v>1513</v>
      </c>
      <c r="H750" s="77"/>
      <c r="I750" s="226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9"/>
    </row>
    <row r="751" spans="1:31" ht="15" thickBot="1" x14ac:dyDescent="0.35">
      <c r="A751" s="81"/>
      <c r="B751" s="82" t="s">
        <v>1788</v>
      </c>
      <c r="C751" s="82" t="s">
        <v>1496</v>
      </c>
      <c r="D751" s="82" t="s">
        <v>717</v>
      </c>
      <c r="E751" s="82" t="s">
        <v>1774</v>
      </c>
      <c r="F751" s="82" t="s">
        <v>1789</v>
      </c>
      <c r="G751" s="82" t="s">
        <v>1513</v>
      </c>
      <c r="H751" s="83"/>
      <c r="I751" s="227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4"/>
    </row>
    <row r="752" spans="1:31" x14ac:dyDescent="0.3">
      <c r="A752" s="72" t="s">
        <v>477</v>
      </c>
      <c r="B752" s="73" t="s">
        <v>1947</v>
      </c>
      <c r="C752" s="74" t="s">
        <v>1479</v>
      </c>
      <c r="D752" s="74" t="s">
        <v>478</v>
      </c>
      <c r="E752" s="74" t="s">
        <v>1480</v>
      </c>
      <c r="F752" s="74"/>
      <c r="G752" s="74" t="s">
        <v>1481</v>
      </c>
      <c r="H752" s="73" t="s">
        <v>1575</v>
      </c>
      <c r="I752" s="225">
        <v>40</v>
      </c>
      <c r="J752" s="73" t="s">
        <v>476</v>
      </c>
      <c r="K752" s="73">
        <v>62</v>
      </c>
      <c r="L752" s="73" t="s">
        <v>320</v>
      </c>
      <c r="M752" s="73" t="s">
        <v>1483</v>
      </c>
      <c r="N752" s="73" t="s">
        <v>1483</v>
      </c>
      <c r="O752" s="73" t="s">
        <v>1483</v>
      </c>
      <c r="P752" s="73" t="s">
        <v>1483</v>
      </c>
      <c r="Q752" s="73" t="s">
        <v>1483</v>
      </c>
      <c r="R752" s="73" t="s">
        <v>1483</v>
      </c>
      <c r="S752" s="73" t="s">
        <v>1484</v>
      </c>
      <c r="T752" s="73" t="s">
        <v>1484</v>
      </c>
      <c r="U752" s="73" t="s">
        <v>1484</v>
      </c>
      <c r="V752" s="73" t="s">
        <v>1484</v>
      </c>
      <c r="W752" s="73" t="s">
        <v>1485</v>
      </c>
      <c r="X752" s="73" t="s">
        <v>1484</v>
      </c>
      <c r="Y752" s="73" t="s">
        <v>1484</v>
      </c>
      <c r="Z752" s="73" t="s">
        <v>1484</v>
      </c>
      <c r="AA752" s="73" t="s">
        <v>1485</v>
      </c>
      <c r="AB752" s="73" t="s">
        <v>1484</v>
      </c>
      <c r="AC752" s="73" t="s">
        <v>1486</v>
      </c>
      <c r="AD752" s="73" t="s">
        <v>1487</v>
      </c>
      <c r="AE752" s="75" t="s">
        <v>1579</v>
      </c>
    </row>
    <row r="753" spans="1:31" x14ac:dyDescent="0.3">
      <c r="A753" s="76"/>
      <c r="B753" s="77"/>
      <c r="C753" s="78" t="s">
        <v>1489</v>
      </c>
      <c r="D753" s="78" t="s">
        <v>313</v>
      </c>
      <c r="E753" s="78" t="s">
        <v>1948</v>
      </c>
      <c r="F753" s="78" t="s">
        <v>1611</v>
      </c>
      <c r="G753" s="78" t="s">
        <v>1492</v>
      </c>
      <c r="H753" s="77"/>
      <c r="I753" s="226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9"/>
    </row>
    <row r="754" spans="1:31" x14ac:dyDescent="0.3">
      <c r="A754" s="76"/>
      <c r="B754" s="77"/>
      <c r="C754" s="78" t="s">
        <v>1493</v>
      </c>
      <c r="D754" s="78" t="s">
        <v>297</v>
      </c>
      <c r="E754" s="78" t="s">
        <v>1494</v>
      </c>
      <c r="F754" s="78" t="s">
        <v>1495</v>
      </c>
      <c r="G754" s="78" t="s">
        <v>1492</v>
      </c>
      <c r="H754" s="77"/>
      <c r="I754" s="226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9"/>
    </row>
    <row r="755" spans="1:31" x14ac:dyDescent="0.3">
      <c r="A755" s="76"/>
      <c r="B755" s="77"/>
      <c r="C755" s="78" t="s">
        <v>1504</v>
      </c>
      <c r="D755" s="78" t="s">
        <v>479</v>
      </c>
      <c r="E755" s="78" t="s">
        <v>1494</v>
      </c>
      <c r="F755" s="78" t="s">
        <v>1495</v>
      </c>
      <c r="G755" s="78" t="s">
        <v>1492</v>
      </c>
      <c r="H755" s="77"/>
      <c r="I755" s="226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9"/>
    </row>
    <row r="756" spans="1:31" x14ac:dyDescent="0.3">
      <c r="A756" s="76"/>
      <c r="B756" s="78" t="s">
        <v>1517</v>
      </c>
      <c r="C756" s="78" t="s">
        <v>1496</v>
      </c>
      <c r="D756" s="78" t="s">
        <v>31</v>
      </c>
      <c r="E756" s="78" t="s">
        <v>1480</v>
      </c>
      <c r="F756" s="78" t="s">
        <v>1518</v>
      </c>
      <c r="G756" s="78" t="s">
        <v>1513</v>
      </c>
      <c r="H756" s="85"/>
      <c r="I756" s="226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9"/>
    </row>
    <row r="757" spans="1:31" x14ac:dyDescent="0.3">
      <c r="A757" s="76"/>
      <c r="B757" s="78" t="s">
        <v>1861</v>
      </c>
      <c r="C757" s="78" t="s">
        <v>1496</v>
      </c>
      <c r="D757" s="78" t="s">
        <v>297</v>
      </c>
      <c r="E757" s="78" t="s">
        <v>1494</v>
      </c>
      <c r="F757" s="78" t="s">
        <v>1495</v>
      </c>
      <c r="G757" s="78" t="s">
        <v>1513</v>
      </c>
      <c r="H757" s="77"/>
      <c r="I757" s="226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9"/>
    </row>
    <row r="758" spans="1:31" x14ac:dyDescent="0.3">
      <c r="A758" s="76"/>
      <c r="B758" s="78" t="s">
        <v>1664</v>
      </c>
      <c r="C758" s="78" t="s">
        <v>1493</v>
      </c>
      <c r="D758" s="78" t="s">
        <v>479</v>
      </c>
      <c r="E758" s="78" t="s">
        <v>1494</v>
      </c>
      <c r="F758" s="78" t="s">
        <v>1495</v>
      </c>
      <c r="G758" s="78" t="s">
        <v>1513</v>
      </c>
      <c r="H758" s="77"/>
      <c r="I758" s="226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9"/>
    </row>
    <row r="759" spans="1:31" x14ac:dyDescent="0.3">
      <c r="A759" s="76"/>
      <c r="B759" s="78" t="s">
        <v>1949</v>
      </c>
      <c r="C759" s="78" t="s">
        <v>1493</v>
      </c>
      <c r="D759" s="78" t="s">
        <v>474</v>
      </c>
      <c r="E759" s="78" t="s">
        <v>1749</v>
      </c>
      <c r="F759" s="78" t="s">
        <v>1950</v>
      </c>
      <c r="G759" s="78" t="s">
        <v>1513</v>
      </c>
      <c r="H759" s="85"/>
      <c r="I759" s="226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9"/>
    </row>
    <row r="760" spans="1:31" x14ac:dyDescent="0.3">
      <c r="A760" s="76"/>
      <c r="B760" s="78" t="s">
        <v>1951</v>
      </c>
      <c r="C760" s="78" t="s">
        <v>1489</v>
      </c>
      <c r="D760" s="78" t="s">
        <v>473</v>
      </c>
      <c r="E760" s="78" t="s">
        <v>1749</v>
      </c>
      <c r="F760" s="78" t="s">
        <v>1950</v>
      </c>
      <c r="G760" s="78" t="s">
        <v>1513</v>
      </c>
      <c r="H760" s="77"/>
      <c r="I760" s="226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9"/>
    </row>
    <row r="761" spans="1:31" s="205" customFormat="1" ht="15" thickBot="1" x14ac:dyDescent="0.35">
      <c r="A761" s="201"/>
      <c r="B761" s="202" t="s">
        <v>1952</v>
      </c>
      <c r="C761" s="202" t="s">
        <v>1499</v>
      </c>
      <c r="D761" s="202" t="s">
        <v>434</v>
      </c>
      <c r="E761" s="202" t="s">
        <v>1749</v>
      </c>
      <c r="F761" s="202" t="s">
        <v>1953</v>
      </c>
      <c r="G761" s="202" t="s">
        <v>1513</v>
      </c>
      <c r="H761" s="203"/>
      <c r="I761" s="226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4"/>
    </row>
    <row r="762" spans="1:31" x14ac:dyDescent="0.3">
      <c r="A762" s="72" t="s">
        <v>470</v>
      </c>
      <c r="B762" s="73" t="s">
        <v>1954</v>
      </c>
      <c r="C762" s="74" t="s">
        <v>1479</v>
      </c>
      <c r="D762" s="74" t="s">
        <v>471</v>
      </c>
      <c r="E762" s="74" t="s">
        <v>1480</v>
      </c>
      <c r="F762" s="74"/>
      <c r="G762" s="74" t="s">
        <v>1481</v>
      </c>
      <c r="H762" s="73" t="s">
        <v>1575</v>
      </c>
      <c r="I762" s="226"/>
      <c r="J762" s="73" t="s">
        <v>469</v>
      </c>
      <c r="K762" s="73">
        <v>61</v>
      </c>
      <c r="L762" s="73" t="s">
        <v>320</v>
      </c>
      <c r="M762" s="73" t="s">
        <v>1483</v>
      </c>
      <c r="N762" s="73" t="s">
        <v>1483</v>
      </c>
      <c r="O762" s="73" t="s">
        <v>1483</v>
      </c>
      <c r="P762" s="73" t="s">
        <v>1483</v>
      </c>
      <c r="Q762" s="73" t="s">
        <v>1483</v>
      </c>
      <c r="R762" s="73" t="s">
        <v>1483</v>
      </c>
      <c r="S762" s="73" t="s">
        <v>1484</v>
      </c>
      <c r="T762" s="73" t="s">
        <v>1484</v>
      </c>
      <c r="U762" s="73" t="s">
        <v>1484</v>
      </c>
      <c r="V762" s="73" t="s">
        <v>1484</v>
      </c>
      <c r="W762" s="73" t="s">
        <v>1485</v>
      </c>
      <c r="X762" s="73" t="s">
        <v>1484</v>
      </c>
      <c r="Y762" s="73" t="s">
        <v>1484</v>
      </c>
      <c r="Z762" s="73" t="s">
        <v>1484</v>
      </c>
      <c r="AA762" s="73" t="s">
        <v>1485</v>
      </c>
      <c r="AB762" s="73" t="s">
        <v>1484</v>
      </c>
      <c r="AC762" s="73" t="s">
        <v>1486</v>
      </c>
      <c r="AD762" s="73" t="s">
        <v>1487</v>
      </c>
      <c r="AE762" s="75" t="s">
        <v>1579</v>
      </c>
    </row>
    <row r="763" spans="1:31" ht="15" thickBot="1" x14ac:dyDescent="0.35">
      <c r="A763" s="76"/>
      <c r="B763" s="77"/>
      <c r="C763" s="78" t="s">
        <v>1493</v>
      </c>
      <c r="D763" s="78" t="s">
        <v>128</v>
      </c>
      <c r="E763" s="78" t="s">
        <v>1494</v>
      </c>
      <c r="F763" s="78" t="s">
        <v>1495</v>
      </c>
      <c r="G763" s="78" t="s">
        <v>1492</v>
      </c>
      <c r="H763" s="77"/>
      <c r="I763" s="22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9"/>
    </row>
    <row r="764" spans="1:31" x14ac:dyDescent="0.3">
      <c r="A764" s="76"/>
      <c r="B764" s="77"/>
      <c r="C764" s="78" t="s">
        <v>1499</v>
      </c>
      <c r="D764" s="78" t="s">
        <v>130</v>
      </c>
      <c r="E764" s="78" t="s">
        <v>1500</v>
      </c>
      <c r="F764" s="78" t="s">
        <v>1501</v>
      </c>
      <c r="G764" s="78" t="s">
        <v>1492</v>
      </c>
      <c r="H764" s="77"/>
      <c r="I764" s="225">
        <v>39</v>
      </c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9"/>
    </row>
    <row r="765" spans="1:31" x14ac:dyDescent="0.3">
      <c r="A765" s="76"/>
      <c r="B765" s="80"/>
      <c r="C765" s="78" t="s">
        <v>1504</v>
      </c>
      <c r="D765" s="78" t="s">
        <v>472</v>
      </c>
      <c r="E765" s="78" t="s">
        <v>1494</v>
      </c>
      <c r="F765" s="78" t="s">
        <v>1495</v>
      </c>
      <c r="G765" s="78" t="s">
        <v>1492</v>
      </c>
      <c r="H765" s="77"/>
      <c r="I765" s="226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9"/>
    </row>
    <row r="766" spans="1:31" x14ac:dyDescent="0.3">
      <c r="A766" s="76"/>
      <c r="B766" s="78" t="s">
        <v>1955</v>
      </c>
      <c r="C766" s="78" t="s">
        <v>1493</v>
      </c>
      <c r="D766" s="78" t="s">
        <v>303</v>
      </c>
      <c r="E766" s="78" t="s">
        <v>1948</v>
      </c>
      <c r="F766" s="78" t="s">
        <v>1600</v>
      </c>
      <c r="G766" s="78" t="s">
        <v>1513</v>
      </c>
      <c r="H766" s="77"/>
      <c r="I766" s="226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9"/>
    </row>
    <row r="767" spans="1:31" x14ac:dyDescent="0.3">
      <c r="A767" s="76"/>
      <c r="B767" s="78" t="s">
        <v>1536</v>
      </c>
      <c r="C767" s="78" t="s">
        <v>1496</v>
      </c>
      <c r="D767" s="78" t="s">
        <v>43</v>
      </c>
      <c r="E767" s="78" t="s">
        <v>1480</v>
      </c>
      <c r="F767" s="78" t="s">
        <v>1518</v>
      </c>
      <c r="G767" s="78" t="s">
        <v>1513</v>
      </c>
      <c r="H767" s="85"/>
      <c r="I767" s="226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9"/>
    </row>
    <row r="768" spans="1:31" x14ac:dyDescent="0.3">
      <c r="A768" s="76"/>
      <c r="B768" s="78" t="s">
        <v>1871</v>
      </c>
      <c r="C768" s="78" t="s">
        <v>1489</v>
      </c>
      <c r="D768" s="78" t="s">
        <v>128</v>
      </c>
      <c r="E768" s="78" t="s">
        <v>1494</v>
      </c>
      <c r="F768" s="78" t="s">
        <v>1495</v>
      </c>
      <c r="G768" s="78" t="s">
        <v>1513</v>
      </c>
      <c r="H768" s="77"/>
      <c r="I768" s="226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9"/>
    </row>
    <row r="769" spans="1:31" x14ac:dyDescent="0.3">
      <c r="A769" s="76"/>
      <c r="B769" s="78" t="s">
        <v>1674</v>
      </c>
      <c r="C769" s="78" t="s">
        <v>1489</v>
      </c>
      <c r="D769" s="78" t="s">
        <v>472</v>
      </c>
      <c r="E769" s="78" t="s">
        <v>1494</v>
      </c>
      <c r="F769" s="78" t="s">
        <v>1495</v>
      </c>
      <c r="G769" s="78" t="s">
        <v>1513</v>
      </c>
      <c r="H769" s="77"/>
      <c r="I769" s="226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9"/>
    </row>
    <row r="770" spans="1:31" x14ac:dyDescent="0.3">
      <c r="A770" s="76"/>
      <c r="B770" s="78" t="s">
        <v>1570</v>
      </c>
      <c r="C770" s="78" t="s">
        <v>1507</v>
      </c>
      <c r="D770" s="78" t="s">
        <v>130</v>
      </c>
      <c r="E770" s="78" t="s">
        <v>1500</v>
      </c>
      <c r="F770" s="78" t="s">
        <v>1501</v>
      </c>
      <c r="G770" s="78" t="s">
        <v>1513</v>
      </c>
      <c r="H770" s="85"/>
      <c r="I770" s="226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9"/>
    </row>
    <row r="771" spans="1:31" x14ac:dyDescent="0.3">
      <c r="A771" s="76"/>
      <c r="B771" s="78" t="s">
        <v>1949</v>
      </c>
      <c r="C771" s="78" t="s">
        <v>1489</v>
      </c>
      <c r="D771" s="78" t="s">
        <v>474</v>
      </c>
      <c r="E771" s="78" t="s">
        <v>1749</v>
      </c>
      <c r="F771" s="78" t="s">
        <v>1950</v>
      </c>
      <c r="G771" s="78" t="s">
        <v>1513</v>
      </c>
      <c r="H771" s="77"/>
      <c r="I771" s="226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9"/>
    </row>
    <row r="772" spans="1:31" x14ac:dyDescent="0.3">
      <c r="A772" s="76"/>
      <c r="B772" s="78" t="s">
        <v>1951</v>
      </c>
      <c r="C772" s="78" t="s">
        <v>1493</v>
      </c>
      <c r="D772" s="78" t="s">
        <v>473</v>
      </c>
      <c r="E772" s="78" t="s">
        <v>1749</v>
      </c>
      <c r="F772" s="78" t="s">
        <v>1950</v>
      </c>
      <c r="G772" s="78" t="s">
        <v>1513</v>
      </c>
      <c r="H772" s="77"/>
      <c r="I772" s="226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9"/>
    </row>
    <row r="773" spans="1:31" ht="15" thickBot="1" x14ac:dyDescent="0.35">
      <c r="A773" s="81"/>
      <c r="B773" s="82" t="s">
        <v>1956</v>
      </c>
      <c r="C773" s="82" t="s">
        <v>1496</v>
      </c>
      <c r="D773" s="82" t="s">
        <v>440</v>
      </c>
      <c r="E773" s="82" t="s">
        <v>1749</v>
      </c>
      <c r="F773" s="82" t="s">
        <v>1957</v>
      </c>
      <c r="G773" s="82" t="s">
        <v>1513</v>
      </c>
      <c r="H773" s="83"/>
      <c r="I773" s="226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4"/>
    </row>
    <row r="774" spans="1:31" x14ac:dyDescent="0.3">
      <c r="A774" s="72" t="s">
        <v>409</v>
      </c>
      <c r="B774" s="73" t="s">
        <v>1958</v>
      </c>
      <c r="C774" s="74" t="s">
        <v>1479</v>
      </c>
      <c r="D774" s="74" t="s">
        <v>410</v>
      </c>
      <c r="E774" s="74" t="s">
        <v>1480</v>
      </c>
      <c r="F774" s="74"/>
      <c r="G774" s="74" t="s">
        <v>1481</v>
      </c>
      <c r="H774" s="73" t="s">
        <v>1959</v>
      </c>
      <c r="I774" s="226"/>
      <c r="J774" s="73" t="s">
        <v>408</v>
      </c>
      <c r="K774" s="73">
        <v>50</v>
      </c>
      <c r="L774" s="73" t="s">
        <v>320</v>
      </c>
      <c r="M774" s="73" t="s">
        <v>1483</v>
      </c>
      <c r="N774" s="73" t="s">
        <v>1483</v>
      </c>
      <c r="O774" s="73" t="s">
        <v>2655</v>
      </c>
      <c r="P774" s="73" t="s">
        <v>2655</v>
      </c>
      <c r="Q774" s="73" t="s">
        <v>2655</v>
      </c>
      <c r="R774" s="73" t="s">
        <v>2655</v>
      </c>
      <c r="S774" s="73" t="s">
        <v>1484</v>
      </c>
      <c r="T774" s="73" t="s">
        <v>1484</v>
      </c>
      <c r="U774" s="73" t="s">
        <v>1484</v>
      </c>
      <c r="V774" s="73" t="s">
        <v>1484</v>
      </c>
      <c r="W774" s="73" t="s">
        <v>1576</v>
      </c>
      <c r="X774" s="73" t="s">
        <v>1484</v>
      </c>
      <c r="Y774" s="73" t="s">
        <v>1484</v>
      </c>
      <c r="Z774" s="73" t="s">
        <v>1484</v>
      </c>
      <c r="AA774" s="73" t="s">
        <v>1485</v>
      </c>
      <c r="AB774" s="73" t="s">
        <v>1484</v>
      </c>
      <c r="AC774" s="73" t="s">
        <v>1486</v>
      </c>
      <c r="AD774" s="73" t="s">
        <v>1960</v>
      </c>
      <c r="AE774" s="75" t="s">
        <v>1644</v>
      </c>
    </row>
    <row r="775" spans="1:31" x14ac:dyDescent="0.3">
      <c r="A775" s="76"/>
      <c r="B775" s="77"/>
      <c r="C775" s="78" t="s">
        <v>1489</v>
      </c>
      <c r="D775" s="78" t="s">
        <v>398</v>
      </c>
      <c r="E775" s="78" t="s">
        <v>1749</v>
      </c>
      <c r="F775" s="78" t="s">
        <v>1812</v>
      </c>
      <c r="G775" s="78" t="s">
        <v>1492</v>
      </c>
      <c r="H775" s="77"/>
      <c r="I775" s="226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9"/>
    </row>
    <row r="776" spans="1:31" ht="15" thickBot="1" x14ac:dyDescent="0.35">
      <c r="A776" s="76"/>
      <c r="B776" s="77"/>
      <c r="C776" s="78" t="s">
        <v>1493</v>
      </c>
      <c r="D776" s="78" t="s">
        <v>114</v>
      </c>
      <c r="E776" s="78" t="s">
        <v>1494</v>
      </c>
      <c r="F776" s="78" t="s">
        <v>1495</v>
      </c>
      <c r="G776" s="78" t="s">
        <v>1492</v>
      </c>
      <c r="H776" s="77"/>
      <c r="I776" s="22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9"/>
    </row>
    <row r="777" spans="1:31" x14ac:dyDescent="0.3">
      <c r="A777" s="76"/>
      <c r="B777" s="77"/>
      <c r="C777" s="78" t="s">
        <v>1496</v>
      </c>
      <c r="D777" s="78" t="s">
        <v>411</v>
      </c>
      <c r="E777" s="78" t="s">
        <v>1595</v>
      </c>
      <c r="F777" s="78" t="s">
        <v>1491</v>
      </c>
      <c r="G777" s="78" t="s">
        <v>1492</v>
      </c>
      <c r="H777" s="77"/>
      <c r="I777" s="225">
        <v>30</v>
      </c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9"/>
    </row>
    <row r="778" spans="1:31" x14ac:dyDescent="0.3">
      <c r="A778" s="76"/>
      <c r="B778" s="77"/>
      <c r="C778" s="78" t="s">
        <v>1499</v>
      </c>
      <c r="D778" s="78" t="s">
        <v>412</v>
      </c>
      <c r="E778" s="78" t="s">
        <v>1505</v>
      </c>
      <c r="F778" s="78" t="s">
        <v>1491</v>
      </c>
      <c r="G778" s="78" t="s">
        <v>1492</v>
      </c>
      <c r="H778" s="77"/>
      <c r="I778" s="226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9"/>
    </row>
    <row r="779" spans="1:31" x14ac:dyDescent="0.3">
      <c r="A779" s="76"/>
      <c r="B779" s="77"/>
      <c r="C779" s="78" t="s">
        <v>1502</v>
      </c>
      <c r="D779" s="78" t="s">
        <v>391</v>
      </c>
      <c r="E779" s="78" t="s">
        <v>1749</v>
      </c>
      <c r="F779" s="78" t="s">
        <v>1812</v>
      </c>
      <c r="G779" s="78" t="s">
        <v>1492</v>
      </c>
      <c r="H779" s="77"/>
      <c r="I779" s="226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9"/>
    </row>
    <row r="780" spans="1:31" x14ac:dyDescent="0.3">
      <c r="A780" s="76"/>
      <c r="B780" s="77"/>
      <c r="C780" s="78" t="s">
        <v>1504</v>
      </c>
      <c r="D780" s="78" t="s">
        <v>413</v>
      </c>
      <c r="E780" s="78" t="s">
        <v>1961</v>
      </c>
      <c r="F780" s="78" t="s">
        <v>1962</v>
      </c>
      <c r="G780" s="78" t="s">
        <v>1492</v>
      </c>
      <c r="H780" s="77"/>
      <c r="I780" s="226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9"/>
    </row>
    <row r="781" spans="1:31" x14ac:dyDescent="0.3">
      <c r="A781" s="76"/>
      <c r="B781" s="80"/>
      <c r="C781" s="78" t="s">
        <v>1507</v>
      </c>
      <c r="D781" s="78" t="s">
        <v>414</v>
      </c>
      <c r="E781" s="78" t="s">
        <v>1963</v>
      </c>
      <c r="F781" s="78" t="s">
        <v>1964</v>
      </c>
      <c r="G781" s="78" t="s">
        <v>1492</v>
      </c>
      <c r="H781" s="77"/>
      <c r="I781" s="226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9"/>
    </row>
    <row r="782" spans="1:31" x14ac:dyDescent="0.3">
      <c r="A782" s="76"/>
      <c r="B782" s="78" t="s">
        <v>1485</v>
      </c>
      <c r="C782" s="78" t="s">
        <v>1485</v>
      </c>
      <c r="D782" s="78" t="s">
        <v>415</v>
      </c>
      <c r="E782" s="78" t="s">
        <v>1580</v>
      </c>
      <c r="F782" s="78" t="s">
        <v>1516</v>
      </c>
      <c r="G782" s="78" t="s">
        <v>1513</v>
      </c>
      <c r="H782" s="77"/>
      <c r="I782" s="226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9"/>
    </row>
    <row r="783" spans="1:31" x14ac:dyDescent="0.3">
      <c r="A783" s="76"/>
      <c r="B783" s="78" t="s">
        <v>1598</v>
      </c>
      <c r="C783" s="78" t="s">
        <v>1489</v>
      </c>
      <c r="D783" s="78" t="s">
        <v>254</v>
      </c>
      <c r="E783" s="78" t="s">
        <v>1599</v>
      </c>
      <c r="F783" s="78" t="s">
        <v>1600</v>
      </c>
      <c r="G783" s="78" t="s">
        <v>1513</v>
      </c>
      <c r="H783" s="77"/>
      <c r="I783" s="226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9"/>
    </row>
    <row r="784" spans="1:31" x14ac:dyDescent="0.3">
      <c r="A784" s="76"/>
      <c r="B784" s="78" t="s">
        <v>1552</v>
      </c>
      <c r="C784" s="78" t="s">
        <v>1496</v>
      </c>
      <c r="D784" s="78" t="s">
        <v>54</v>
      </c>
      <c r="E784" s="78" t="s">
        <v>1480</v>
      </c>
      <c r="F784" s="78" t="s">
        <v>1518</v>
      </c>
      <c r="G784" s="78" t="s">
        <v>1513</v>
      </c>
      <c r="H784" s="85"/>
      <c r="I784" s="226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9"/>
    </row>
    <row r="785" spans="1:31" x14ac:dyDescent="0.3">
      <c r="A785" s="76"/>
      <c r="B785" s="78" t="s">
        <v>1878</v>
      </c>
      <c r="C785" s="78" t="s">
        <v>1493</v>
      </c>
      <c r="D785" s="78" t="s">
        <v>114</v>
      </c>
      <c r="E785" s="78" t="s">
        <v>1494</v>
      </c>
      <c r="F785" s="78" t="s">
        <v>1495</v>
      </c>
      <c r="G785" s="78" t="s">
        <v>1513</v>
      </c>
      <c r="H785" s="77"/>
      <c r="I785" s="226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9"/>
    </row>
    <row r="786" spans="1:31" x14ac:dyDescent="0.3">
      <c r="A786" s="76"/>
      <c r="B786" s="78" t="s">
        <v>1557</v>
      </c>
      <c r="C786" s="78" t="s">
        <v>1496</v>
      </c>
      <c r="D786" s="78" t="s">
        <v>256</v>
      </c>
      <c r="E786" s="78" t="s">
        <v>1525</v>
      </c>
      <c r="F786" s="78" t="s">
        <v>1558</v>
      </c>
      <c r="G786" s="78" t="s">
        <v>1513</v>
      </c>
      <c r="H786" s="85"/>
      <c r="I786" s="226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9"/>
    </row>
    <row r="787" spans="1:31" x14ac:dyDescent="0.3">
      <c r="A787" s="76"/>
      <c r="B787" s="78" t="s">
        <v>1965</v>
      </c>
      <c r="C787" s="78" t="s">
        <v>1493</v>
      </c>
      <c r="D787" s="78" t="s">
        <v>412</v>
      </c>
      <c r="E787" s="78" t="s">
        <v>1505</v>
      </c>
      <c r="F787" s="78" t="s">
        <v>1491</v>
      </c>
      <c r="G787" s="78" t="s">
        <v>1513</v>
      </c>
      <c r="H787" s="77"/>
      <c r="I787" s="226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9"/>
    </row>
    <row r="788" spans="1:31" x14ac:dyDescent="0.3">
      <c r="A788" s="76"/>
      <c r="B788" s="78" t="s">
        <v>1873</v>
      </c>
      <c r="C788" s="78" t="s">
        <v>1499</v>
      </c>
      <c r="D788" s="78" t="s">
        <v>411</v>
      </c>
      <c r="E788" s="78" t="s">
        <v>1595</v>
      </c>
      <c r="F788" s="78" t="s">
        <v>1491</v>
      </c>
      <c r="G788" s="78" t="s">
        <v>1513</v>
      </c>
      <c r="H788" s="77"/>
      <c r="I788" s="226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9"/>
    </row>
    <row r="789" spans="1:31" ht="15" thickBot="1" x14ac:dyDescent="0.35">
      <c r="A789" s="81"/>
      <c r="B789" s="82" t="s">
        <v>1966</v>
      </c>
      <c r="C789" s="82" t="s">
        <v>1489</v>
      </c>
      <c r="D789" s="82" t="s">
        <v>414</v>
      </c>
      <c r="E789" s="82" t="s">
        <v>1963</v>
      </c>
      <c r="F789" s="82" t="s">
        <v>1964</v>
      </c>
      <c r="G789" s="82" t="s">
        <v>1513</v>
      </c>
      <c r="H789" s="83"/>
      <c r="I789" s="226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4"/>
    </row>
    <row r="790" spans="1:31" x14ac:dyDescent="0.3">
      <c r="A790" s="72" t="s">
        <v>403</v>
      </c>
      <c r="B790" s="73" t="s">
        <v>1967</v>
      </c>
      <c r="C790" s="74" t="s">
        <v>1479</v>
      </c>
      <c r="D790" s="74" t="s">
        <v>404</v>
      </c>
      <c r="E790" s="74" t="s">
        <v>1480</v>
      </c>
      <c r="F790" s="74"/>
      <c r="G790" s="74" t="s">
        <v>1481</v>
      </c>
      <c r="H790" s="73" t="s">
        <v>1641</v>
      </c>
      <c r="I790" s="226"/>
      <c r="J790" s="73" t="s">
        <v>402</v>
      </c>
      <c r="K790" s="73">
        <v>49</v>
      </c>
      <c r="L790" s="73" t="s">
        <v>320</v>
      </c>
      <c r="M790" s="73" t="s">
        <v>1483</v>
      </c>
      <c r="N790" s="73" t="s">
        <v>1483</v>
      </c>
      <c r="O790" s="73" t="s">
        <v>1483</v>
      </c>
      <c r="P790" s="73" t="s">
        <v>1483</v>
      </c>
      <c r="Q790" s="73" t="s">
        <v>1483</v>
      </c>
      <c r="R790" s="73" t="s">
        <v>1483</v>
      </c>
      <c r="S790" s="73" t="s">
        <v>1484</v>
      </c>
      <c r="T790" s="73" t="s">
        <v>1484</v>
      </c>
      <c r="U790" s="73" t="s">
        <v>1484</v>
      </c>
      <c r="V790" s="73" t="s">
        <v>1484</v>
      </c>
      <c r="W790" s="73" t="s">
        <v>1576</v>
      </c>
      <c r="X790" s="73" t="s">
        <v>1484</v>
      </c>
      <c r="Y790" s="73" t="s">
        <v>1484</v>
      </c>
      <c r="Z790" s="73" t="s">
        <v>1484</v>
      </c>
      <c r="AA790" s="73" t="s">
        <v>1485</v>
      </c>
      <c r="AB790" s="73" t="s">
        <v>1484</v>
      </c>
      <c r="AC790" s="73" t="s">
        <v>1486</v>
      </c>
      <c r="AD790" s="73" t="s">
        <v>1960</v>
      </c>
      <c r="AE790" s="75" t="s">
        <v>1644</v>
      </c>
    </row>
    <row r="791" spans="1:31" x14ac:dyDescent="0.3">
      <c r="A791" s="76"/>
      <c r="B791" s="77"/>
      <c r="C791" s="78" t="s">
        <v>1493</v>
      </c>
      <c r="D791" s="78" t="s">
        <v>103</v>
      </c>
      <c r="E791" s="78" t="s">
        <v>1494</v>
      </c>
      <c r="F791" s="78" t="s">
        <v>1495</v>
      </c>
      <c r="G791" s="78" t="s">
        <v>1492</v>
      </c>
      <c r="H791" s="77"/>
      <c r="I791" s="226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9"/>
    </row>
    <row r="792" spans="1:31" x14ac:dyDescent="0.3">
      <c r="A792" s="76"/>
      <c r="B792" s="77"/>
      <c r="C792" s="78" t="s">
        <v>1496</v>
      </c>
      <c r="D792" s="78" t="s">
        <v>237</v>
      </c>
      <c r="E792" s="78" t="s">
        <v>1599</v>
      </c>
      <c r="F792" s="78" t="s">
        <v>1611</v>
      </c>
      <c r="G792" s="78" t="s">
        <v>1492</v>
      </c>
      <c r="H792" s="77"/>
      <c r="I792" s="226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9"/>
    </row>
    <row r="793" spans="1:31" x14ac:dyDescent="0.3">
      <c r="A793" s="76"/>
      <c r="B793" s="77"/>
      <c r="C793" s="78" t="s">
        <v>1499</v>
      </c>
      <c r="D793" s="78" t="s">
        <v>236</v>
      </c>
      <c r="E793" s="78" t="s">
        <v>1525</v>
      </c>
      <c r="F793" s="78" t="s">
        <v>1565</v>
      </c>
      <c r="G793" s="78" t="s">
        <v>1492</v>
      </c>
      <c r="H793" s="77"/>
      <c r="I793" s="226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9"/>
    </row>
    <row r="794" spans="1:31" ht="15" thickBot="1" x14ac:dyDescent="0.35">
      <c r="A794" s="76"/>
      <c r="B794" s="80"/>
      <c r="C794" s="78" t="s">
        <v>1504</v>
      </c>
      <c r="D794" s="78" t="s">
        <v>405</v>
      </c>
      <c r="E794" s="78" t="s">
        <v>1963</v>
      </c>
      <c r="F794" s="78" t="s">
        <v>1968</v>
      </c>
      <c r="G794" s="78" t="s">
        <v>1492</v>
      </c>
      <c r="H794" s="77"/>
      <c r="I794" s="22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9"/>
    </row>
    <row r="795" spans="1:31" x14ac:dyDescent="0.3">
      <c r="A795" s="76"/>
      <c r="B795" s="78" t="s">
        <v>1485</v>
      </c>
      <c r="C795" s="78" t="s">
        <v>1485</v>
      </c>
      <c r="D795" s="78" t="s">
        <v>406</v>
      </c>
      <c r="E795" s="78" t="s">
        <v>1580</v>
      </c>
      <c r="F795" s="78" t="s">
        <v>1516</v>
      </c>
      <c r="G795" s="78" t="s">
        <v>1513</v>
      </c>
      <c r="H795" s="77"/>
      <c r="I795" s="225">
        <v>29</v>
      </c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9"/>
    </row>
    <row r="796" spans="1:31" x14ac:dyDescent="0.3">
      <c r="A796" s="76"/>
      <c r="B796" s="78" t="s">
        <v>1566</v>
      </c>
      <c r="C796" s="78" t="s">
        <v>1496</v>
      </c>
      <c r="D796" s="78" t="s">
        <v>96</v>
      </c>
      <c r="E796" s="78" t="s">
        <v>1480</v>
      </c>
      <c r="F796" s="78" t="s">
        <v>1518</v>
      </c>
      <c r="G796" s="78" t="s">
        <v>1513</v>
      </c>
      <c r="H796" s="85"/>
      <c r="I796" s="226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9"/>
    </row>
    <row r="797" spans="1:31" x14ac:dyDescent="0.3">
      <c r="A797" s="76"/>
      <c r="B797" s="78" t="s">
        <v>1779</v>
      </c>
      <c r="C797" s="78" t="s">
        <v>1496</v>
      </c>
      <c r="D797" s="78" t="s">
        <v>103</v>
      </c>
      <c r="E797" s="78" t="s">
        <v>1494</v>
      </c>
      <c r="F797" s="78" t="s">
        <v>1495</v>
      </c>
      <c r="G797" s="78" t="s">
        <v>1513</v>
      </c>
      <c r="H797" s="77"/>
      <c r="I797" s="226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9"/>
    </row>
    <row r="798" spans="1:31" ht="15" thickBot="1" x14ac:dyDescent="0.35">
      <c r="A798" s="81"/>
      <c r="B798" s="82" t="s">
        <v>1573</v>
      </c>
      <c r="C798" s="82" t="s">
        <v>1496</v>
      </c>
      <c r="D798" s="82" t="s">
        <v>236</v>
      </c>
      <c r="E798" s="82" t="s">
        <v>1525</v>
      </c>
      <c r="F798" s="82" t="s">
        <v>1565</v>
      </c>
      <c r="G798" s="82" t="s">
        <v>1513</v>
      </c>
      <c r="H798" s="82"/>
      <c r="I798" s="226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4"/>
    </row>
    <row r="799" spans="1:31" x14ac:dyDescent="0.3">
      <c r="A799" s="72" t="s">
        <v>1088</v>
      </c>
      <c r="B799" s="73" t="s">
        <v>1969</v>
      </c>
      <c r="C799" s="74" t="s">
        <v>1479</v>
      </c>
      <c r="D799" s="74" t="s">
        <v>1090</v>
      </c>
      <c r="E799" s="74" t="s">
        <v>1480</v>
      </c>
      <c r="F799" s="74"/>
      <c r="G799" s="74" t="s">
        <v>1481</v>
      </c>
      <c r="H799" s="73" t="s">
        <v>1575</v>
      </c>
      <c r="I799" s="226"/>
      <c r="J799" s="73" t="s">
        <v>1087</v>
      </c>
      <c r="K799" s="73">
        <v>166</v>
      </c>
      <c r="L799" s="73" t="s">
        <v>195</v>
      </c>
      <c r="M799" s="199" t="s">
        <v>1589</v>
      </c>
      <c r="N799" s="73" t="s">
        <v>1483</v>
      </c>
      <c r="O799" s="73" t="s">
        <v>1970</v>
      </c>
      <c r="P799" s="73" t="s">
        <v>1970</v>
      </c>
      <c r="Q799" s="73" t="s">
        <v>1970</v>
      </c>
      <c r="R799" s="73" t="s">
        <v>1970</v>
      </c>
      <c r="S799" s="73" t="s">
        <v>1484</v>
      </c>
      <c r="T799" s="73" t="s">
        <v>1576</v>
      </c>
      <c r="U799" s="73" t="s">
        <v>1484</v>
      </c>
      <c r="V799" s="73" t="s">
        <v>1484</v>
      </c>
      <c r="W799" s="73" t="s">
        <v>1485</v>
      </c>
      <c r="X799" s="73" t="s">
        <v>1576</v>
      </c>
      <c r="Y799" s="73" t="s">
        <v>1484</v>
      </c>
      <c r="Z799" s="73" t="s">
        <v>1484</v>
      </c>
      <c r="AA799" s="73" t="s">
        <v>1485</v>
      </c>
      <c r="AB799" s="73" t="s">
        <v>1484</v>
      </c>
      <c r="AC799" s="73" t="s">
        <v>1486</v>
      </c>
      <c r="AD799" s="73" t="s">
        <v>1971</v>
      </c>
      <c r="AE799" s="75" t="s">
        <v>1579</v>
      </c>
    </row>
    <row r="800" spans="1:31" x14ac:dyDescent="0.3">
      <c r="A800" s="76"/>
      <c r="B800" s="77"/>
      <c r="C800" s="78" t="s">
        <v>1493</v>
      </c>
      <c r="D800" s="78" t="s">
        <v>606</v>
      </c>
      <c r="E800" s="78" t="s">
        <v>1494</v>
      </c>
      <c r="F800" s="78" t="s">
        <v>1495</v>
      </c>
      <c r="G800" s="78" t="s">
        <v>1492</v>
      </c>
      <c r="H800" s="77"/>
      <c r="I800" s="226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9"/>
    </row>
    <row r="801" spans="1:31" x14ac:dyDescent="0.3">
      <c r="A801" s="76"/>
      <c r="B801" s="80"/>
      <c r="C801" s="78" t="s">
        <v>1499</v>
      </c>
      <c r="D801" s="78" t="s">
        <v>130</v>
      </c>
      <c r="E801" s="78" t="s">
        <v>1500</v>
      </c>
      <c r="F801" s="78" t="s">
        <v>1501</v>
      </c>
      <c r="G801" s="78" t="s">
        <v>1492</v>
      </c>
      <c r="H801" s="77"/>
      <c r="I801" s="22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9"/>
    </row>
    <row r="802" spans="1:31" x14ac:dyDescent="0.3">
      <c r="A802" s="76"/>
      <c r="B802" s="78" t="s">
        <v>1485</v>
      </c>
      <c r="C802" s="78" t="s">
        <v>1485</v>
      </c>
      <c r="D802" s="78" t="s">
        <v>1091</v>
      </c>
      <c r="E802" s="78" t="s">
        <v>1515</v>
      </c>
      <c r="F802" s="78" t="s">
        <v>1516</v>
      </c>
      <c r="G802" s="78" t="s">
        <v>1513</v>
      </c>
      <c r="H802" s="77"/>
      <c r="I802" s="226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9"/>
    </row>
    <row r="803" spans="1:31" ht="15" thickBot="1" x14ac:dyDescent="0.35">
      <c r="A803" s="76"/>
      <c r="B803" s="78" t="s">
        <v>1584</v>
      </c>
      <c r="C803" s="78" t="s">
        <v>1496</v>
      </c>
      <c r="D803" s="78" t="s">
        <v>173</v>
      </c>
      <c r="E803" s="78" t="s">
        <v>1480</v>
      </c>
      <c r="F803" s="78" t="s">
        <v>1518</v>
      </c>
      <c r="G803" s="78" t="s">
        <v>1513</v>
      </c>
      <c r="H803" s="85"/>
      <c r="I803" s="22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9"/>
    </row>
    <row r="804" spans="1:31" x14ac:dyDescent="0.3">
      <c r="A804" s="76"/>
      <c r="B804" s="78" t="s">
        <v>1797</v>
      </c>
      <c r="C804" s="78" t="s">
        <v>1493</v>
      </c>
      <c r="D804" s="78" t="s">
        <v>606</v>
      </c>
      <c r="E804" s="78" t="s">
        <v>1494</v>
      </c>
      <c r="F804" s="78" t="s">
        <v>1495</v>
      </c>
      <c r="G804" s="78" t="s">
        <v>1513</v>
      </c>
      <c r="H804" s="77"/>
      <c r="I804" s="225">
        <v>96</v>
      </c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9"/>
    </row>
    <row r="805" spans="1:31" x14ac:dyDescent="0.3">
      <c r="A805" s="76"/>
      <c r="B805" s="78" t="s">
        <v>1570</v>
      </c>
      <c r="C805" s="78" t="s">
        <v>1586</v>
      </c>
      <c r="D805" s="78" t="s">
        <v>130</v>
      </c>
      <c r="E805" s="78" t="s">
        <v>1500</v>
      </c>
      <c r="F805" s="78" t="s">
        <v>1501</v>
      </c>
      <c r="G805" s="78" t="s">
        <v>1513</v>
      </c>
      <c r="H805" s="85"/>
      <c r="I805" s="226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9"/>
    </row>
    <row r="806" spans="1:31" ht="15" thickBot="1" x14ac:dyDescent="0.35">
      <c r="A806" s="81"/>
      <c r="B806" s="82" t="s">
        <v>1972</v>
      </c>
      <c r="C806" s="82" t="s">
        <v>1479</v>
      </c>
      <c r="D806" s="82" t="s">
        <v>1089</v>
      </c>
      <c r="E806" s="82" t="s">
        <v>1582</v>
      </c>
      <c r="F806" s="82" t="s">
        <v>1973</v>
      </c>
      <c r="G806" s="82" t="s">
        <v>1513</v>
      </c>
      <c r="H806" s="83"/>
      <c r="I806" s="226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4"/>
    </row>
    <row r="807" spans="1:31" x14ac:dyDescent="0.3">
      <c r="A807" s="72" t="s">
        <v>1081</v>
      </c>
      <c r="B807" s="73" t="s">
        <v>1974</v>
      </c>
      <c r="C807" s="74" t="s">
        <v>1479</v>
      </c>
      <c r="D807" s="74" t="s">
        <v>1083</v>
      </c>
      <c r="E807" s="74" t="s">
        <v>1480</v>
      </c>
      <c r="F807" s="74"/>
      <c r="G807" s="74" t="s">
        <v>1481</v>
      </c>
      <c r="H807" s="73" t="s">
        <v>1575</v>
      </c>
      <c r="I807" s="226"/>
      <c r="J807" s="73" t="s">
        <v>1080</v>
      </c>
      <c r="K807" s="73">
        <v>165</v>
      </c>
      <c r="L807" s="73" t="s">
        <v>195</v>
      </c>
      <c r="M807" s="199" t="s">
        <v>2649</v>
      </c>
      <c r="N807" s="73" t="s">
        <v>1483</v>
      </c>
      <c r="O807" s="73" t="s">
        <v>1082</v>
      </c>
      <c r="P807" s="73" t="s">
        <v>1082</v>
      </c>
      <c r="Q807" s="73" t="s">
        <v>1082</v>
      </c>
      <c r="R807" s="73" t="s">
        <v>1082</v>
      </c>
      <c r="S807" s="73" t="s">
        <v>1484</v>
      </c>
      <c r="T807" s="73" t="s">
        <v>1576</v>
      </c>
      <c r="U807" s="73" t="s">
        <v>1484</v>
      </c>
      <c r="V807" s="73" t="s">
        <v>1484</v>
      </c>
      <c r="W807" s="73" t="s">
        <v>1485</v>
      </c>
      <c r="X807" s="73" t="s">
        <v>1576</v>
      </c>
      <c r="Y807" s="73" t="s">
        <v>1576</v>
      </c>
      <c r="Z807" s="73" t="s">
        <v>1484</v>
      </c>
      <c r="AA807" s="73" t="s">
        <v>1485</v>
      </c>
      <c r="AB807" s="73" t="s">
        <v>1484</v>
      </c>
      <c r="AC807" s="73" t="s">
        <v>1486</v>
      </c>
      <c r="AD807" s="73" t="s">
        <v>1975</v>
      </c>
      <c r="AE807" s="75" t="s">
        <v>1579</v>
      </c>
    </row>
    <row r="808" spans="1:31" x14ac:dyDescent="0.3">
      <c r="A808" s="76"/>
      <c r="B808" s="77"/>
      <c r="C808" s="78" t="s">
        <v>1493</v>
      </c>
      <c r="D808" s="78" t="s">
        <v>116</v>
      </c>
      <c r="E808" s="78" t="s">
        <v>1494</v>
      </c>
      <c r="F808" s="78" t="s">
        <v>1495</v>
      </c>
      <c r="G808" s="78" t="s">
        <v>1492</v>
      </c>
      <c r="H808" s="77"/>
      <c r="I808" s="226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9"/>
    </row>
    <row r="809" spans="1:31" x14ac:dyDescent="0.3">
      <c r="A809" s="76"/>
      <c r="B809" s="77"/>
      <c r="C809" s="78" t="s">
        <v>1499</v>
      </c>
      <c r="D809" s="78" t="s">
        <v>142</v>
      </c>
      <c r="E809" s="78" t="s">
        <v>1500</v>
      </c>
      <c r="F809" s="78" t="s">
        <v>1501</v>
      </c>
      <c r="G809" s="78" t="s">
        <v>1492</v>
      </c>
      <c r="H809" s="77"/>
      <c r="I809" s="226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9"/>
    </row>
    <row r="810" spans="1:31" x14ac:dyDescent="0.3">
      <c r="A810" s="76"/>
      <c r="B810" s="80"/>
      <c r="C810" s="78" t="s">
        <v>1502</v>
      </c>
      <c r="D810" s="200" t="s">
        <v>2652</v>
      </c>
      <c r="E810" s="78" t="s">
        <v>1632</v>
      </c>
      <c r="F810" s="78" t="s">
        <v>1652</v>
      </c>
      <c r="G810" s="78" t="s">
        <v>1492</v>
      </c>
      <c r="H810" s="77"/>
      <c r="I810" s="226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9"/>
    </row>
    <row r="811" spans="1:31" ht="15" thickBot="1" x14ac:dyDescent="0.35">
      <c r="A811" s="76"/>
      <c r="B811" s="78" t="s">
        <v>1485</v>
      </c>
      <c r="C811" s="78" t="s">
        <v>1485</v>
      </c>
      <c r="D811" s="78" t="s">
        <v>1085</v>
      </c>
      <c r="E811" s="78" t="s">
        <v>1548</v>
      </c>
      <c r="F811" s="78" t="s">
        <v>1512</v>
      </c>
      <c r="G811" s="78" t="s">
        <v>1513</v>
      </c>
      <c r="H811" s="77"/>
      <c r="I811" s="22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9"/>
    </row>
    <row r="812" spans="1:31" x14ac:dyDescent="0.3">
      <c r="A812" s="76"/>
      <c r="B812" s="78" t="s">
        <v>1593</v>
      </c>
      <c r="C812" s="78" t="s">
        <v>1496</v>
      </c>
      <c r="D812" s="78" t="s">
        <v>160</v>
      </c>
      <c r="E812" s="78" t="s">
        <v>1480</v>
      </c>
      <c r="F812" s="78" t="s">
        <v>1518</v>
      </c>
      <c r="G812" s="78" t="s">
        <v>1513</v>
      </c>
      <c r="H812" s="77"/>
      <c r="I812" s="225">
        <v>95</v>
      </c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9"/>
    </row>
    <row r="813" spans="1:31" x14ac:dyDescent="0.3">
      <c r="A813" s="76"/>
      <c r="B813" s="78" t="s">
        <v>1976</v>
      </c>
      <c r="C813" s="78" t="s">
        <v>1493</v>
      </c>
      <c r="D813" s="78" t="s">
        <v>116</v>
      </c>
      <c r="E813" s="78" t="s">
        <v>1494</v>
      </c>
      <c r="F813" s="78" t="s">
        <v>1495</v>
      </c>
      <c r="G813" s="78" t="s">
        <v>1513</v>
      </c>
      <c r="H813" s="77"/>
      <c r="I813" s="226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9"/>
    </row>
    <row r="814" spans="1:31" x14ac:dyDescent="0.3">
      <c r="A814" s="76"/>
      <c r="B814" s="78" t="s">
        <v>1556</v>
      </c>
      <c r="C814" s="78" t="s">
        <v>1507</v>
      </c>
      <c r="D814" s="78" t="s">
        <v>142</v>
      </c>
      <c r="E814" s="78" t="s">
        <v>1500</v>
      </c>
      <c r="F814" s="78" t="s">
        <v>1501</v>
      </c>
      <c r="G814" s="78" t="s">
        <v>1513</v>
      </c>
      <c r="H814" s="77"/>
      <c r="I814" s="226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9"/>
    </row>
    <row r="815" spans="1:31" x14ac:dyDescent="0.3">
      <c r="A815" s="76"/>
      <c r="B815" s="78" t="s">
        <v>1977</v>
      </c>
      <c r="C815" s="78" t="s">
        <v>1479</v>
      </c>
      <c r="D815" s="78" t="s">
        <v>1082</v>
      </c>
      <c r="E815" s="78" t="s">
        <v>1582</v>
      </c>
      <c r="F815" s="78" t="s">
        <v>1978</v>
      </c>
      <c r="G815" s="78" t="s">
        <v>1513</v>
      </c>
      <c r="H815" s="77"/>
      <c r="I815" s="226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9"/>
    </row>
    <row r="816" spans="1:31" ht="15" thickBot="1" x14ac:dyDescent="0.35">
      <c r="A816" s="81"/>
      <c r="B816" s="82" t="s">
        <v>1979</v>
      </c>
      <c r="C816" s="82" t="s">
        <v>1493</v>
      </c>
      <c r="D816" s="82" t="s">
        <v>449</v>
      </c>
      <c r="E816" s="82" t="s">
        <v>1980</v>
      </c>
      <c r="F816" s="82" t="s">
        <v>1855</v>
      </c>
      <c r="G816" s="82" t="s">
        <v>1513</v>
      </c>
      <c r="H816" s="83"/>
      <c r="I816" s="226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4"/>
    </row>
    <row r="817" spans="1:31" x14ac:dyDescent="0.3">
      <c r="A817" s="72" t="s">
        <v>971</v>
      </c>
      <c r="B817" s="73" t="s">
        <v>1981</v>
      </c>
      <c r="C817" s="74" t="s">
        <v>1479</v>
      </c>
      <c r="D817" s="74" t="s">
        <v>972</v>
      </c>
      <c r="E817" s="74" t="s">
        <v>1480</v>
      </c>
      <c r="F817" s="74"/>
      <c r="G817" s="74" t="s">
        <v>1481</v>
      </c>
      <c r="H817" s="73" t="s">
        <v>1575</v>
      </c>
      <c r="I817" s="226"/>
      <c r="J817" s="73" t="s">
        <v>970</v>
      </c>
      <c r="K817" s="73">
        <v>141</v>
      </c>
      <c r="L817" s="73" t="s">
        <v>195</v>
      </c>
      <c r="M817" s="73" t="s">
        <v>1483</v>
      </c>
      <c r="N817" s="73" t="s">
        <v>1483</v>
      </c>
      <c r="O817" s="73" t="s">
        <v>1483</v>
      </c>
      <c r="P817" s="73" t="s">
        <v>1483</v>
      </c>
      <c r="Q817" s="73" t="s">
        <v>1483</v>
      </c>
      <c r="R817" s="73" t="s">
        <v>1483</v>
      </c>
      <c r="S817" s="73" t="s">
        <v>1484</v>
      </c>
      <c r="T817" s="73" t="s">
        <v>1484</v>
      </c>
      <c r="U817" s="73" t="s">
        <v>1484</v>
      </c>
      <c r="V817" s="73" t="s">
        <v>1484</v>
      </c>
      <c r="W817" s="73" t="s">
        <v>1485</v>
      </c>
      <c r="X817" s="73" t="s">
        <v>1484</v>
      </c>
      <c r="Y817" s="73" t="s">
        <v>1484</v>
      </c>
      <c r="Z817" s="73" t="s">
        <v>1484</v>
      </c>
      <c r="AA817" s="73" t="s">
        <v>1485</v>
      </c>
      <c r="AB817" s="73" t="s">
        <v>1484</v>
      </c>
      <c r="AC817" s="73" t="s">
        <v>1486</v>
      </c>
      <c r="AD817" s="73" t="s">
        <v>1487</v>
      </c>
      <c r="AE817" s="75" t="s">
        <v>1579</v>
      </c>
    </row>
    <row r="818" spans="1:31" x14ac:dyDescent="0.3">
      <c r="A818" s="76"/>
      <c r="B818" s="77"/>
      <c r="C818" s="78" t="s">
        <v>1489</v>
      </c>
      <c r="D818" s="78" t="s">
        <v>493</v>
      </c>
      <c r="E818" s="78" t="s">
        <v>1980</v>
      </c>
      <c r="F818" s="78" t="s">
        <v>1982</v>
      </c>
      <c r="G818" s="78" t="s">
        <v>1492</v>
      </c>
      <c r="H818" s="85"/>
      <c r="I818" s="226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9"/>
    </row>
    <row r="819" spans="1:31" x14ac:dyDescent="0.3">
      <c r="A819" s="76"/>
      <c r="B819" s="77"/>
      <c r="C819" s="78" t="s">
        <v>1493</v>
      </c>
      <c r="D819" s="78" t="s">
        <v>315</v>
      </c>
      <c r="E819" s="78" t="s">
        <v>1500</v>
      </c>
      <c r="F819" s="78" t="s">
        <v>1501</v>
      </c>
      <c r="G819" s="78" t="s">
        <v>1492</v>
      </c>
      <c r="H819" s="85"/>
      <c r="I819" s="226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9"/>
    </row>
    <row r="820" spans="1:31" x14ac:dyDescent="0.3">
      <c r="A820" s="76"/>
      <c r="B820" s="77"/>
      <c r="C820" s="78" t="s">
        <v>1496</v>
      </c>
      <c r="D820" s="78" t="s">
        <v>167</v>
      </c>
      <c r="E820" s="78" t="s">
        <v>1560</v>
      </c>
      <c r="F820" s="78" t="s">
        <v>1528</v>
      </c>
      <c r="G820" s="78" t="s">
        <v>1492</v>
      </c>
      <c r="H820" s="77"/>
      <c r="I820" s="226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9"/>
    </row>
    <row r="821" spans="1:31" ht="15" thickBot="1" x14ac:dyDescent="0.35">
      <c r="A821" s="76"/>
      <c r="B821" s="77"/>
      <c r="C821" s="78" t="s">
        <v>1499</v>
      </c>
      <c r="D821" s="78" t="s">
        <v>813</v>
      </c>
      <c r="E821" s="78" t="s">
        <v>1497</v>
      </c>
      <c r="F821" s="78" t="s">
        <v>1498</v>
      </c>
      <c r="G821" s="78" t="s">
        <v>1492</v>
      </c>
      <c r="H821" s="77"/>
      <c r="I821" s="22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9"/>
    </row>
    <row r="822" spans="1:31" x14ac:dyDescent="0.3">
      <c r="A822" s="76"/>
      <c r="B822" s="77"/>
      <c r="C822" s="78" t="s">
        <v>1502</v>
      </c>
      <c r="D822" s="78" t="s">
        <v>723</v>
      </c>
      <c r="E822" s="78" t="s">
        <v>1503</v>
      </c>
      <c r="F822" s="78" t="s">
        <v>1495</v>
      </c>
      <c r="G822" s="78" t="s">
        <v>1492</v>
      </c>
      <c r="H822" s="77"/>
      <c r="I822" s="225">
        <v>81</v>
      </c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9"/>
    </row>
    <row r="823" spans="1:31" x14ac:dyDescent="0.3">
      <c r="A823" s="76"/>
      <c r="B823" s="77"/>
      <c r="C823" s="78" t="s">
        <v>1504</v>
      </c>
      <c r="D823" s="78" t="s">
        <v>324</v>
      </c>
      <c r="E823" s="78" t="s">
        <v>1505</v>
      </c>
      <c r="F823" s="78" t="s">
        <v>1528</v>
      </c>
      <c r="G823" s="78" t="s">
        <v>1492</v>
      </c>
      <c r="H823" s="77"/>
      <c r="I823" s="226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9"/>
    </row>
    <row r="824" spans="1:31" x14ac:dyDescent="0.3">
      <c r="A824" s="76"/>
      <c r="B824" s="80"/>
      <c r="C824" s="78" t="s">
        <v>1507</v>
      </c>
      <c r="D824" s="78" t="s">
        <v>528</v>
      </c>
      <c r="E824" s="78" t="s">
        <v>1511</v>
      </c>
      <c r="F824" s="78" t="s">
        <v>1791</v>
      </c>
      <c r="G824" s="78" t="s">
        <v>1492</v>
      </c>
      <c r="H824" s="77"/>
      <c r="I824" s="226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9"/>
    </row>
    <row r="825" spans="1:31" x14ac:dyDescent="0.3">
      <c r="A825" s="76"/>
      <c r="B825" s="78" t="s">
        <v>1485</v>
      </c>
      <c r="C825" s="78" t="s">
        <v>1485</v>
      </c>
      <c r="D825" s="78" t="s">
        <v>1983</v>
      </c>
      <c r="E825" s="78" t="s">
        <v>1534</v>
      </c>
      <c r="F825" s="78" t="s">
        <v>1535</v>
      </c>
      <c r="G825" s="78" t="s">
        <v>1513</v>
      </c>
      <c r="H825" s="77"/>
      <c r="I825" s="226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9"/>
    </row>
    <row r="826" spans="1:31" x14ac:dyDescent="0.3">
      <c r="A826" s="76"/>
      <c r="B826" s="78" t="s">
        <v>1485</v>
      </c>
      <c r="C826" s="78" t="s">
        <v>1485</v>
      </c>
      <c r="D826" s="78" t="s">
        <v>1984</v>
      </c>
      <c r="E826" s="78" t="s">
        <v>1548</v>
      </c>
      <c r="F826" s="78" t="s">
        <v>1512</v>
      </c>
      <c r="G826" s="78" t="s">
        <v>1513</v>
      </c>
      <c r="H826" s="77"/>
      <c r="I826" s="226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9"/>
    </row>
    <row r="827" spans="1:31" x14ac:dyDescent="0.3">
      <c r="A827" s="76"/>
      <c r="B827" s="78" t="s">
        <v>1985</v>
      </c>
      <c r="C827" s="78" t="s">
        <v>1504</v>
      </c>
      <c r="D827" s="78" t="s">
        <v>512</v>
      </c>
      <c r="E827" s="78" t="s">
        <v>1986</v>
      </c>
      <c r="F827" s="78" t="s">
        <v>1600</v>
      </c>
      <c r="G827" s="78" t="s">
        <v>1513</v>
      </c>
      <c r="H827" s="85"/>
      <c r="I827" s="226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9"/>
    </row>
    <row r="828" spans="1:31" x14ac:dyDescent="0.3">
      <c r="A828" s="76"/>
      <c r="B828" s="78" t="s">
        <v>1601</v>
      </c>
      <c r="C828" s="78" t="s">
        <v>1496</v>
      </c>
      <c r="D828" s="78" t="s">
        <v>255</v>
      </c>
      <c r="E828" s="78" t="s">
        <v>1480</v>
      </c>
      <c r="F828" s="78" t="s">
        <v>1518</v>
      </c>
      <c r="G828" s="78" t="s">
        <v>1513</v>
      </c>
      <c r="H828" s="85"/>
      <c r="I828" s="226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9"/>
    </row>
    <row r="829" spans="1:31" x14ac:dyDescent="0.3">
      <c r="A829" s="76"/>
      <c r="B829" s="78" t="s">
        <v>1735</v>
      </c>
      <c r="C829" s="78" t="s">
        <v>1499</v>
      </c>
      <c r="D829" s="78" t="s">
        <v>723</v>
      </c>
      <c r="E829" s="78" t="s">
        <v>1503</v>
      </c>
      <c r="F829" s="78" t="s">
        <v>1495</v>
      </c>
      <c r="G829" s="78" t="s">
        <v>1513</v>
      </c>
      <c r="H829" s="77"/>
      <c r="I829" s="226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9"/>
    </row>
    <row r="830" spans="1:31" x14ac:dyDescent="0.3">
      <c r="A830" s="76"/>
      <c r="B830" s="78" t="s">
        <v>1945</v>
      </c>
      <c r="C830" s="78" t="s">
        <v>1496</v>
      </c>
      <c r="D830" s="78" t="s">
        <v>315</v>
      </c>
      <c r="E830" s="78" t="s">
        <v>1500</v>
      </c>
      <c r="F830" s="78" t="s">
        <v>1501</v>
      </c>
      <c r="G830" s="78" t="s">
        <v>1513</v>
      </c>
      <c r="H830" s="77"/>
      <c r="I830" s="226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9"/>
    </row>
    <row r="831" spans="1:31" x14ac:dyDescent="0.3">
      <c r="A831" s="76"/>
      <c r="B831" s="78" t="s">
        <v>1722</v>
      </c>
      <c r="C831" s="78" t="s">
        <v>1489</v>
      </c>
      <c r="D831" s="78" t="s">
        <v>44</v>
      </c>
      <c r="E831" s="78" t="s">
        <v>1609</v>
      </c>
      <c r="F831" s="78" t="s">
        <v>1558</v>
      </c>
      <c r="G831" s="78" t="s">
        <v>1513</v>
      </c>
      <c r="H831" s="77"/>
      <c r="I831" s="226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9"/>
    </row>
    <row r="832" spans="1:31" x14ac:dyDescent="0.3">
      <c r="A832" s="76"/>
      <c r="B832" s="78" t="s">
        <v>1987</v>
      </c>
      <c r="C832" s="78" t="s">
        <v>1493</v>
      </c>
      <c r="D832" s="78" t="s">
        <v>493</v>
      </c>
      <c r="E832" s="78" t="s">
        <v>1980</v>
      </c>
      <c r="F832" s="78" t="s">
        <v>1982</v>
      </c>
      <c r="G832" s="78" t="s">
        <v>1513</v>
      </c>
      <c r="H832" s="85"/>
      <c r="I832" s="226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9"/>
    </row>
    <row r="833" spans="1:31" x14ac:dyDescent="0.3">
      <c r="A833" s="76"/>
      <c r="B833" s="78" t="s">
        <v>1615</v>
      </c>
      <c r="C833" s="78" t="s">
        <v>1499</v>
      </c>
      <c r="D833" s="78" t="s">
        <v>324</v>
      </c>
      <c r="E833" s="78" t="s">
        <v>1505</v>
      </c>
      <c r="F833" s="78" t="s">
        <v>1528</v>
      </c>
      <c r="G833" s="78" t="s">
        <v>1513</v>
      </c>
      <c r="H833" s="85"/>
      <c r="I833" s="226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9"/>
    </row>
    <row r="834" spans="1:31" ht="15" thickBot="1" x14ac:dyDescent="0.35">
      <c r="A834" s="81"/>
      <c r="B834" s="82" t="s">
        <v>1606</v>
      </c>
      <c r="C834" s="82" t="s">
        <v>1499</v>
      </c>
      <c r="D834" s="82" t="s">
        <v>167</v>
      </c>
      <c r="E834" s="82" t="s">
        <v>1560</v>
      </c>
      <c r="F834" s="82" t="s">
        <v>1528</v>
      </c>
      <c r="G834" s="82" t="s">
        <v>1513</v>
      </c>
      <c r="H834" s="83"/>
      <c r="I834" s="226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4"/>
    </row>
    <row r="835" spans="1:31" x14ac:dyDescent="0.3">
      <c r="A835" s="72" t="s">
        <v>965</v>
      </c>
      <c r="B835" s="73" t="s">
        <v>1988</v>
      </c>
      <c r="C835" s="74" t="s">
        <v>1479</v>
      </c>
      <c r="D835" s="74" t="s">
        <v>966</v>
      </c>
      <c r="E835" s="74" t="s">
        <v>1480</v>
      </c>
      <c r="F835" s="74"/>
      <c r="G835" s="74" t="s">
        <v>1481</v>
      </c>
      <c r="H835" s="73" t="s">
        <v>1575</v>
      </c>
      <c r="I835" s="226"/>
      <c r="J835" s="73" t="s">
        <v>964</v>
      </c>
      <c r="K835" s="73">
        <v>140</v>
      </c>
      <c r="L835" s="73" t="s">
        <v>195</v>
      </c>
      <c r="M835" s="73" t="s">
        <v>1483</v>
      </c>
      <c r="N835" s="73" t="s">
        <v>1483</v>
      </c>
      <c r="O835" s="73" t="s">
        <v>1483</v>
      </c>
      <c r="P835" s="73" t="s">
        <v>1483</v>
      </c>
      <c r="Q835" s="73" t="s">
        <v>1483</v>
      </c>
      <c r="R835" s="73" t="s">
        <v>1483</v>
      </c>
      <c r="S835" s="73" t="s">
        <v>1484</v>
      </c>
      <c r="T835" s="73" t="s">
        <v>1484</v>
      </c>
      <c r="U835" s="73" t="s">
        <v>1484</v>
      </c>
      <c r="V835" s="73" t="s">
        <v>1484</v>
      </c>
      <c r="W835" s="73" t="s">
        <v>1485</v>
      </c>
      <c r="X835" s="73" t="s">
        <v>1484</v>
      </c>
      <c r="Y835" s="73" t="s">
        <v>1484</v>
      </c>
      <c r="Z835" s="73" t="s">
        <v>1484</v>
      </c>
      <c r="AA835" s="73" t="s">
        <v>1485</v>
      </c>
      <c r="AB835" s="73" t="s">
        <v>1484</v>
      </c>
      <c r="AC835" s="73" t="s">
        <v>1486</v>
      </c>
      <c r="AD835" s="73" t="s">
        <v>1487</v>
      </c>
      <c r="AE835" s="75" t="s">
        <v>1579</v>
      </c>
    </row>
    <row r="836" spans="1:31" x14ac:dyDescent="0.3">
      <c r="A836" s="76"/>
      <c r="B836" s="77"/>
      <c r="C836" s="78" t="s">
        <v>1489</v>
      </c>
      <c r="D836" s="78" t="s">
        <v>301</v>
      </c>
      <c r="E836" s="78" t="s">
        <v>1500</v>
      </c>
      <c r="F836" s="78" t="s">
        <v>1501</v>
      </c>
      <c r="G836" s="78" t="s">
        <v>1492</v>
      </c>
      <c r="H836" s="77"/>
      <c r="I836" s="226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9"/>
    </row>
    <row r="837" spans="1:31" x14ac:dyDescent="0.3">
      <c r="A837" s="76"/>
      <c r="B837" s="77"/>
      <c r="C837" s="78" t="s">
        <v>1493</v>
      </c>
      <c r="D837" s="78" t="s">
        <v>26</v>
      </c>
      <c r="E837" s="78" t="s">
        <v>1609</v>
      </c>
      <c r="F837" s="78" t="s">
        <v>1565</v>
      </c>
      <c r="G837" s="78" t="s">
        <v>1492</v>
      </c>
      <c r="H837" s="77"/>
      <c r="I837" s="226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9"/>
    </row>
    <row r="838" spans="1:31" x14ac:dyDescent="0.3">
      <c r="A838" s="76"/>
      <c r="B838" s="77"/>
      <c r="C838" s="78" t="s">
        <v>1496</v>
      </c>
      <c r="D838" s="78" t="s">
        <v>484</v>
      </c>
      <c r="E838" s="78" t="s">
        <v>1980</v>
      </c>
      <c r="F838" s="78" t="s">
        <v>1989</v>
      </c>
      <c r="G838" s="78" t="s">
        <v>1492</v>
      </c>
      <c r="H838" s="85"/>
      <c r="I838" s="226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9"/>
    </row>
    <row r="839" spans="1:31" ht="15" thickBot="1" x14ac:dyDescent="0.35">
      <c r="A839" s="76"/>
      <c r="B839" s="77"/>
      <c r="C839" s="78" t="s">
        <v>1499</v>
      </c>
      <c r="D839" s="78" t="s">
        <v>845</v>
      </c>
      <c r="E839" s="78" t="s">
        <v>1497</v>
      </c>
      <c r="F839" s="78" t="s">
        <v>1498</v>
      </c>
      <c r="G839" s="78" t="s">
        <v>1492</v>
      </c>
      <c r="H839" s="85"/>
      <c r="I839" s="22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9"/>
    </row>
    <row r="840" spans="1:31" x14ac:dyDescent="0.3">
      <c r="A840" s="76"/>
      <c r="B840" s="77"/>
      <c r="C840" s="78" t="s">
        <v>1502</v>
      </c>
      <c r="D840" s="78" t="s">
        <v>179</v>
      </c>
      <c r="E840" s="78" t="s">
        <v>1503</v>
      </c>
      <c r="F840" s="78" t="s">
        <v>1495</v>
      </c>
      <c r="G840" s="78" t="s">
        <v>1492</v>
      </c>
      <c r="H840" s="77"/>
      <c r="I840" s="225">
        <v>80</v>
      </c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9"/>
    </row>
    <row r="841" spans="1:31" x14ac:dyDescent="0.3">
      <c r="A841" s="76"/>
      <c r="B841" s="77"/>
      <c r="C841" s="78" t="s">
        <v>1504</v>
      </c>
      <c r="D841" s="78" t="s">
        <v>166</v>
      </c>
      <c r="E841" s="78" t="s">
        <v>1505</v>
      </c>
      <c r="F841" s="78" t="s">
        <v>1631</v>
      </c>
      <c r="G841" s="78" t="s">
        <v>1492</v>
      </c>
      <c r="H841" s="77"/>
      <c r="I841" s="226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9"/>
    </row>
    <row r="842" spans="1:31" x14ac:dyDescent="0.3">
      <c r="A842" s="76"/>
      <c r="B842" s="80"/>
      <c r="C842" s="78" t="s">
        <v>1507</v>
      </c>
      <c r="D842" s="78" t="s">
        <v>501</v>
      </c>
      <c r="E842" s="78" t="s">
        <v>1986</v>
      </c>
      <c r="F842" s="78" t="s">
        <v>1611</v>
      </c>
      <c r="G842" s="78" t="s">
        <v>1492</v>
      </c>
      <c r="H842" s="77"/>
      <c r="I842" s="226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9"/>
    </row>
    <row r="843" spans="1:31" x14ac:dyDescent="0.3">
      <c r="A843" s="76"/>
      <c r="B843" s="78" t="s">
        <v>1485</v>
      </c>
      <c r="C843" s="78" t="s">
        <v>1485</v>
      </c>
      <c r="D843" s="78" t="s">
        <v>1990</v>
      </c>
      <c r="E843" s="78" t="s">
        <v>1534</v>
      </c>
      <c r="F843" s="78" t="s">
        <v>1535</v>
      </c>
      <c r="G843" s="78" t="s">
        <v>1513</v>
      </c>
      <c r="H843" s="77"/>
      <c r="I843" s="226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9"/>
    </row>
    <row r="844" spans="1:31" x14ac:dyDescent="0.3">
      <c r="A844" s="76"/>
      <c r="B844" s="78" t="s">
        <v>1485</v>
      </c>
      <c r="C844" s="78" t="s">
        <v>1485</v>
      </c>
      <c r="D844" s="78" t="s">
        <v>1991</v>
      </c>
      <c r="E844" s="78" t="s">
        <v>1548</v>
      </c>
      <c r="F844" s="78" t="s">
        <v>1512</v>
      </c>
      <c r="G844" s="78" t="s">
        <v>1513</v>
      </c>
      <c r="H844" s="77"/>
      <c r="I844" s="226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9"/>
    </row>
    <row r="845" spans="1:31" x14ac:dyDescent="0.3">
      <c r="A845" s="76"/>
      <c r="B845" s="78" t="s">
        <v>1612</v>
      </c>
      <c r="C845" s="78" t="s">
        <v>1496</v>
      </c>
      <c r="D845" s="78" t="s">
        <v>283</v>
      </c>
      <c r="E845" s="78" t="s">
        <v>1480</v>
      </c>
      <c r="F845" s="78" t="s">
        <v>1518</v>
      </c>
      <c r="G845" s="78" t="s">
        <v>1513</v>
      </c>
      <c r="H845" s="85"/>
      <c r="I845" s="226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9"/>
    </row>
    <row r="846" spans="1:31" x14ac:dyDescent="0.3">
      <c r="A846" s="76"/>
      <c r="B846" s="78" t="s">
        <v>1741</v>
      </c>
      <c r="C846" s="78" t="s">
        <v>1499</v>
      </c>
      <c r="D846" s="78" t="s">
        <v>179</v>
      </c>
      <c r="E846" s="78" t="s">
        <v>1503</v>
      </c>
      <c r="F846" s="78" t="s">
        <v>1495</v>
      </c>
      <c r="G846" s="78" t="s">
        <v>1513</v>
      </c>
      <c r="H846" s="85"/>
      <c r="I846" s="226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9"/>
    </row>
    <row r="847" spans="1:31" x14ac:dyDescent="0.3">
      <c r="A847" s="76"/>
      <c r="B847" s="78" t="s">
        <v>1941</v>
      </c>
      <c r="C847" s="78" t="s">
        <v>1496</v>
      </c>
      <c r="D847" s="78" t="s">
        <v>301</v>
      </c>
      <c r="E847" s="78" t="s">
        <v>1500</v>
      </c>
      <c r="F847" s="78" t="s">
        <v>1501</v>
      </c>
      <c r="G847" s="78" t="s">
        <v>1513</v>
      </c>
      <c r="H847" s="77"/>
      <c r="I847" s="226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9"/>
    </row>
    <row r="848" spans="1:31" x14ac:dyDescent="0.3">
      <c r="A848" s="76"/>
      <c r="B848" s="78" t="s">
        <v>1854</v>
      </c>
      <c r="C848" s="78" t="s">
        <v>1493</v>
      </c>
      <c r="D848" s="78" t="s">
        <v>893</v>
      </c>
      <c r="E848" s="78" t="s">
        <v>1771</v>
      </c>
      <c r="F848" s="78" t="s">
        <v>1855</v>
      </c>
      <c r="G848" s="78" t="s">
        <v>1513</v>
      </c>
      <c r="H848" s="85"/>
      <c r="I848" s="226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9"/>
    </row>
    <row r="849" spans="1:31" x14ac:dyDescent="0.3">
      <c r="A849" s="76"/>
      <c r="B849" s="78" t="s">
        <v>1992</v>
      </c>
      <c r="C849" s="78" t="s">
        <v>1489</v>
      </c>
      <c r="D849" s="78" t="s">
        <v>484</v>
      </c>
      <c r="E849" s="78" t="s">
        <v>1980</v>
      </c>
      <c r="F849" s="78" t="s">
        <v>1989</v>
      </c>
      <c r="G849" s="78" t="s">
        <v>1513</v>
      </c>
      <c r="H849" s="77"/>
      <c r="I849" s="226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9"/>
    </row>
    <row r="850" spans="1:31" x14ac:dyDescent="0.3">
      <c r="A850" s="76"/>
      <c r="B850" s="78" t="s">
        <v>1754</v>
      </c>
      <c r="C850" s="78" t="s">
        <v>1504</v>
      </c>
      <c r="D850" s="78" t="s">
        <v>166</v>
      </c>
      <c r="E850" s="78" t="s">
        <v>1505</v>
      </c>
      <c r="F850" s="78" t="s">
        <v>1631</v>
      </c>
      <c r="G850" s="78" t="s">
        <v>1513</v>
      </c>
      <c r="H850" s="85"/>
      <c r="I850" s="226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9"/>
    </row>
    <row r="851" spans="1:31" ht="15" thickBot="1" x14ac:dyDescent="0.35">
      <c r="A851" s="81"/>
      <c r="B851" s="82" t="s">
        <v>1719</v>
      </c>
      <c r="C851" s="82" t="s">
        <v>1489</v>
      </c>
      <c r="D851" s="82" t="s">
        <v>26</v>
      </c>
      <c r="E851" s="82" t="s">
        <v>1609</v>
      </c>
      <c r="F851" s="82" t="s">
        <v>1565</v>
      </c>
      <c r="G851" s="82" t="s">
        <v>1513</v>
      </c>
      <c r="H851" s="83"/>
      <c r="I851" s="226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4"/>
    </row>
    <row r="852" spans="1:31" x14ac:dyDescent="0.3">
      <c r="A852" s="72" t="s">
        <v>739</v>
      </c>
      <c r="B852" s="73" t="s">
        <v>1993</v>
      </c>
      <c r="C852" s="74" t="s">
        <v>1479</v>
      </c>
      <c r="D852" s="74" t="s">
        <v>740</v>
      </c>
      <c r="E852" s="74" t="s">
        <v>1480</v>
      </c>
      <c r="F852" s="74"/>
      <c r="G852" s="74" t="s">
        <v>1481</v>
      </c>
      <c r="H852" s="73" t="s">
        <v>1575</v>
      </c>
      <c r="I852" s="226"/>
      <c r="J852" s="73" t="s">
        <v>738</v>
      </c>
      <c r="K852" s="73">
        <v>98</v>
      </c>
      <c r="L852" s="73" t="s">
        <v>195</v>
      </c>
      <c r="M852" s="73" t="s">
        <v>1483</v>
      </c>
      <c r="N852" s="73" t="s">
        <v>1483</v>
      </c>
      <c r="O852" s="73" t="s">
        <v>1483</v>
      </c>
      <c r="P852" s="73" t="s">
        <v>1483</v>
      </c>
      <c r="Q852" s="73" t="s">
        <v>1483</v>
      </c>
      <c r="R852" s="73" t="s">
        <v>1483</v>
      </c>
      <c r="S852" s="73" t="s">
        <v>1484</v>
      </c>
      <c r="T852" s="73" t="s">
        <v>1484</v>
      </c>
      <c r="U852" s="73" t="s">
        <v>1484</v>
      </c>
      <c r="V852" s="73" t="s">
        <v>1484</v>
      </c>
      <c r="W852" s="73" t="s">
        <v>1485</v>
      </c>
      <c r="X852" s="73" t="s">
        <v>1484</v>
      </c>
      <c r="Y852" s="73" t="s">
        <v>1484</v>
      </c>
      <c r="Z852" s="73" t="s">
        <v>1484</v>
      </c>
      <c r="AA852" s="73" t="s">
        <v>1485</v>
      </c>
      <c r="AB852" s="73" t="s">
        <v>1484</v>
      </c>
      <c r="AC852" s="73" t="s">
        <v>1486</v>
      </c>
      <c r="AD852" s="73" t="s">
        <v>1487</v>
      </c>
      <c r="AE852" s="75" t="s">
        <v>1579</v>
      </c>
    </row>
    <row r="853" spans="1:31" x14ac:dyDescent="0.3">
      <c r="A853" s="76"/>
      <c r="B853" s="77"/>
      <c r="C853" s="78" t="s">
        <v>1489</v>
      </c>
      <c r="D853" s="78" t="s">
        <v>331</v>
      </c>
      <c r="E853" s="78" t="s">
        <v>1771</v>
      </c>
      <c r="F853" s="78" t="s">
        <v>1989</v>
      </c>
      <c r="G853" s="78" t="s">
        <v>1492</v>
      </c>
      <c r="H853" s="85"/>
      <c r="I853" s="226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9"/>
    </row>
    <row r="854" spans="1:31" x14ac:dyDescent="0.3">
      <c r="A854" s="76"/>
      <c r="B854" s="77"/>
      <c r="C854" s="78" t="s">
        <v>1496</v>
      </c>
      <c r="D854" s="78" t="s">
        <v>518</v>
      </c>
      <c r="E854" s="78" t="s">
        <v>1651</v>
      </c>
      <c r="F854" s="78" t="s">
        <v>1611</v>
      </c>
      <c r="G854" s="78" t="s">
        <v>1492</v>
      </c>
      <c r="H854" s="85"/>
      <c r="I854" s="226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9"/>
    </row>
    <row r="855" spans="1:31" x14ac:dyDescent="0.3">
      <c r="A855" s="76"/>
      <c r="B855" s="77"/>
      <c r="C855" s="78" t="s">
        <v>1499</v>
      </c>
      <c r="D855" s="78" t="s">
        <v>509</v>
      </c>
      <c r="E855" s="78" t="s">
        <v>1503</v>
      </c>
      <c r="F855" s="78" t="s">
        <v>1495</v>
      </c>
      <c r="G855" s="78" t="s">
        <v>1492</v>
      </c>
      <c r="H855" s="77"/>
      <c r="I855" s="226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9"/>
    </row>
    <row r="856" spans="1:31" ht="15" thickBot="1" x14ac:dyDescent="0.35">
      <c r="A856" s="76"/>
      <c r="B856" s="77"/>
      <c r="C856" s="78" t="s">
        <v>1502</v>
      </c>
      <c r="D856" s="78" t="s">
        <v>631</v>
      </c>
      <c r="E856" s="78" t="s">
        <v>1773</v>
      </c>
      <c r="F856" s="78" t="s">
        <v>1498</v>
      </c>
      <c r="G856" s="78" t="s">
        <v>1492</v>
      </c>
      <c r="H856" s="77"/>
      <c r="I856" s="22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9"/>
    </row>
    <row r="857" spans="1:31" x14ac:dyDescent="0.3">
      <c r="A857" s="76"/>
      <c r="B857" s="77"/>
      <c r="C857" s="78" t="s">
        <v>1504</v>
      </c>
      <c r="D857" s="78" t="s">
        <v>299</v>
      </c>
      <c r="E857" s="78" t="s">
        <v>1505</v>
      </c>
      <c r="F857" s="78" t="s">
        <v>1564</v>
      </c>
      <c r="G857" s="78" t="s">
        <v>1492</v>
      </c>
      <c r="H857" s="85"/>
      <c r="I857" s="225">
        <v>56</v>
      </c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9"/>
    </row>
    <row r="858" spans="1:31" x14ac:dyDescent="0.3">
      <c r="A858" s="76"/>
      <c r="B858" s="80"/>
      <c r="C858" s="78" t="s">
        <v>1507</v>
      </c>
      <c r="D858" s="78" t="s">
        <v>383</v>
      </c>
      <c r="E858" s="78" t="s">
        <v>1500</v>
      </c>
      <c r="F858" s="78" t="s">
        <v>1501</v>
      </c>
      <c r="G858" s="78" t="s">
        <v>1492</v>
      </c>
      <c r="H858" s="85"/>
      <c r="I858" s="226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9"/>
    </row>
    <row r="859" spans="1:31" x14ac:dyDescent="0.3">
      <c r="A859" s="76"/>
      <c r="B859" s="78" t="s">
        <v>1485</v>
      </c>
      <c r="C859" s="78" t="s">
        <v>1485</v>
      </c>
      <c r="D859" s="78" t="s">
        <v>741</v>
      </c>
      <c r="E859" s="78" t="s">
        <v>1511</v>
      </c>
      <c r="F859" s="78" t="s">
        <v>1512</v>
      </c>
      <c r="G859" s="78" t="s">
        <v>1513</v>
      </c>
      <c r="H859" s="77"/>
      <c r="I859" s="226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9"/>
    </row>
    <row r="860" spans="1:31" x14ac:dyDescent="0.3">
      <c r="A860" s="76"/>
      <c r="B860" s="78" t="s">
        <v>1624</v>
      </c>
      <c r="C860" s="78" t="s">
        <v>1493</v>
      </c>
      <c r="D860" s="78" t="s">
        <v>656</v>
      </c>
      <c r="E860" s="78" t="s">
        <v>1480</v>
      </c>
      <c r="F860" s="78" t="s">
        <v>1518</v>
      </c>
      <c r="G860" s="78" t="s">
        <v>1513</v>
      </c>
      <c r="H860" s="77"/>
      <c r="I860" s="226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9"/>
    </row>
    <row r="861" spans="1:31" x14ac:dyDescent="0.3">
      <c r="A861" s="76"/>
      <c r="B861" s="78" t="s">
        <v>1751</v>
      </c>
      <c r="C861" s="78" t="s">
        <v>1489</v>
      </c>
      <c r="D861" s="78" t="s">
        <v>509</v>
      </c>
      <c r="E861" s="78" t="s">
        <v>1503</v>
      </c>
      <c r="F861" s="78" t="s">
        <v>1495</v>
      </c>
      <c r="G861" s="78" t="s">
        <v>1513</v>
      </c>
      <c r="H861" s="77"/>
      <c r="I861" s="226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9"/>
    </row>
    <row r="862" spans="1:31" x14ac:dyDescent="0.3">
      <c r="A862" s="76"/>
      <c r="B862" s="78" t="s">
        <v>1994</v>
      </c>
      <c r="C862" s="78" t="s">
        <v>1496</v>
      </c>
      <c r="D862" s="78" t="s">
        <v>383</v>
      </c>
      <c r="E862" s="78" t="s">
        <v>1500</v>
      </c>
      <c r="F862" s="78" t="s">
        <v>1501</v>
      </c>
      <c r="G862" s="78" t="s">
        <v>1513</v>
      </c>
      <c r="H862" s="77"/>
      <c r="I862" s="226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9"/>
    </row>
    <row r="863" spans="1:31" x14ac:dyDescent="0.3">
      <c r="A863" s="76"/>
      <c r="B863" s="78" t="s">
        <v>1722</v>
      </c>
      <c r="C863" s="78" t="s">
        <v>1493</v>
      </c>
      <c r="D863" s="78" t="s">
        <v>44</v>
      </c>
      <c r="E863" s="78" t="s">
        <v>1609</v>
      </c>
      <c r="F863" s="78" t="s">
        <v>1558</v>
      </c>
      <c r="G863" s="78" t="s">
        <v>1513</v>
      </c>
      <c r="H863" s="77"/>
      <c r="I863" s="226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9"/>
    </row>
    <row r="864" spans="1:31" x14ac:dyDescent="0.3">
      <c r="A864" s="76"/>
      <c r="B864" s="78" t="s">
        <v>1995</v>
      </c>
      <c r="C864" s="78" t="s">
        <v>1489</v>
      </c>
      <c r="D864" s="78" t="s">
        <v>331</v>
      </c>
      <c r="E864" s="78" t="s">
        <v>1771</v>
      </c>
      <c r="F864" s="78" t="s">
        <v>1989</v>
      </c>
      <c r="G864" s="78" t="s">
        <v>1513</v>
      </c>
      <c r="H864" s="85"/>
      <c r="I864" s="226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9"/>
    </row>
    <row r="865" spans="1:31" x14ac:dyDescent="0.3">
      <c r="A865" s="76"/>
      <c r="B865" s="78" t="s">
        <v>1996</v>
      </c>
      <c r="C865" s="78" t="s">
        <v>1489</v>
      </c>
      <c r="D865" s="78" t="s">
        <v>299</v>
      </c>
      <c r="E865" s="78" t="s">
        <v>1505</v>
      </c>
      <c r="F865" s="78" t="s">
        <v>1564</v>
      </c>
      <c r="G865" s="78" t="s">
        <v>1513</v>
      </c>
      <c r="H865" s="77"/>
      <c r="I865" s="226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9"/>
    </row>
    <row r="866" spans="1:31" ht="15" thickBot="1" x14ac:dyDescent="0.35">
      <c r="A866" s="81"/>
      <c r="B866" s="82" t="s">
        <v>1524</v>
      </c>
      <c r="C866" s="82" t="s">
        <v>1493</v>
      </c>
      <c r="D866" s="82" t="s">
        <v>742</v>
      </c>
      <c r="E866" s="82" t="s">
        <v>1525</v>
      </c>
      <c r="F866" s="82" t="s">
        <v>1526</v>
      </c>
      <c r="G866" s="82" t="s">
        <v>1513</v>
      </c>
      <c r="H866" s="82"/>
      <c r="I866" s="226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4"/>
    </row>
    <row r="867" spans="1:31" x14ac:dyDescent="0.3">
      <c r="A867" s="72" t="s">
        <v>733</v>
      </c>
      <c r="B867" s="73" t="s">
        <v>1997</v>
      </c>
      <c r="C867" s="74" t="s">
        <v>1479</v>
      </c>
      <c r="D867" s="74" t="s">
        <v>734</v>
      </c>
      <c r="E867" s="74" t="s">
        <v>1480</v>
      </c>
      <c r="F867" s="74"/>
      <c r="G867" s="74" t="s">
        <v>1481</v>
      </c>
      <c r="H867" s="73" t="s">
        <v>1575</v>
      </c>
      <c r="I867" s="226"/>
      <c r="J867" s="73" t="s">
        <v>732</v>
      </c>
      <c r="K867" s="73">
        <v>97</v>
      </c>
      <c r="L867" s="73" t="s">
        <v>195</v>
      </c>
      <c r="M867" s="73" t="s">
        <v>1483</v>
      </c>
      <c r="N867" s="73" t="s">
        <v>1483</v>
      </c>
      <c r="O867" s="73" t="s">
        <v>1483</v>
      </c>
      <c r="P867" s="73" t="s">
        <v>1483</v>
      </c>
      <c r="Q867" s="73" t="s">
        <v>1483</v>
      </c>
      <c r="R867" s="73" t="s">
        <v>1483</v>
      </c>
      <c r="S867" s="73" t="s">
        <v>1484</v>
      </c>
      <c r="T867" s="73" t="s">
        <v>1484</v>
      </c>
      <c r="U867" s="73" t="s">
        <v>1484</v>
      </c>
      <c r="V867" s="73" t="s">
        <v>1484</v>
      </c>
      <c r="W867" s="73" t="s">
        <v>1485</v>
      </c>
      <c r="X867" s="73" t="s">
        <v>1484</v>
      </c>
      <c r="Y867" s="73" t="s">
        <v>1484</v>
      </c>
      <c r="Z867" s="73" t="s">
        <v>1484</v>
      </c>
      <c r="AA867" s="73" t="s">
        <v>1485</v>
      </c>
      <c r="AB867" s="73" t="s">
        <v>1484</v>
      </c>
      <c r="AC867" s="73" t="s">
        <v>1486</v>
      </c>
      <c r="AD867" s="73" t="s">
        <v>1487</v>
      </c>
      <c r="AE867" s="75" t="s">
        <v>1579</v>
      </c>
    </row>
    <row r="868" spans="1:31" x14ac:dyDescent="0.3">
      <c r="A868" s="76"/>
      <c r="B868" s="77"/>
      <c r="C868" s="78" t="s">
        <v>1489</v>
      </c>
      <c r="D868" s="78" t="s">
        <v>341</v>
      </c>
      <c r="E868" s="78" t="s">
        <v>1771</v>
      </c>
      <c r="F868" s="78" t="s">
        <v>1982</v>
      </c>
      <c r="G868" s="78" t="s">
        <v>1492</v>
      </c>
      <c r="H868" s="85"/>
      <c r="I868" s="226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9"/>
    </row>
    <row r="869" spans="1:31" x14ac:dyDescent="0.3">
      <c r="A869" s="76"/>
      <c r="B869" s="77"/>
      <c r="C869" s="78" t="s">
        <v>1493</v>
      </c>
      <c r="D869" s="78" t="s">
        <v>26</v>
      </c>
      <c r="E869" s="78" t="s">
        <v>1609</v>
      </c>
      <c r="F869" s="78" t="s">
        <v>1565</v>
      </c>
      <c r="G869" s="78" t="s">
        <v>1492</v>
      </c>
      <c r="H869" s="85"/>
      <c r="I869" s="226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9"/>
    </row>
    <row r="870" spans="1:31" x14ac:dyDescent="0.3">
      <c r="A870" s="76"/>
      <c r="B870" s="77"/>
      <c r="C870" s="78" t="s">
        <v>1496</v>
      </c>
      <c r="D870" s="78" t="s">
        <v>735</v>
      </c>
      <c r="E870" s="78" t="s">
        <v>1525</v>
      </c>
      <c r="F870" s="78" t="s">
        <v>1529</v>
      </c>
      <c r="G870" s="78" t="s">
        <v>1492</v>
      </c>
      <c r="H870" s="77"/>
      <c r="I870" s="226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9"/>
    </row>
    <row r="871" spans="1:31" ht="15" thickBot="1" x14ac:dyDescent="0.35">
      <c r="A871" s="76"/>
      <c r="B871" s="77"/>
      <c r="C871" s="78" t="s">
        <v>1499</v>
      </c>
      <c r="D871" s="78" t="s">
        <v>186</v>
      </c>
      <c r="E871" s="78" t="s">
        <v>1503</v>
      </c>
      <c r="F871" s="78" t="s">
        <v>1495</v>
      </c>
      <c r="G871" s="78" t="s">
        <v>1492</v>
      </c>
      <c r="H871" s="77"/>
      <c r="I871" s="22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9"/>
    </row>
    <row r="872" spans="1:31" x14ac:dyDescent="0.3">
      <c r="A872" s="76"/>
      <c r="B872" s="77"/>
      <c r="C872" s="78" t="s">
        <v>1502</v>
      </c>
      <c r="D872" s="78" t="s">
        <v>648</v>
      </c>
      <c r="E872" s="78" t="s">
        <v>1773</v>
      </c>
      <c r="F872" s="78" t="s">
        <v>1498</v>
      </c>
      <c r="G872" s="78" t="s">
        <v>1492</v>
      </c>
      <c r="H872" s="77"/>
      <c r="I872" s="225">
        <v>55</v>
      </c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9"/>
    </row>
    <row r="873" spans="1:31" x14ac:dyDescent="0.3">
      <c r="A873" s="76"/>
      <c r="B873" s="77"/>
      <c r="C873" s="78" t="s">
        <v>1504</v>
      </c>
      <c r="D873" s="78" t="s">
        <v>289</v>
      </c>
      <c r="E873" s="78" t="s">
        <v>1505</v>
      </c>
      <c r="F873" s="78" t="s">
        <v>1546</v>
      </c>
      <c r="G873" s="78" t="s">
        <v>1492</v>
      </c>
      <c r="H873" s="77"/>
      <c r="I873" s="226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9"/>
    </row>
    <row r="874" spans="1:31" x14ac:dyDescent="0.3">
      <c r="A874" s="76"/>
      <c r="B874" s="80"/>
      <c r="C874" s="78" t="s">
        <v>1507</v>
      </c>
      <c r="D874" s="78" t="s">
        <v>432</v>
      </c>
      <c r="E874" s="78" t="s">
        <v>1500</v>
      </c>
      <c r="F874" s="78" t="s">
        <v>1501</v>
      </c>
      <c r="G874" s="78" t="s">
        <v>1492</v>
      </c>
      <c r="H874" s="77"/>
      <c r="I874" s="226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9"/>
    </row>
    <row r="875" spans="1:31" x14ac:dyDescent="0.3">
      <c r="A875" s="76"/>
      <c r="B875" s="78" t="s">
        <v>1485</v>
      </c>
      <c r="C875" s="78" t="s">
        <v>1485</v>
      </c>
      <c r="D875" s="78" t="s">
        <v>1998</v>
      </c>
      <c r="E875" s="78" t="s">
        <v>1511</v>
      </c>
      <c r="F875" s="78" t="s">
        <v>1512</v>
      </c>
      <c r="G875" s="78" t="s">
        <v>1513</v>
      </c>
      <c r="H875" s="77"/>
      <c r="I875" s="226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9"/>
    </row>
    <row r="876" spans="1:31" x14ac:dyDescent="0.3">
      <c r="A876" s="76"/>
      <c r="B876" s="78" t="s">
        <v>1485</v>
      </c>
      <c r="C876" s="78" t="s">
        <v>1485</v>
      </c>
      <c r="D876" s="78" t="s">
        <v>1999</v>
      </c>
      <c r="E876" s="78" t="s">
        <v>1534</v>
      </c>
      <c r="F876" s="78" t="s">
        <v>1535</v>
      </c>
      <c r="G876" s="78" t="s">
        <v>1513</v>
      </c>
      <c r="H876" s="77"/>
      <c r="I876" s="226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9"/>
    </row>
    <row r="877" spans="1:31" x14ac:dyDescent="0.3">
      <c r="A877" s="76"/>
      <c r="B877" s="78" t="s">
        <v>1662</v>
      </c>
      <c r="C877" s="78" t="s">
        <v>1489</v>
      </c>
      <c r="D877" s="78" t="s">
        <v>541</v>
      </c>
      <c r="E877" s="78" t="s">
        <v>1651</v>
      </c>
      <c r="F877" s="78" t="s">
        <v>1600</v>
      </c>
      <c r="G877" s="78" t="s">
        <v>1513</v>
      </c>
      <c r="H877" s="77"/>
      <c r="I877" s="22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9"/>
    </row>
    <row r="878" spans="1:31" x14ac:dyDescent="0.3">
      <c r="A878" s="76"/>
      <c r="B878" s="78" t="s">
        <v>1635</v>
      </c>
      <c r="C878" s="78" t="s">
        <v>1493</v>
      </c>
      <c r="D878" s="78" t="s">
        <v>663</v>
      </c>
      <c r="E878" s="78" t="s">
        <v>1480</v>
      </c>
      <c r="F878" s="78" t="s">
        <v>1518</v>
      </c>
      <c r="G878" s="78" t="s">
        <v>1513</v>
      </c>
      <c r="H878" s="85"/>
      <c r="I878" s="226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9"/>
    </row>
    <row r="879" spans="1:31" x14ac:dyDescent="0.3">
      <c r="A879" s="76"/>
      <c r="B879" s="78" t="s">
        <v>1746</v>
      </c>
      <c r="C879" s="78" t="s">
        <v>1489</v>
      </c>
      <c r="D879" s="78" t="s">
        <v>186</v>
      </c>
      <c r="E879" s="78" t="s">
        <v>1503</v>
      </c>
      <c r="F879" s="78" t="s">
        <v>1495</v>
      </c>
      <c r="G879" s="78" t="s">
        <v>1513</v>
      </c>
      <c r="H879" s="85"/>
      <c r="I879" s="226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9"/>
    </row>
    <row r="880" spans="1:31" x14ac:dyDescent="0.3">
      <c r="A880" s="76"/>
      <c r="B880" s="78" t="s">
        <v>2000</v>
      </c>
      <c r="C880" s="78" t="s">
        <v>1496</v>
      </c>
      <c r="D880" s="78" t="s">
        <v>432</v>
      </c>
      <c r="E880" s="78" t="s">
        <v>1500</v>
      </c>
      <c r="F880" s="78" t="s">
        <v>1501</v>
      </c>
      <c r="G880" s="78" t="s">
        <v>1513</v>
      </c>
      <c r="H880" s="77"/>
      <c r="I880" s="226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9"/>
    </row>
    <row r="881" spans="1:31" x14ac:dyDescent="0.3">
      <c r="A881" s="76"/>
      <c r="B881" s="78" t="s">
        <v>2001</v>
      </c>
      <c r="C881" s="78" t="s">
        <v>1489</v>
      </c>
      <c r="D881" s="78" t="s">
        <v>341</v>
      </c>
      <c r="E881" s="78" t="s">
        <v>1771</v>
      </c>
      <c r="F881" s="78" t="s">
        <v>1982</v>
      </c>
      <c r="G881" s="78" t="s">
        <v>1513</v>
      </c>
      <c r="H881" s="85"/>
      <c r="I881" s="226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9"/>
    </row>
    <row r="882" spans="1:31" x14ac:dyDescent="0.3">
      <c r="A882" s="76"/>
      <c r="B882" s="78" t="s">
        <v>2002</v>
      </c>
      <c r="C882" s="78" t="s">
        <v>1493</v>
      </c>
      <c r="D882" s="78" t="s">
        <v>289</v>
      </c>
      <c r="E882" s="78" t="s">
        <v>1505</v>
      </c>
      <c r="F882" s="78" t="s">
        <v>1546</v>
      </c>
      <c r="G882" s="78" t="s">
        <v>1513</v>
      </c>
      <c r="H882" s="85"/>
      <c r="I882" s="226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9"/>
    </row>
    <row r="883" spans="1:31" ht="15" thickBot="1" x14ac:dyDescent="0.35">
      <c r="A883" s="81"/>
      <c r="B883" s="82" t="s">
        <v>1719</v>
      </c>
      <c r="C883" s="82" t="s">
        <v>1493</v>
      </c>
      <c r="D883" s="82" t="s">
        <v>26</v>
      </c>
      <c r="E883" s="82" t="s">
        <v>1609</v>
      </c>
      <c r="F883" s="82" t="s">
        <v>1565</v>
      </c>
      <c r="G883" s="82" t="s">
        <v>1513</v>
      </c>
      <c r="H883" s="83"/>
      <c r="I883" s="226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4"/>
    </row>
    <row r="884" spans="1:31" x14ac:dyDescent="0.3">
      <c r="A884" s="72" t="s">
        <v>699</v>
      </c>
      <c r="B884" s="73" t="s">
        <v>2003</v>
      </c>
      <c r="C884" s="74" t="s">
        <v>1479</v>
      </c>
      <c r="D884" s="74" t="s">
        <v>700</v>
      </c>
      <c r="E884" s="74" t="s">
        <v>1480</v>
      </c>
      <c r="F884" s="74"/>
      <c r="G884" s="74" t="s">
        <v>1481</v>
      </c>
      <c r="H884" s="73" t="s">
        <v>1575</v>
      </c>
      <c r="I884" s="226"/>
      <c r="J884" s="73" t="s">
        <v>698</v>
      </c>
      <c r="K884" s="73">
        <v>92</v>
      </c>
      <c r="L884" s="73" t="s">
        <v>195</v>
      </c>
      <c r="M884" s="73" t="s">
        <v>1483</v>
      </c>
      <c r="N884" s="73" t="s">
        <v>1483</v>
      </c>
      <c r="O884" s="73" t="s">
        <v>1483</v>
      </c>
      <c r="P884" s="73" t="s">
        <v>1483</v>
      </c>
      <c r="Q884" s="73" t="s">
        <v>1483</v>
      </c>
      <c r="R884" s="73" t="s">
        <v>1483</v>
      </c>
      <c r="S884" s="73" t="s">
        <v>1484</v>
      </c>
      <c r="T884" s="73" t="s">
        <v>1484</v>
      </c>
      <c r="U884" s="73" t="s">
        <v>1484</v>
      </c>
      <c r="V884" s="73" t="s">
        <v>1484</v>
      </c>
      <c r="W884" s="73" t="s">
        <v>1485</v>
      </c>
      <c r="X884" s="73" t="s">
        <v>1484</v>
      </c>
      <c r="Y884" s="73" t="s">
        <v>1484</v>
      </c>
      <c r="Z884" s="73" t="s">
        <v>1484</v>
      </c>
      <c r="AA884" s="73" t="s">
        <v>1485</v>
      </c>
      <c r="AB884" s="73" t="s">
        <v>1484</v>
      </c>
      <c r="AC884" s="73" t="s">
        <v>1486</v>
      </c>
      <c r="AD884" s="73" t="s">
        <v>1487</v>
      </c>
      <c r="AE884" s="75" t="s">
        <v>1579</v>
      </c>
    </row>
    <row r="885" spans="1:31" x14ac:dyDescent="0.3">
      <c r="A885" s="76"/>
      <c r="B885" s="77"/>
      <c r="C885" s="78" t="s">
        <v>1489</v>
      </c>
      <c r="D885" s="78" t="s">
        <v>381</v>
      </c>
      <c r="E885" s="78" t="s">
        <v>1494</v>
      </c>
      <c r="F885" s="78" t="s">
        <v>1495</v>
      </c>
      <c r="G885" s="78" t="s">
        <v>1492</v>
      </c>
      <c r="H885" s="77"/>
      <c r="I885" s="226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9"/>
    </row>
    <row r="886" spans="1:31" x14ac:dyDescent="0.3">
      <c r="A886" s="76"/>
      <c r="B886" s="77"/>
      <c r="C886" s="78" t="s">
        <v>1493</v>
      </c>
      <c r="D886" s="78" t="s">
        <v>701</v>
      </c>
      <c r="E886" s="78" t="s">
        <v>1667</v>
      </c>
      <c r="F886" s="78" t="s">
        <v>1565</v>
      </c>
      <c r="G886" s="78" t="s">
        <v>1492</v>
      </c>
      <c r="H886" s="85"/>
      <c r="I886" s="226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9"/>
    </row>
    <row r="887" spans="1:31" x14ac:dyDescent="0.3">
      <c r="A887" s="76"/>
      <c r="B887" s="77"/>
      <c r="C887" s="78" t="s">
        <v>1496</v>
      </c>
      <c r="D887" s="78" t="s">
        <v>243</v>
      </c>
      <c r="E887" s="78" t="s">
        <v>2004</v>
      </c>
      <c r="F887" s="78" t="s">
        <v>1611</v>
      </c>
      <c r="G887" s="78" t="s">
        <v>1492</v>
      </c>
      <c r="H887" s="85"/>
      <c r="I887" s="226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9"/>
    </row>
    <row r="888" spans="1:31" ht="15" thickBot="1" x14ac:dyDescent="0.35">
      <c r="A888" s="76"/>
      <c r="B888" s="77"/>
      <c r="C888" s="78" t="s">
        <v>1499</v>
      </c>
      <c r="D888" s="78" t="s">
        <v>139</v>
      </c>
      <c r="E888" s="78" t="s">
        <v>1618</v>
      </c>
      <c r="F888" s="78" t="s">
        <v>1528</v>
      </c>
      <c r="G888" s="78" t="s">
        <v>1492</v>
      </c>
      <c r="H888" s="77"/>
      <c r="I888" s="22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9"/>
    </row>
    <row r="889" spans="1:31" x14ac:dyDescent="0.3">
      <c r="A889" s="76"/>
      <c r="B889" s="77"/>
      <c r="C889" s="78" t="s">
        <v>1502</v>
      </c>
      <c r="D889" s="78" t="s">
        <v>702</v>
      </c>
      <c r="E889" s="78" t="s">
        <v>1490</v>
      </c>
      <c r="F889" s="78" t="s">
        <v>1631</v>
      </c>
      <c r="G889" s="78" t="s">
        <v>1492</v>
      </c>
      <c r="H889" s="77"/>
      <c r="I889" s="225">
        <v>52</v>
      </c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9"/>
    </row>
    <row r="890" spans="1:31" x14ac:dyDescent="0.3">
      <c r="A890" s="76"/>
      <c r="B890" s="77"/>
      <c r="C890" s="78" t="s">
        <v>1504</v>
      </c>
      <c r="D890" s="78" t="s">
        <v>598</v>
      </c>
      <c r="E890" s="78" t="s">
        <v>1773</v>
      </c>
      <c r="F890" s="78" t="s">
        <v>1498</v>
      </c>
      <c r="G890" s="78" t="s">
        <v>1492</v>
      </c>
      <c r="H890" s="77"/>
      <c r="I890" s="226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9"/>
    </row>
    <row r="891" spans="1:31" x14ac:dyDescent="0.3">
      <c r="A891" s="76"/>
      <c r="B891" s="80"/>
      <c r="C891" s="78" t="s">
        <v>1507</v>
      </c>
      <c r="D891" s="78" t="s">
        <v>25</v>
      </c>
      <c r="E891" s="78" t="s">
        <v>1503</v>
      </c>
      <c r="F891" s="78" t="s">
        <v>1495</v>
      </c>
      <c r="G891" s="78" t="s">
        <v>1492</v>
      </c>
      <c r="H891" s="77"/>
      <c r="I891" s="226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9"/>
    </row>
    <row r="892" spans="1:31" x14ac:dyDescent="0.3">
      <c r="A892" s="76"/>
      <c r="B892" s="78" t="s">
        <v>1485</v>
      </c>
      <c r="C892" s="78" t="s">
        <v>1485</v>
      </c>
      <c r="D892" s="78" t="s">
        <v>703</v>
      </c>
      <c r="E892" s="78" t="s">
        <v>1548</v>
      </c>
      <c r="F892" s="78" t="s">
        <v>1549</v>
      </c>
      <c r="G892" s="78" t="s">
        <v>1513</v>
      </c>
      <c r="H892" s="77"/>
      <c r="I892" s="226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9"/>
    </row>
    <row r="893" spans="1:31" x14ac:dyDescent="0.3">
      <c r="A893" s="76"/>
      <c r="B893" s="78" t="s">
        <v>1647</v>
      </c>
      <c r="C893" s="78" t="s">
        <v>1493</v>
      </c>
      <c r="D893" s="78" t="s">
        <v>669</v>
      </c>
      <c r="E893" s="78" t="s">
        <v>1480</v>
      </c>
      <c r="F893" s="78" t="s">
        <v>1518</v>
      </c>
      <c r="G893" s="78" t="s">
        <v>1513</v>
      </c>
      <c r="H893" s="77"/>
      <c r="I893" s="226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9"/>
    </row>
    <row r="894" spans="1:31" x14ac:dyDescent="0.3">
      <c r="A894" s="76"/>
      <c r="B894" s="78" t="s">
        <v>1710</v>
      </c>
      <c r="C894" s="78" t="s">
        <v>1499</v>
      </c>
      <c r="D894" s="78" t="s">
        <v>381</v>
      </c>
      <c r="E894" s="78" t="s">
        <v>1494</v>
      </c>
      <c r="F894" s="78" t="s">
        <v>1495</v>
      </c>
      <c r="G894" s="78" t="s">
        <v>1513</v>
      </c>
      <c r="H894" s="77"/>
      <c r="I894" s="226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9"/>
    </row>
    <row r="895" spans="1:31" x14ac:dyDescent="0.3">
      <c r="A895" s="76"/>
      <c r="B895" s="78" t="s">
        <v>1520</v>
      </c>
      <c r="C895" s="78" t="s">
        <v>1504</v>
      </c>
      <c r="D895" s="78" t="s">
        <v>25</v>
      </c>
      <c r="E895" s="78" t="s">
        <v>1503</v>
      </c>
      <c r="F895" s="78" t="s">
        <v>1495</v>
      </c>
      <c r="G895" s="78" t="s">
        <v>1513</v>
      </c>
      <c r="H895" s="77"/>
      <c r="I895" s="226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9"/>
    </row>
    <row r="896" spans="1:31" x14ac:dyDescent="0.3">
      <c r="A896" s="76"/>
      <c r="B896" s="78" t="s">
        <v>2005</v>
      </c>
      <c r="C896" s="78" t="s">
        <v>1496</v>
      </c>
      <c r="D896" s="78" t="s">
        <v>139</v>
      </c>
      <c r="E896" s="78" t="s">
        <v>1618</v>
      </c>
      <c r="F896" s="78" t="s">
        <v>1528</v>
      </c>
      <c r="G896" s="78" t="s">
        <v>1513</v>
      </c>
      <c r="H896" s="77"/>
      <c r="I896" s="226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9"/>
    </row>
    <row r="897" spans="1:31" x14ac:dyDescent="0.3">
      <c r="A897" s="76"/>
      <c r="B897" s="78" t="s">
        <v>1832</v>
      </c>
      <c r="C897" s="78" t="s">
        <v>1489</v>
      </c>
      <c r="D897" s="78" t="s">
        <v>702</v>
      </c>
      <c r="E897" s="78" t="s">
        <v>1490</v>
      </c>
      <c r="F897" s="78" t="s">
        <v>1631</v>
      </c>
      <c r="G897" s="78" t="s">
        <v>1513</v>
      </c>
      <c r="H897" s="77"/>
      <c r="I897" s="226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9"/>
    </row>
    <row r="898" spans="1:31" x14ac:dyDescent="0.3">
      <c r="A898" s="76"/>
      <c r="B898" s="78" t="s">
        <v>2006</v>
      </c>
      <c r="C898" s="78" t="s">
        <v>1489</v>
      </c>
      <c r="D898" s="78" t="s">
        <v>704</v>
      </c>
      <c r="E898" s="78" t="s">
        <v>1508</v>
      </c>
      <c r="F898" s="78" t="s">
        <v>1718</v>
      </c>
      <c r="G898" s="78" t="s">
        <v>1513</v>
      </c>
      <c r="H898" s="77"/>
      <c r="I898" s="226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9"/>
    </row>
    <row r="899" spans="1:31" ht="15" thickBot="1" x14ac:dyDescent="0.35">
      <c r="A899" s="81"/>
      <c r="B899" s="82" t="s">
        <v>1678</v>
      </c>
      <c r="C899" s="82" t="s">
        <v>1493</v>
      </c>
      <c r="D899" s="82" t="s">
        <v>701</v>
      </c>
      <c r="E899" s="82" t="s">
        <v>1667</v>
      </c>
      <c r="F899" s="82" t="s">
        <v>1565</v>
      </c>
      <c r="G899" s="82" t="s">
        <v>1513</v>
      </c>
      <c r="H899" s="82"/>
      <c r="I899" s="226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4"/>
    </row>
    <row r="900" spans="1:31" x14ac:dyDescent="0.3">
      <c r="A900" s="72" t="s">
        <v>685</v>
      </c>
      <c r="B900" s="73" t="s">
        <v>2007</v>
      </c>
      <c r="C900" s="74" t="s">
        <v>1479</v>
      </c>
      <c r="D900" s="74" t="s">
        <v>686</v>
      </c>
      <c r="E900" s="74" t="s">
        <v>1480</v>
      </c>
      <c r="F900" s="74"/>
      <c r="G900" s="74" t="s">
        <v>1481</v>
      </c>
      <c r="H900" s="73" t="s">
        <v>1482</v>
      </c>
      <c r="I900" s="226"/>
      <c r="J900" s="73" t="s">
        <v>684</v>
      </c>
      <c r="K900" s="73">
        <v>90</v>
      </c>
      <c r="L900" s="73" t="s">
        <v>195</v>
      </c>
      <c r="M900" s="73" t="s">
        <v>1483</v>
      </c>
      <c r="N900" s="73" t="s">
        <v>1483</v>
      </c>
      <c r="O900" s="73" t="s">
        <v>1483</v>
      </c>
      <c r="P900" s="73" t="s">
        <v>1483</v>
      </c>
      <c r="Q900" s="73" t="s">
        <v>1483</v>
      </c>
      <c r="R900" s="73" t="s">
        <v>1483</v>
      </c>
      <c r="S900" s="73" t="s">
        <v>1484</v>
      </c>
      <c r="T900" s="73" t="s">
        <v>1484</v>
      </c>
      <c r="U900" s="73" t="s">
        <v>1484</v>
      </c>
      <c r="V900" s="73" t="s">
        <v>1484</v>
      </c>
      <c r="W900" s="73" t="s">
        <v>1485</v>
      </c>
      <c r="X900" s="73" t="s">
        <v>1484</v>
      </c>
      <c r="Y900" s="73" t="s">
        <v>1484</v>
      </c>
      <c r="Z900" s="73" t="s">
        <v>1485</v>
      </c>
      <c r="AA900" s="73" t="s">
        <v>1485</v>
      </c>
      <c r="AB900" s="73" t="s">
        <v>1484</v>
      </c>
      <c r="AC900" s="73" t="s">
        <v>1486</v>
      </c>
      <c r="AD900" s="73" t="s">
        <v>1487</v>
      </c>
      <c r="AE900" s="75" t="s">
        <v>1488</v>
      </c>
    </row>
    <row r="901" spans="1:31" x14ac:dyDescent="0.3">
      <c r="A901" s="76"/>
      <c r="B901" s="77"/>
      <c r="C901" s="78" t="s">
        <v>1496</v>
      </c>
      <c r="D901" s="78" t="s">
        <v>39</v>
      </c>
      <c r="E901" s="78" t="s">
        <v>1503</v>
      </c>
      <c r="F901" s="78" t="s">
        <v>1495</v>
      </c>
      <c r="G901" s="78" t="s">
        <v>1492</v>
      </c>
      <c r="H901" s="77"/>
      <c r="I901" s="226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9"/>
    </row>
    <row r="902" spans="1:31" x14ac:dyDescent="0.3">
      <c r="A902" s="76"/>
      <c r="B902" s="77"/>
      <c r="C902" s="78" t="s">
        <v>1499</v>
      </c>
      <c r="D902" s="78" t="s">
        <v>439</v>
      </c>
      <c r="E902" s="78" t="s">
        <v>1500</v>
      </c>
      <c r="F902" s="78" t="s">
        <v>1501</v>
      </c>
      <c r="G902" s="78" t="s">
        <v>1492</v>
      </c>
      <c r="H902" s="77"/>
      <c r="I902" s="226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9"/>
    </row>
    <row r="903" spans="1:31" x14ac:dyDescent="0.3">
      <c r="A903" s="76"/>
      <c r="B903" s="77"/>
      <c r="C903" s="78" t="s">
        <v>1502</v>
      </c>
      <c r="D903" s="78" t="s">
        <v>687</v>
      </c>
      <c r="E903" s="78" t="s">
        <v>1490</v>
      </c>
      <c r="F903" s="78" t="s">
        <v>1619</v>
      </c>
      <c r="G903" s="78" t="s">
        <v>1492</v>
      </c>
      <c r="H903" s="77"/>
      <c r="I903" s="226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9"/>
    </row>
    <row r="904" spans="1:31" ht="15" thickBot="1" x14ac:dyDescent="0.35">
      <c r="A904" s="76"/>
      <c r="B904" s="77"/>
      <c r="C904" s="78" t="s">
        <v>1504</v>
      </c>
      <c r="D904" s="78" t="s">
        <v>638</v>
      </c>
      <c r="E904" s="78" t="s">
        <v>1500</v>
      </c>
      <c r="F904" s="78" t="s">
        <v>1501</v>
      </c>
      <c r="G904" s="78" t="s">
        <v>1492</v>
      </c>
      <c r="H904" s="77"/>
      <c r="I904" s="22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9"/>
    </row>
    <row r="905" spans="1:31" x14ac:dyDescent="0.3">
      <c r="A905" s="76"/>
      <c r="B905" s="80"/>
      <c r="C905" s="78" t="s">
        <v>1507</v>
      </c>
      <c r="D905" s="78" t="s">
        <v>617</v>
      </c>
      <c r="E905" s="78" t="s">
        <v>1773</v>
      </c>
      <c r="F905" s="78" t="s">
        <v>1498</v>
      </c>
      <c r="G905" s="78" t="s">
        <v>1492</v>
      </c>
      <c r="H905" s="77"/>
      <c r="I905" s="225">
        <v>51</v>
      </c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9"/>
    </row>
    <row r="906" spans="1:31" x14ac:dyDescent="0.3">
      <c r="A906" s="76"/>
      <c r="B906" s="78" t="s">
        <v>1485</v>
      </c>
      <c r="C906" s="78" t="s">
        <v>1485</v>
      </c>
      <c r="D906" s="78" t="s">
        <v>2008</v>
      </c>
      <c r="E906" s="78" t="s">
        <v>1534</v>
      </c>
      <c r="F906" s="78" t="s">
        <v>1535</v>
      </c>
      <c r="G906" s="78" t="s">
        <v>1513</v>
      </c>
      <c r="H906" s="77"/>
      <c r="I906" s="226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9"/>
    </row>
    <row r="907" spans="1:31" x14ac:dyDescent="0.3">
      <c r="A907" s="76"/>
      <c r="B907" s="78" t="s">
        <v>1485</v>
      </c>
      <c r="C907" s="78" t="s">
        <v>1485</v>
      </c>
      <c r="D907" s="78" t="s">
        <v>2009</v>
      </c>
      <c r="E907" s="78" t="s">
        <v>1511</v>
      </c>
      <c r="F907" s="78" t="s">
        <v>1512</v>
      </c>
      <c r="G907" s="78" t="s">
        <v>1513</v>
      </c>
      <c r="H907" s="77"/>
      <c r="I907" s="226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9"/>
    </row>
    <row r="908" spans="1:31" x14ac:dyDescent="0.3">
      <c r="A908" s="76"/>
      <c r="B908" s="78" t="s">
        <v>2010</v>
      </c>
      <c r="C908" s="78" t="s">
        <v>1493</v>
      </c>
      <c r="D908" s="78" t="s">
        <v>266</v>
      </c>
      <c r="E908" s="78" t="s">
        <v>2004</v>
      </c>
      <c r="F908" s="78" t="s">
        <v>1600</v>
      </c>
      <c r="G908" s="78" t="s">
        <v>1513</v>
      </c>
      <c r="H908" s="77"/>
      <c r="I908" s="226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9"/>
    </row>
    <row r="909" spans="1:31" x14ac:dyDescent="0.3">
      <c r="A909" s="76"/>
      <c r="B909" s="78" t="s">
        <v>1653</v>
      </c>
      <c r="C909" s="78" t="s">
        <v>1493</v>
      </c>
      <c r="D909" s="78" t="s">
        <v>676</v>
      </c>
      <c r="E909" s="78" t="s">
        <v>1480</v>
      </c>
      <c r="F909" s="78" t="s">
        <v>1518</v>
      </c>
      <c r="G909" s="78" t="s">
        <v>1513</v>
      </c>
      <c r="H909" s="77"/>
      <c r="I909" s="226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9"/>
    </row>
    <row r="910" spans="1:31" x14ac:dyDescent="0.3">
      <c r="A910" s="76"/>
      <c r="B910" s="78" t="s">
        <v>1655</v>
      </c>
      <c r="C910" s="78" t="s">
        <v>1507</v>
      </c>
      <c r="D910" s="78" t="s">
        <v>39</v>
      </c>
      <c r="E910" s="78" t="s">
        <v>1503</v>
      </c>
      <c r="F910" s="78" t="s">
        <v>1495</v>
      </c>
      <c r="G910" s="78" t="s">
        <v>1513</v>
      </c>
      <c r="H910" s="77"/>
      <c r="I910" s="226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9"/>
    </row>
    <row r="911" spans="1:31" x14ac:dyDescent="0.3">
      <c r="A911" s="76"/>
      <c r="B911" s="78" t="s">
        <v>1914</v>
      </c>
      <c r="C911" s="78" t="s">
        <v>1496</v>
      </c>
      <c r="D911" s="78" t="s">
        <v>439</v>
      </c>
      <c r="E911" s="78" t="s">
        <v>1500</v>
      </c>
      <c r="F911" s="78" t="s">
        <v>1501</v>
      </c>
      <c r="G911" s="78" t="s">
        <v>1513</v>
      </c>
      <c r="H911" s="77"/>
      <c r="I911" s="226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9"/>
    </row>
    <row r="912" spans="1:31" x14ac:dyDescent="0.3">
      <c r="A912" s="76"/>
      <c r="B912" s="78" t="s">
        <v>1603</v>
      </c>
      <c r="C912" s="78" t="s">
        <v>1496</v>
      </c>
      <c r="D912" s="78" t="s">
        <v>638</v>
      </c>
      <c r="E912" s="78" t="s">
        <v>1500</v>
      </c>
      <c r="F912" s="78" t="s">
        <v>1501</v>
      </c>
      <c r="G912" s="78" t="s">
        <v>1513</v>
      </c>
      <c r="H912" s="77"/>
      <c r="I912" s="226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9"/>
    </row>
    <row r="913" spans="1:31" x14ac:dyDescent="0.3">
      <c r="A913" s="76"/>
      <c r="B913" s="78" t="s">
        <v>1666</v>
      </c>
      <c r="C913" s="78" t="s">
        <v>1489</v>
      </c>
      <c r="D913" s="78" t="s">
        <v>689</v>
      </c>
      <c r="E913" s="78" t="s">
        <v>1667</v>
      </c>
      <c r="F913" s="78" t="s">
        <v>1558</v>
      </c>
      <c r="G913" s="78" t="s">
        <v>1513</v>
      </c>
      <c r="H913" s="77"/>
      <c r="I913" s="226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9"/>
    </row>
    <row r="914" spans="1:31" x14ac:dyDescent="0.3">
      <c r="A914" s="76"/>
      <c r="B914" s="78" t="s">
        <v>1839</v>
      </c>
      <c r="C914" s="78" t="s">
        <v>1489</v>
      </c>
      <c r="D914" s="78" t="s">
        <v>687</v>
      </c>
      <c r="E914" s="78" t="s">
        <v>1490</v>
      </c>
      <c r="F914" s="78" t="s">
        <v>1619</v>
      </c>
      <c r="G914" s="78" t="s">
        <v>1513</v>
      </c>
      <c r="H914" s="77"/>
      <c r="I914" s="226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9"/>
    </row>
    <row r="915" spans="1:31" ht="15" thickBot="1" x14ac:dyDescent="0.35">
      <c r="A915" s="81"/>
      <c r="B915" s="82" t="s">
        <v>2011</v>
      </c>
      <c r="C915" s="82" t="s">
        <v>1489</v>
      </c>
      <c r="D915" s="82" t="s">
        <v>690</v>
      </c>
      <c r="E915" s="82" t="s">
        <v>1508</v>
      </c>
      <c r="F915" s="82" t="s">
        <v>1718</v>
      </c>
      <c r="G915" s="82" t="s">
        <v>1513</v>
      </c>
      <c r="H915" s="83"/>
      <c r="I915" s="226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4"/>
    </row>
    <row r="916" spans="1:31" x14ac:dyDescent="0.3">
      <c r="A916" s="72" t="s">
        <v>636</v>
      </c>
      <c r="B916" s="73" t="s">
        <v>2012</v>
      </c>
      <c r="C916" s="74" t="s">
        <v>1479</v>
      </c>
      <c r="D916" s="74" t="s">
        <v>637</v>
      </c>
      <c r="E916" s="74" t="s">
        <v>1480</v>
      </c>
      <c r="F916" s="74"/>
      <c r="G916" s="74" t="s">
        <v>1481</v>
      </c>
      <c r="H916" s="73" t="s">
        <v>1641</v>
      </c>
      <c r="I916" s="226"/>
      <c r="J916" s="73" t="s">
        <v>635</v>
      </c>
      <c r="K916" s="73">
        <v>83</v>
      </c>
      <c r="L916" s="73" t="s">
        <v>320</v>
      </c>
      <c r="M916" s="73" t="s">
        <v>1483</v>
      </c>
      <c r="N916" s="73" t="s">
        <v>1483</v>
      </c>
      <c r="O916" s="73" t="s">
        <v>1483</v>
      </c>
      <c r="P916" s="73" t="s">
        <v>1483</v>
      </c>
      <c r="Q916" s="73" t="s">
        <v>1483</v>
      </c>
      <c r="R916" s="73" t="s">
        <v>1483</v>
      </c>
      <c r="S916" s="73" t="s">
        <v>1484</v>
      </c>
      <c r="T916" s="73" t="s">
        <v>1484</v>
      </c>
      <c r="U916" s="73" t="s">
        <v>1484</v>
      </c>
      <c r="V916" s="73" t="s">
        <v>1484</v>
      </c>
      <c r="W916" s="73" t="s">
        <v>1576</v>
      </c>
      <c r="X916" s="73" t="s">
        <v>1484</v>
      </c>
      <c r="Y916" s="73" t="s">
        <v>1484</v>
      </c>
      <c r="Z916" s="73" t="s">
        <v>1484</v>
      </c>
      <c r="AA916" s="73" t="s">
        <v>1485</v>
      </c>
      <c r="AB916" s="73" t="s">
        <v>1484</v>
      </c>
      <c r="AC916" s="73" t="s">
        <v>1486</v>
      </c>
      <c r="AD916" s="73" t="s">
        <v>1960</v>
      </c>
      <c r="AE916" s="75" t="s">
        <v>1644</v>
      </c>
    </row>
    <row r="917" spans="1:31" x14ac:dyDescent="0.3">
      <c r="A917" s="76"/>
      <c r="B917" s="77"/>
      <c r="C917" s="78" t="s">
        <v>1489</v>
      </c>
      <c r="D917" s="78" t="s">
        <v>597</v>
      </c>
      <c r="E917" s="78" t="s">
        <v>1548</v>
      </c>
      <c r="F917" s="78" t="s">
        <v>1791</v>
      </c>
      <c r="G917" s="78" t="s">
        <v>1492</v>
      </c>
      <c r="H917" s="77"/>
      <c r="I917" s="226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9"/>
    </row>
    <row r="918" spans="1:31" x14ac:dyDescent="0.3">
      <c r="A918" s="76"/>
      <c r="B918" s="77"/>
      <c r="C918" s="78" t="s">
        <v>1493</v>
      </c>
      <c r="D918" s="78" t="s">
        <v>50</v>
      </c>
      <c r="E918" s="78" t="s">
        <v>1503</v>
      </c>
      <c r="F918" s="78" t="s">
        <v>1495</v>
      </c>
      <c r="G918" s="78" t="s">
        <v>1492</v>
      </c>
      <c r="H918" s="77"/>
      <c r="I918" s="226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9"/>
    </row>
    <row r="919" spans="1:31" x14ac:dyDescent="0.3">
      <c r="A919" s="76"/>
      <c r="B919" s="77"/>
      <c r="C919" s="78" t="s">
        <v>1496</v>
      </c>
      <c r="D919" s="78" t="s">
        <v>77</v>
      </c>
      <c r="E919" s="78" t="s">
        <v>1494</v>
      </c>
      <c r="F919" s="78" t="s">
        <v>1495</v>
      </c>
      <c r="G919" s="78" t="s">
        <v>1492</v>
      </c>
      <c r="H919" s="77"/>
      <c r="I919" s="226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9"/>
    </row>
    <row r="920" spans="1:31" ht="15" thickBot="1" x14ac:dyDescent="0.35">
      <c r="A920" s="76"/>
      <c r="B920" s="77"/>
      <c r="C920" s="78" t="s">
        <v>1499</v>
      </c>
      <c r="D920" s="78" t="s">
        <v>139</v>
      </c>
      <c r="E920" s="78" t="s">
        <v>1618</v>
      </c>
      <c r="F920" s="78" t="s">
        <v>1528</v>
      </c>
      <c r="G920" s="78" t="s">
        <v>1492</v>
      </c>
      <c r="H920" s="77"/>
      <c r="I920" s="22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9"/>
    </row>
    <row r="921" spans="1:31" x14ac:dyDescent="0.3">
      <c r="A921" s="76"/>
      <c r="B921" s="77"/>
      <c r="C921" s="78" t="s">
        <v>1502</v>
      </c>
      <c r="D921" s="78" t="s">
        <v>638</v>
      </c>
      <c r="E921" s="78" t="s">
        <v>1500</v>
      </c>
      <c r="F921" s="78" t="s">
        <v>1501</v>
      </c>
      <c r="G921" s="78" t="s">
        <v>1492</v>
      </c>
      <c r="H921" s="77"/>
      <c r="I921" s="225">
        <v>50</v>
      </c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9"/>
    </row>
    <row r="922" spans="1:31" x14ac:dyDescent="0.3">
      <c r="A922" s="76"/>
      <c r="B922" s="77"/>
      <c r="C922" s="78" t="s">
        <v>1504</v>
      </c>
      <c r="D922" s="78" t="s">
        <v>639</v>
      </c>
      <c r="E922" s="78" t="s">
        <v>1773</v>
      </c>
      <c r="F922" s="78" t="s">
        <v>1498</v>
      </c>
      <c r="G922" s="78" t="s">
        <v>1492</v>
      </c>
      <c r="H922" s="77"/>
      <c r="I922" s="226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9"/>
    </row>
    <row r="923" spans="1:31" x14ac:dyDescent="0.3">
      <c r="A923" s="76"/>
      <c r="B923" s="80"/>
      <c r="C923" s="78" t="s">
        <v>1507</v>
      </c>
      <c r="D923" s="78" t="s">
        <v>640</v>
      </c>
      <c r="E923" s="78" t="s">
        <v>1792</v>
      </c>
      <c r="F923" s="78" t="s">
        <v>2013</v>
      </c>
      <c r="G923" s="78" t="s">
        <v>1492</v>
      </c>
      <c r="H923" s="77"/>
      <c r="I923" s="226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9"/>
    </row>
    <row r="924" spans="1:31" x14ac:dyDescent="0.3">
      <c r="A924" s="76"/>
      <c r="B924" s="78" t="s">
        <v>1663</v>
      </c>
      <c r="C924" s="78" t="s">
        <v>1493</v>
      </c>
      <c r="D924" s="78" t="s">
        <v>641</v>
      </c>
      <c r="E924" s="78" t="s">
        <v>1480</v>
      </c>
      <c r="F924" s="78" t="s">
        <v>1518</v>
      </c>
      <c r="G924" s="78" t="s">
        <v>1513</v>
      </c>
      <c r="H924" s="77"/>
      <c r="I924" s="226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9"/>
    </row>
    <row r="925" spans="1:31" x14ac:dyDescent="0.3">
      <c r="A925" s="76"/>
      <c r="B925" s="78" t="s">
        <v>2014</v>
      </c>
      <c r="C925" s="78" t="s">
        <v>1493</v>
      </c>
      <c r="D925" s="78" t="s">
        <v>77</v>
      </c>
      <c r="E925" s="78" t="s">
        <v>1494</v>
      </c>
      <c r="F925" s="78" t="s">
        <v>1495</v>
      </c>
      <c r="G925" s="78" t="s">
        <v>1513</v>
      </c>
      <c r="H925" s="77"/>
      <c r="I925" s="226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9"/>
    </row>
    <row r="926" spans="1:31" x14ac:dyDescent="0.3">
      <c r="A926" s="76"/>
      <c r="B926" s="78" t="s">
        <v>1665</v>
      </c>
      <c r="C926" s="78" t="s">
        <v>1489</v>
      </c>
      <c r="D926" s="78" t="s">
        <v>50</v>
      </c>
      <c r="E926" s="78" t="s">
        <v>1503</v>
      </c>
      <c r="F926" s="78" t="s">
        <v>1495</v>
      </c>
      <c r="G926" s="78" t="s">
        <v>1513</v>
      </c>
      <c r="H926" s="77"/>
      <c r="I926" s="226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9"/>
    </row>
    <row r="927" spans="1:31" x14ac:dyDescent="0.3">
      <c r="A927" s="76"/>
      <c r="B927" s="78" t="s">
        <v>1603</v>
      </c>
      <c r="C927" s="78" t="s">
        <v>1502</v>
      </c>
      <c r="D927" s="78" t="s">
        <v>638</v>
      </c>
      <c r="E927" s="78" t="s">
        <v>1500</v>
      </c>
      <c r="F927" s="78" t="s">
        <v>1501</v>
      </c>
      <c r="G927" s="78" t="s">
        <v>1513</v>
      </c>
      <c r="H927" s="77"/>
      <c r="I927" s="226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9"/>
    </row>
    <row r="928" spans="1:31" x14ac:dyDescent="0.3">
      <c r="A928" s="76"/>
      <c r="B928" s="78" t="s">
        <v>2015</v>
      </c>
      <c r="C928" s="78" t="s">
        <v>1493</v>
      </c>
      <c r="D928" s="78" t="s">
        <v>642</v>
      </c>
      <c r="E928" s="78" t="s">
        <v>2016</v>
      </c>
      <c r="F928" s="78" t="s">
        <v>1558</v>
      </c>
      <c r="G928" s="78" t="s">
        <v>1513</v>
      </c>
      <c r="H928" s="77"/>
      <c r="I928" s="226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9"/>
    </row>
    <row r="929" spans="1:31" x14ac:dyDescent="0.3">
      <c r="A929" s="76"/>
      <c r="B929" s="78" t="s">
        <v>2005</v>
      </c>
      <c r="C929" s="78" t="s">
        <v>1499</v>
      </c>
      <c r="D929" s="78" t="s">
        <v>139</v>
      </c>
      <c r="E929" s="78" t="s">
        <v>1618</v>
      </c>
      <c r="F929" s="78" t="s">
        <v>1528</v>
      </c>
      <c r="G929" s="78" t="s">
        <v>1513</v>
      </c>
      <c r="H929" s="77"/>
      <c r="I929" s="226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9"/>
    </row>
    <row r="930" spans="1:31" ht="15" thickBot="1" x14ac:dyDescent="0.35">
      <c r="A930" s="81"/>
      <c r="B930" s="82" t="s">
        <v>2017</v>
      </c>
      <c r="C930" s="82" t="s">
        <v>1489</v>
      </c>
      <c r="D930" s="82" t="s">
        <v>640</v>
      </c>
      <c r="E930" s="82" t="s">
        <v>1792</v>
      </c>
      <c r="F930" s="82" t="s">
        <v>2013</v>
      </c>
      <c r="G930" s="82" t="s">
        <v>1513</v>
      </c>
      <c r="H930" s="83"/>
      <c r="I930" s="226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4"/>
    </row>
    <row r="931" spans="1:31" x14ac:dyDescent="0.3">
      <c r="A931" s="72" t="s">
        <v>621</v>
      </c>
      <c r="B931" s="73" t="s">
        <v>2018</v>
      </c>
      <c r="C931" s="74" t="s">
        <v>1479</v>
      </c>
      <c r="D931" s="74" t="s">
        <v>622</v>
      </c>
      <c r="E931" s="74" t="s">
        <v>1480</v>
      </c>
      <c r="F931" s="74"/>
      <c r="G931" s="74" t="s">
        <v>1481</v>
      </c>
      <c r="H931" s="73" t="s">
        <v>1575</v>
      </c>
      <c r="I931" s="226"/>
      <c r="J931" s="73" t="s">
        <v>620</v>
      </c>
      <c r="K931" s="73">
        <v>81</v>
      </c>
      <c r="L931" s="73" t="s">
        <v>320</v>
      </c>
      <c r="M931" s="73" t="s">
        <v>1483</v>
      </c>
      <c r="N931" s="73" t="s">
        <v>1483</v>
      </c>
      <c r="O931" s="73" t="s">
        <v>1483</v>
      </c>
      <c r="P931" s="73" t="s">
        <v>1483</v>
      </c>
      <c r="Q931" s="73" t="s">
        <v>1483</v>
      </c>
      <c r="R931" s="73" t="s">
        <v>1483</v>
      </c>
      <c r="S931" s="73" t="s">
        <v>1484</v>
      </c>
      <c r="T931" s="73" t="s">
        <v>1484</v>
      </c>
      <c r="U931" s="73" t="s">
        <v>1484</v>
      </c>
      <c r="V931" s="73" t="s">
        <v>1484</v>
      </c>
      <c r="W931" s="73" t="s">
        <v>1485</v>
      </c>
      <c r="X931" s="73" t="s">
        <v>1484</v>
      </c>
      <c r="Y931" s="73" t="s">
        <v>1484</v>
      </c>
      <c r="Z931" s="73" t="s">
        <v>1484</v>
      </c>
      <c r="AA931" s="73" t="s">
        <v>1485</v>
      </c>
      <c r="AB931" s="73" t="s">
        <v>1484</v>
      </c>
      <c r="AC931" s="73" t="s">
        <v>1486</v>
      </c>
      <c r="AD931" s="73" t="s">
        <v>1487</v>
      </c>
      <c r="AE931" s="75" t="s">
        <v>1579</v>
      </c>
    </row>
    <row r="932" spans="1:31" x14ac:dyDescent="0.3">
      <c r="A932" s="76"/>
      <c r="B932" s="77"/>
      <c r="C932" s="78" t="s">
        <v>1489</v>
      </c>
      <c r="D932" s="78" t="s">
        <v>623</v>
      </c>
      <c r="E932" s="78" t="s">
        <v>2016</v>
      </c>
      <c r="F932" s="78" t="s">
        <v>1565</v>
      </c>
      <c r="G932" s="78" t="s">
        <v>1492</v>
      </c>
      <c r="H932" s="77"/>
      <c r="I932" s="226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9"/>
    </row>
    <row r="933" spans="1:31" x14ac:dyDescent="0.3">
      <c r="A933" s="76"/>
      <c r="B933" s="77"/>
      <c r="C933" s="78" t="s">
        <v>1493</v>
      </c>
      <c r="D933" s="78" t="s">
        <v>91</v>
      </c>
      <c r="E933" s="78" t="s">
        <v>1503</v>
      </c>
      <c r="F933" s="78" t="s">
        <v>1495</v>
      </c>
      <c r="G933" s="78" t="s">
        <v>1492</v>
      </c>
      <c r="H933" s="77"/>
      <c r="I933" s="226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9"/>
    </row>
    <row r="934" spans="1:31" x14ac:dyDescent="0.3">
      <c r="A934" s="76"/>
      <c r="B934" s="77"/>
      <c r="C934" s="78" t="s">
        <v>1496</v>
      </c>
      <c r="D934" s="78" t="s">
        <v>63</v>
      </c>
      <c r="E934" s="78" t="s">
        <v>1494</v>
      </c>
      <c r="F934" s="78" t="s">
        <v>1495</v>
      </c>
      <c r="G934" s="78" t="s">
        <v>1492</v>
      </c>
      <c r="H934" s="77"/>
      <c r="I934" s="226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9"/>
    </row>
    <row r="935" spans="1:31" ht="15" thickBot="1" x14ac:dyDescent="0.35">
      <c r="A935" s="76"/>
      <c r="B935" s="77"/>
      <c r="C935" s="78" t="s">
        <v>1499</v>
      </c>
      <c r="D935" s="78" t="s">
        <v>547</v>
      </c>
      <c r="E935" s="78" t="s">
        <v>1548</v>
      </c>
      <c r="F935" s="78" t="s">
        <v>1791</v>
      </c>
      <c r="G935" s="78" t="s">
        <v>1492</v>
      </c>
      <c r="H935" s="77"/>
      <c r="I935" s="22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9"/>
    </row>
    <row r="936" spans="1:31" x14ac:dyDescent="0.3">
      <c r="A936" s="76"/>
      <c r="B936" s="77"/>
      <c r="C936" s="78" t="s">
        <v>1502</v>
      </c>
      <c r="D936" s="78" t="s">
        <v>557</v>
      </c>
      <c r="E936" s="78" t="s">
        <v>1500</v>
      </c>
      <c r="F936" s="78" t="s">
        <v>1501</v>
      </c>
      <c r="G936" s="78" t="s">
        <v>1492</v>
      </c>
      <c r="H936" s="77"/>
      <c r="I936" s="225">
        <v>49</v>
      </c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9"/>
    </row>
    <row r="937" spans="1:31" x14ac:dyDescent="0.3">
      <c r="A937" s="76"/>
      <c r="B937" s="77"/>
      <c r="C937" s="78" t="s">
        <v>1504</v>
      </c>
      <c r="D937" s="78" t="s">
        <v>624</v>
      </c>
      <c r="E937" s="78" t="s">
        <v>1773</v>
      </c>
      <c r="F937" s="78" t="s">
        <v>1498</v>
      </c>
      <c r="G937" s="78" t="s">
        <v>1492</v>
      </c>
      <c r="H937" s="77"/>
      <c r="I937" s="226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9"/>
    </row>
    <row r="938" spans="1:31" x14ac:dyDescent="0.3">
      <c r="A938" s="76"/>
      <c r="B938" s="80"/>
      <c r="C938" s="78" t="s">
        <v>1507</v>
      </c>
      <c r="D938" s="78" t="s">
        <v>625</v>
      </c>
      <c r="E938" s="78" t="s">
        <v>1792</v>
      </c>
      <c r="F938" s="78" t="s">
        <v>2019</v>
      </c>
      <c r="G938" s="78" t="s">
        <v>1492</v>
      </c>
      <c r="H938" s="77"/>
      <c r="I938" s="226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9"/>
    </row>
    <row r="939" spans="1:31" x14ac:dyDescent="0.3">
      <c r="A939" s="76"/>
      <c r="B939" s="78" t="s">
        <v>1673</v>
      </c>
      <c r="C939" s="78" t="s">
        <v>1493</v>
      </c>
      <c r="D939" s="78" t="s">
        <v>626</v>
      </c>
      <c r="E939" s="78" t="s">
        <v>1480</v>
      </c>
      <c r="F939" s="78" t="s">
        <v>1518</v>
      </c>
      <c r="G939" s="78" t="s">
        <v>1513</v>
      </c>
      <c r="H939" s="77"/>
      <c r="I939" s="226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9"/>
    </row>
    <row r="940" spans="1:31" x14ac:dyDescent="0.3">
      <c r="A940" s="76"/>
      <c r="B940" s="78" t="s">
        <v>2020</v>
      </c>
      <c r="C940" s="78" t="s">
        <v>1489</v>
      </c>
      <c r="D940" s="78" t="s">
        <v>63</v>
      </c>
      <c r="E940" s="78" t="s">
        <v>1494</v>
      </c>
      <c r="F940" s="78" t="s">
        <v>1495</v>
      </c>
      <c r="G940" s="78" t="s">
        <v>1513</v>
      </c>
      <c r="H940" s="77"/>
      <c r="I940" s="226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9"/>
    </row>
    <row r="941" spans="1:31" x14ac:dyDescent="0.3">
      <c r="A941" s="76"/>
      <c r="B941" s="78" t="s">
        <v>1675</v>
      </c>
      <c r="C941" s="78" t="s">
        <v>1507</v>
      </c>
      <c r="D941" s="78" t="s">
        <v>91</v>
      </c>
      <c r="E941" s="78" t="s">
        <v>1503</v>
      </c>
      <c r="F941" s="78" t="s">
        <v>1495</v>
      </c>
      <c r="G941" s="78" t="s">
        <v>1513</v>
      </c>
      <c r="H941" s="77"/>
      <c r="I941" s="226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9"/>
    </row>
    <row r="942" spans="1:31" x14ac:dyDescent="0.3">
      <c r="A942" s="76"/>
      <c r="B942" s="78" t="s">
        <v>2021</v>
      </c>
      <c r="C942" s="78" t="s">
        <v>1496</v>
      </c>
      <c r="D942" s="78" t="s">
        <v>557</v>
      </c>
      <c r="E942" s="78" t="s">
        <v>1500</v>
      </c>
      <c r="F942" s="78" t="s">
        <v>1501</v>
      </c>
      <c r="G942" s="78" t="s">
        <v>1513</v>
      </c>
      <c r="H942" s="77"/>
      <c r="I942" s="226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9"/>
    </row>
    <row r="943" spans="1:31" x14ac:dyDescent="0.3">
      <c r="A943" s="76"/>
      <c r="B943" s="78" t="s">
        <v>2022</v>
      </c>
      <c r="C943" s="78" t="s">
        <v>1489</v>
      </c>
      <c r="D943" s="78" t="s">
        <v>625</v>
      </c>
      <c r="E943" s="78" t="s">
        <v>1792</v>
      </c>
      <c r="F943" s="78" t="s">
        <v>2019</v>
      </c>
      <c r="G943" s="78" t="s">
        <v>1513</v>
      </c>
      <c r="H943" s="77"/>
      <c r="I943" s="226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9"/>
    </row>
    <row r="944" spans="1:31" ht="15" thickBot="1" x14ac:dyDescent="0.35">
      <c r="A944" s="81"/>
      <c r="B944" s="82" t="s">
        <v>2023</v>
      </c>
      <c r="C944" s="82" t="s">
        <v>1489</v>
      </c>
      <c r="D944" s="82" t="s">
        <v>623</v>
      </c>
      <c r="E944" s="82" t="s">
        <v>2016</v>
      </c>
      <c r="F944" s="82" t="s">
        <v>1565</v>
      </c>
      <c r="G944" s="82" t="s">
        <v>1513</v>
      </c>
      <c r="H944" s="83"/>
      <c r="I944" s="226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4"/>
    </row>
    <row r="945" spans="1:31" x14ac:dyDescent="0.3">
      <c r="A945" s="72" t="s">
        <v>552</v>
      </c>
      <c r="B945" s="73" t="s">
        <v>2024</v>
      </c>
      <c r="C945" s="74" t="s">
        <v>1479</v>
      </c>
      <c r="D945" s="74" t="s">
        <v>553</v>
      </c>
      <c r="E945" s="74" t="s">
        <v>1480</v>
      </c>
      <c r="F945" s="74"/>
      <c r="G945" s="74" t="s">
        <v>1481</v>
      </c>
      <c r="H945" s="73" t="s">
        <v>1482</v>
      </c>
      <c r="I945" s="226"/>
      <c r="J945" s="73" t="s">
        <v>551</v>
      </c>
      <c r="K945" s="73">
        <v>71</v>
      </c>
      <c r="L945" s="73" t="s">
        <v>320</v>
      </c>
      <c r="M945" s="73" t="s">
        <v>1483</v>
      </c>
      <c r="N945" s="73" t="s">
        <v>1483</v>
      </c>
      <c r="O945" s="73" t="s">
        <v>1483</v>
      </c>
      <c r="P945" s="73" t="s">
        <v>1483</v>
      </c>
      <c r="Q945" s="73" t="s">
        <v>1483</v>
      </c>
      <c r="R945" s="73" t="s">
        <v>1483</v>
      </c>
      <c r="S945" s="73" t="s">
        <v>1484</v>
      </c>
      <c r="T945" s="73" t="s">
        <v>1484</v>
      </c>
      <c r="U945" s="73" t="s">
        <v>1484</v>
      </c>
      <c r="V945" s="73" t="s">
        <v>1484</v>
      </c>
      <c r="W945" s="73" t="s">
        <v>1485</v>
      </c>
      <c r="X945" s="73" t="s">
        <v>1484</v>
      </c>
      <c r="Y945" s="73" t="s">
        <v>1484</v>
      </c>
      <c r="Z945" s="73" t="s">
        <v>1485</v>
      </c>
      <c r="AA945" s="73" t="s">
        <v>1485</v>
      </c>
      <c r="AB945" s="73" t="s">
        <v>1484</v>
      </c>
      <c r="AC945" s="73" t="s">
        <v>1486</v>
      </c>
      <c r="AD945" s="73" t="s">
        <v>1487</v>
      </c>
      <c r="AE945" s="75" t="s">
        <v>1488</v>
      </c>
    </row>
    <row r="946" spans="1:31" x14ac:dyDescent="0.3">
      <c r="A946" s="76"/>
      <c r="B946" s="77"/>
      <c r="C946" s="78" t="s">
        <v>1493</v>
      </c>
      <c r="D946" s="78" t="s">
        <v>554</v>
      </c>
      <c r="E946" s="78" t="s">
        <v>1494</v>
      </c>
      <c r="F946" s="78" t="s">
        <v>1495</v>
      </c>
      <c r="G946" s="78" t="s">
        <v>1492</v>
      </c>
      <c r="H946" s="77"/>
      <c r="I946" s="226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9"/>
    </row>
    <row r="947" spans="1:31" x14ac:dyDescent="0.3">
      <c r="A947" s="76"/>
      <c r="B947" s="77"/>
      <c r="C947" s="78" t="s">
        <v>1496</v>
      </c>
      <c r="D947" s="78" t="s">
        <v>127</v>
      </c>
      <c r="E947" s="78" t="s">
        <v>1618</v>
      </c>
      <c r="F947" s="78" t="s">
        <v>1631</v>
      </c>
      <c r="G947" s="78" t="s">
        <v>1492</v>
      </c>
      <c r="H947" s="77"/>
      <c r="I947" s="226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9"/>
    </row>
    <row r="948" spans="1:31" x14ac:dyDescent="0.3">
      <c r="A948" s="76"/>
      <c r="B948" s="77"/>
      <c r="C948" s="78" t="s">
        <v>1499</v>
      </c>
      <c r="D948" s="78" t="s">
        <v>555</v>
      </c>
      <c r="E948" s="78" t="s">
        <v>1511</v>
      </c>
      <c r="F948" s="78" t="s">
        <v>1791</v>
      </c>
      <c r="G948" s="78" t="s">
        <v>1492</v>
      </c>
      <c r="H948" s="77"/>
      <c r="I948" s="226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9"/>
    </row>
    <row r="949" spans="1:31" ht="15" thickBot="1" x14ac:dyDescent="0.35">
      <c r="A949" s="76"/>
      <c r="B949" s="77"/>
      <c r="C949" s="78" t="s">
        <v>1502</v>
      </c>
      <c r="D949" s="78" t="s">
        <v>168</v>
      </c>
      <c r="E949" s="78" t="s">
        <v>1503</v>
      </c>
      <c r="F949" s="78" t="s">
        <v>1495</v>
      </c>
      <c r="G949" s="78" t="s">
        <v>1492</v>
      </c>
      <c r="H949" s="77"/>
      <c r="I949" s="22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9"/>
    </row>
    <row r="950" spans="1:31" x14ac:dyDescent="0.3">
      <c r="A950" s="76"/>
      <c r="B950" s="77"/>
      <c r="C950" s="78" t="s">
        <v>1504</v>
      </c>
      <c r="D950" s="78" t="s">
        <v>556</v>
      </c>
      <c r="E950" s="78" t="s">
        <v>1773</v>
      </c>
      <c r="F950" s="78" t="s">
        <v>1498</v>
      </c>
      <c r="G950" s="78" t="s">
        <v>1492</v>
      </c>
      <c r="H950" s="77"/>
      <c r="I950" s="225">
        <v>46</v>
      </c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9"/>
    </row>
    <row r="951" spans="1:31" x14ac:dyDescent="0.3">
      <c r="A951" s="76"/>
      <c r="B951" s="80"/>
      <c r="C951" s="78" t="s">
        <v>1507</v>
      </c>
      <c r="D951" s="78" t="s">
        <v>557</v>
      </c>
      <c r="E951" s="78" t="s">
        <v>1500</v>
      </c>
      <c r="F951" s="78" t="s">
        <v>1501</v>
      </c>
      <c r="G951" s="78" t="s">
        <v>1492</v>
      </c>
      <c r="H951" s="77"/>
      <c r="I951" s="226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9"/>
    </row>
    <row r="952" spans="1:31" x14ac:dyDescent="0.3">
      <c r="A952" s="76"/>
      <c r="B952" s="78" t="s">
        <v>1985</v>
      </c>
      <c r="C952" s="78" t="s">
        <v>1493</v>
      </c>
      <c r="D952" s="78" t="s">
        <v>512</v>
      </c>
      <c r="E952" s="78" t="s">
        <v>1986</v>
      </c>
      <c r="F952" s="78" t="s">
        <v>1600</v>
      </c>
      <c r="G952" s="78" t="s">
        <v>1513</v>
      </c>
      <c r="H952" s="77"/>
      <c r="I952" s="226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9"/>
    </row>
    <row r="953" spans="1:31" x14ac:dyDescent="0.3">
      <c r="A953" s="76"/>
      <c r="B953" s="78" t="s">
        <v>1681</v>
      </c>
      <c r="C953" s="78" t="s">
        <v>1493</v>
      </c>
      <c r="D953" s="78" t="s">
        <v>558</v>
      </c>
      <c r="E953" s="78" t="s">
        <v>1480</v>
      </c>
      <c r="F953" s="78" t="s">
        <v>1518</v>
      </c>
      <c r="G953" s="78" t="s">
        <v>1513</v>
      </c>
      <c r="H953" s="77"/>
      <c r="I953" s="226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9"/>
    </row>
    <row r="954" spans="1:31" x14ac:dyDescent="0.3">
      <c r="A954" s="76"/>
      <c r="B954" s="78" t="s">
        <v>1691</v>
      </c>
      <c r="C954" s="78" t="s">
        <v>1489</v>
      </c>
      <c r="D954" s="78" t="s">
        <v>554</v>
      </c>
      <c r="E954" s="78" t="s">
        <v>1494</v>
      </c>
      <c r="F954" s="78" t="s">
        <v>1495</v>
      </c>
      <c r="G954" s="78" t="s">
        <v>1513</v>
      </c>
      <c r="H954" s="77"/>
      <c r="I954" s="226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9"/>
    </row>
    <row r="955" spans="1:31" x14ac:dyDescent="0.3">
      <c r="A955" s="76"/>
      <c r="B955" s="78" t="s">
        <v>1682</v>
      </c>
      <c r="C955" s="78" t="s">
        <v>1586</v>
      </c>
      <c r="D955" s="78" t="s">
        <v>168</v>
      </c>
      <c r="E955" s="78" t="s">
        <v>1503</v>
      </c>
      <c r="F955" s="78" t="s">
        <v>1495</v>
      </c>
      <c r="G955" s="78" t="s">
        <v>1513</v>
      </c>
      <c r="H955" s="77"/>
      <c r="I955" s="226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9"/>
    </row>
    <row r="956" spans="1:31" x14ac:dyDescent="0.3">
      <c r="A956" s="76"/>
      <c r="B956" s="78" t="s">
        <v>2021</v>
      </c>
      <c r="C956" s="78" t="s">
        <v>1489</v>
      </c>
      <c r="D956" s="78" t="s">
        <v>557</v>
      </c>
      <c r="E956" s="78" t="s">
        <v>1500</v>
      </c>
      <c r="F956" s="78" t="s">
        <v>1501</v>
      </c>
      <c r="G956" s="78" t="s">
        <v>1513</v>
      </c>
      <c r="H956" s="77"/>
      <c r="I956" s="226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9"/>
    </row>
    <row r="957" spans="1:31" x14ac:dyDescent="0.3">
      <c r="A957" s="76"/>
      <c r="B957" s="78" t="s">
        <v>1637</v>
      </c>
      <c r="C957" s="78" t="s">
        <v>1493</v>
      </c>
      <c r="D957" s="78" t="s">
        <v>127</v>
      </c>
      <c r="E957" s="78" t="s">
        <v>1618</v>
      </c>
      <c r="F957" s="78" t="s">
        <v>1631</v>
      </c>
      <c r="G957" s="78" t="s">
        <v>1513</v>
      </c>
      <c r="H957" s="77"/>
      <c r="I957" s="226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9"/>
    </row>
    <row r="958" spans="1:31" x14ac:dyDescent="0.3">
      <c r="A958" s="76"/>
      <c r="B958" s="78" t="s">
        <v>1919</v>
      </c>
      <c r="C958" s="78" t="s">
        <v>1493</v>
      </c>
      <c r="D958" s="78" t="s">
        <v>542</v>
      </c>
      <c r="E958" s="78" t="s">
        <v>1749</v>
      </c>
      <c r="F958" s="78" t="s">
        <v>1920</v>
      </c>
      <c r="G958" s="78" t="s">
        <v>1513</v>
      </c>
      <c r="H958" s="77"/>
      <c r="I958" s="226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9"/>
    </row>
    <row r="959" spans="1:31" x14ac:dyDescent="0.3">
      <c r="A959" s="76"/>
      <c r="B959" s="78" t="s">
        <v>2025</v>
      </c>
      <c r="C959" s="78" t="s">
        <v>1493</v>
      </c>
      <c r="D959" s="78" t="s">
        <v>513</v>
      </c>
      <c r="E959" s="78" t="s">
        <v>1749</v>
      </c>
      <c r="F959" s="78" t="s">
        <v>2026</v>
      </c>
      <c r="G959" s="78" t="s">
        <v>1513</v>
      </c>
      <c r="H959" s="77"/>
      <c r="I959" s="226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9"/>
    </row>
    <row r="960" spans="1:31" x14ac:dyDescent="0.3">
      <c r="A960" s="76"/>
      <c r="B960" s="78" t="s">
        <v>2027</v>
      </c>
      <c r="C960" s="78" t="s">
        <v>1493</v>
      </c>
      <c r="D960" s="78" t="s">
        <v>495</v>
      </c>
      <c r="E960" s="78" t="s">
        <v>1749</v>
      </c>
      <c r="F960" s="78" t="s">
        <v>2028</v>
      </c>
      <c r="G960" s="78" t="s">
        <v>1513</v>
      </c>
      <c r="H960" s="77"/>
      <c r="I960" s="226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9"/>
    </row>
    <row r="961" spans="1:31" ht="15" thickBot="1" x14ac:dyDescent="0.35">
      <c r="A961" s="81"/>
      <c r="B961" s="82" t="s">
        <v>2029</v>
      </c>
      <c r="C961" s="82" t="s">
        <v>1489</v>
      </c>
      <c r="D961" s="82" t="s">
        <v>559</v>
      </c>
      <c r="E961" s="82" t="s">
        <v>1508</v>
      </c>
      <c r="F961" s="82" t="s">
        <v>1718</v>
      </c>
      <c r="G961" s="82" t="s">
        <v>1513</v>
      </c>
      <c r="H961" s="83"/>
      <c r="I961" s="226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4"/>
    </row>
    <row r="962" spans="1:31" x14ac:dyDescent="0.3">
      <c r="A962" s="72" t="s">
        <v>525</v>
      </c>
      <c r="B962" s="73" t="s">
        <v>2030</v>
      </c>
      <c r="C962" s="74" t="s">
        <v>1479</v>
      </c>
      <c r="D962" s="74" t="s">
        <v>526</v>
      </c>
      <c r="E962" s="74" t="s">
        <v>1480</v>
      </c>
      <c r="F962" s="74"/>
      <c r="G962" s="74" t="s">
        <v>1481</v>
      </c>
      <c r="H962" s="73" t="s">
        <v>1575</v>
      </c>
      <c r="I962" s="226"/>
      <c r="J962" s="73" t="s">
        <v>524</v>
      </c>
      <c r="K962" s="73">
        <v>68</v>
      </c>
      <c r="L962" s="73" t="s">
        <v>320</v>
      </c>
      <c r="M962" s="73" t="s">
        <v>1483</v>
      </c>
      <c r="N962" s="73" t="s">
        <v>1483</v>
      </c>
      <c r="O962" s="73" t="s">
        <v>1483</v>
      </c>
      <c r="P962" s="73" t="s">
        <v>1483</v>
      </c>
      <c r="Q962" s="73" t="s">
        <v>1483</v>
      </c>
      <c r="R962" s="73" t="s">
        <v>1483</v>
      </c>
      <c r="S962" s="73" t="s">
        <v>1484</v>
      </c>
      <c r="T962" s="73" t="s">
        <v>1484</v>
      </c>
      <c r="U962" s="73" t="s">
        <v>1484</v>
      </c>
      <c r="V962" s="73" t="s">
        <v>1484</v>
      </c>
      <c r="W962" s="73" t="s">
        <v>1485</v>
      </c>
      <c r="X962" s="73" t="s">
        <v>1484</v>
      </c>
      <c r="Y962" s="73" t="s">
        <v>1484</v>
      </c>
      <c r="Z962" s="73" t="s">
        <v>1484</v>
      </c>
      <c r="AA962" s="73" t="s">
        <v>1485</v>
      </c>
      <c r="AB962" s="73" t="s">
        <v>1484</v>
      </c>
      <c r="AC962" s="73" t="s">
        <v>1486</v>
      </c>
      <c r="AD962" s="73" t="s">
        <v>1487</v>
      </c>
      <c r="AE962" s="75" t="s">
        <v>1579</v>
      </c>
    </row>
    <row r="963" spans="1:31" x14ac:dyDescent="0.3">
      <c r="A963" s="76"/>
      <c r="B963" s="77"/>
      <c r="C963" s="78" t="s">
        <v>1489</v>
      </c>
      <c r="D963" s="78" t="s">
        <v>501</v>
      </c>
      <c r="E963" s="78" t="s">
        <v>1986</v>
      </c>
      <c r="F963" s="78" t="s">
        <v>1611</v>
      </c>
      <c r="G963" s="78" t="s">
        <v>1492</v>
      </c>
      <c r="H963" s="77"/>
      <c r="I963" s="226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9"/>
    </row>
    <row r="964" spans="1:31" x14ac:dyDescent="0.3">
      <c r="A964" s="76"/>
      <c r="B964" s="77"/>
      <c r="C964" s="78" t="s">
        <v>1493</v>
      </c>
      <c r="D964" s="78" t="s">
        <v>527</v>
      </c>
      <c r="E964" s="78" t="s">
        <v>1494</v>
      </c>
      <c r="F964" s="78" t="s">
        <v>1495</v>
      </c>
      <c r="G964" s="78" t="s">
        <v>1492</v>
      </c>
      <c r="H964" s="77"/>
      <c r="I964" s="226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9"/>
    </row>
    <row r="965" spans="1:31" x14ac:dyDescent="0.3">
      <c r="A965" s="76"/>
      <c r="B965" s="77"/>
      <c r="C965" s="78" t="s">
        <v>1496</v>
      </c>
      <c r="D965" s="78" t="s">
        <v>76</v>
      </c>
      <c r="E965" s="78" t="s">
        <v>1618</v>
      </c>
      <c r="F965" s="78" t="s">
        <v>1564</v>
      </c>
      <c r="G965" s="78" t="s">
        <v>1492</v>
      </c>
      <c r="H965" s="77"/>
      <c r="I965" s="226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9"/>
    </row>
    <row r="966" spans="1:31" ht="15" thickBot="1" x14ac:dyDescent="0.35">
      <c r="A966" s="76"/>
      <c r="B966" s="77"/>
      <c r="C966" s="78" t="s">
        <v>1499</v>
      </c>
      <c r="D966" s="78" t="s">
        <v>528</v>
      </c>
      <c r="E966" s="78" t="s">
        <v>1511</v>
      </c>
      <c r="F966" s="78" t="s">
        <v>1791</v>
      </c>
      <c r="G966" s="78" t="s">
        <v>1492</v>
      </c>
      <c r="H966" s="77"/>
      <c r="I966" s="22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9"/>
    </row>
    <row r="967" spans="1:31" x14ac:dyDescent="0.3">
      <c r="A967" s="76"/>
      <c r="B967" s="77"/>
      <c r="C967" s="78" t="s">
        <v>1502</v>
      </c>
      <c r="D967" s="78" t="s">
        <v>244</v>
      </c>
      <c r="E967" s="78" t="s">
        <v>1628</v>
      </c>
      <c r="F967" s="78" t="s">
        <v>1565</v>
      </c>
      <c r="G967" s="78" t="s">
        <v>1492</v>
      </c>
      <c r="H967" s="77"/>
      <c r="I967" s="225">
        <v>45</v>
      </c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9"/>
    </row>
    <row r="968" spans="1:31" x14ac:dyDescent="0.3">
      <c r="A968" s="76"/>
      <c r="B968" s="77"/>
      <c r="C968" s="78" t="s">
        <v>1504</v>
      </c>
      <c r="D968" s="78" t="s">
        <v>529</v>
      </c>
      <c r="E968" s="78" t="s">
        <v>1773</v>
      </c>
      <c r="F968" s="78" t="s">
        <v>1498</v>
      </c>
      <c r="G968" s="78" t="s">
        <v>1492</v>
      </c>
      <c r="H968" s="77"/>
      <c r="I968" s="226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9"/>
    </row>
    <row r="969" spans="1:31" x14ac:dyDescent="0.3">
      <c r="A969" s="76"/>
      <c r="B969" s="80"/>
      <c r="C969" s="78" t="s">
        <v>1507</v>
      </c>
      <c r="D969" s="78" t="s">
        <v>484</v>
      </c>
      <c r="E969" s="78" t="s">
        <v>1980</v>
      </c>
      <c r="F969" s="78" t="s">
        <v>1989</v>
      </c>
      <c r="G969" s="78" t="s">
        <v>1492</v>
      </c>
      <c r="H969" s="77"/>
      <c r="I969" s="226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9"/>
    </row>
    <row r="970" spans="1:31" x14ac:dyDescent="0.3">
      <c r="A970" s="76"/>
      <c r="B970" s="78" t="s">
        <v>1690</v>
      </c>
      <c r="C970" s="78" t="s">
        <v>1493</v>
      </c>
      <c r="D970" s="78" t="s">
        <v>530</v>
      </c>
      <c r="E970" s="78" t="s">
        <v>1480</v>
      </c>
      <c r="F970" s="78" t="s">
        <v>1518</v>
      </c>
      <c r="G970" s="78" t="s">
        <v>1513</v>
      </c>
      <c r="H970" s="77"/>
      <c r="I970" s="226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9"/>
    </row>
    <row r="971" spans="1:31" x14ac:dyDescent="0.3">
      <c r="A971" s="76"/>
      <c r="B971" s="78" t="s">
        <v>1701</v>
      </c>
      <c r="C971" s="78" t="s">
        <v>1489</v>
      </c>
      <c r="D971" s="78" t="s">
        <v>527</v>
      </c>
      <c r="E971" s="78" t="s">
        <v>1494</v>
      </c>
      <c r="F971" s="78" t="s">
        <v>1495</v>
      </c>
      <c r="G971" s="78" t="s">
        <v>1513</v>
      </c>
      <c r="H971" s="77"/>
      <c r="I971" s="226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9"/>
    </row>
    <row r="972" spans="1:31" x14ac:dyDescent="0.3">
      <c r="A972" s="76"/>
      <c r="B972" s="78" t="s">
        <v>1992</v>
      </c>
      <c r="C972" s="78" t="s">
        <v>1504</v>
      </c>
      <c r="D972" s="78" t="s">
        <v>484</v>
      </c>
      <c r="E972" s="78" t="s">
        <v>1980</v>
      </c>
      <c r="F972" s="78" t="s">
        <v>1989</v>
      </c>
      <c r="G972" s="78" t="s">
        <v>1513</v>
      </c>
      <c r="H972" s="77"/>
      <c r="I972" s="226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9"/>
    </row>
    <row r="973" spans="1:31" x14ac:dyDescent="0.3">
      <c r="A973" s="76"/>
      <c r="B973" s="78" t="s">
        <v>1942</v>
      </c>
      <c r="C973" s="78" t="s">
        <v>1493</v>
      </c>
      <c r="D973" s="78" t="s">
        <v>76</v>
      </c>
      <c r="E973" s="78" t="s">
        <v>1618</v>
      </c>
      <c r="F973" s="78" t="s">
        <v>1564</v>
      </c>
      <c r="G973" s="78" t="s">
        <v>1513</v>
      </c>
      <c r="H973" s="77"/>
      <c r="I973" s="226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9"/>
    </row>
    <row r="974" spans="1:31" x14ac:dyDescent="0.3">
      <c r="A974" s="76"/>
      <c r="B974" s="78" t="s">
        <v>1915</v>
      </c>
      <c r="C974" s="78" t="s">
        <v>1493</v>
      </c>
      <c r="D974" s="78" t="s">
        <v>522</v>
      </c>
      <c r="E974" s="78" t="s">
        <v>1749</v>
      </c>
      <c r="F974" s="78" t="s">
        <v>1916</v>
      </c>
      <c r="G974" s="78" t="s">
        <v>1513</v>
      </c>
      <c r="H974" s="77"/>
      <c r="I974" s="226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9"/>
    </row>
    <row r="975" spans="1:31" x14ac:dyDescent="0.3">
      <c r="A975" s="76"/>
      <c r="B975" s="78" t="s">
        <v>2031</v>
      </c>
      <c r="C975" s="78" t="s">
        <v>1493</v>
      </c>
      <c r="D975" s="78" t="s">
        <v>504</v>
      </c>
      <c r="E975" s="78" t="s">
        <v>1749</v>
      </c>
      <c r="F975" s="78" t="s">
        <v>2032</v>
      </c>
      <c r="G975" s="78" t="s">
        <v>1513</v>
      </c>
      <c r="H975" s="77"/>
      <c r="I975" s="226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9"/>
    </row>
    <row r="976" spans="1:31" x14ac:dyDescent="0.3">
      <c r="A976" s="76"/>
      <c r="B976" s="78" t="s">
        <v>2033</v>
      </c>
      <c r="C976" s="78" t="s">
        <v>1493</v>
      </c>
      <c r="D976" s="78" t="s">
        <v>487</v>
      </c>
      <c r="E976" s="78" t="s">
        <v>1749</v>
      </c>
      <c r="F976" s="78" t="s">
        <v>2028</v>
      </c>
      <c r="G976" s="78" t="s">
        <v>1513</v>
      </c>
      <c r="H976" s="77"/>
      <c r="I976" s="226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9"/>
    </row>
    <row r="977" spans="1:31" x14ac:dyDescent="0.3">
      <c r="A977" s="76"/>
      <c r="B977" s="78" t="s">
        <v>2034</v>
      </c>
      <c r="C977" s="78" t="s">
        <v>1489</v>
      </c>
      <c r="D977" s="78" t="s">
        <v>531</v>
      </c>
      <c r="E977" s="78" t="s">
        <v>1508</v>
      </c>
      <c r="F977" s="78" t="s">
        <v>1718</v>
      </c>
      <c r="G977" s="78" t="s">
        <v>1513</v>
      </c>
      <c r="H977" s="77"/>
      <c r="I977" s="226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9"/>
    </row>
    <row r="978" spans="1:31" ht="15" thickBot="1" x14ac:dyDescent="0.35">
      <c r="A978" s="81"/>
      <c r="B978" s="82" t="s">
        <v>1639</v>
      </c>
      <c r="C978" s="82" t="s">
        <v>1493</v>
      </c>
      <c r="D978" s="82" t="s">
        <v>244</v>
      </c>
      <c r="E978" s="82" t="s">
        <v>1628</v>
      </c>
      <c r="F978" s="82" t="s">
        <v>1565</v>
      </c>
      <c r="G978" s="82" t="s">
        <v>1513</v>
      </c>
      <c r="H978" s="83"/>
      <c r="I978" s="226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4"/>
    </row>
    <row r="979" spans="1:31" x14ac:dyDescent="0.3">
      <c r="A979" s="72" t="s">
        <v>507</v>
      </c>
      <c r="B979" s="73" t="s">
        <v>2035</v>
      </c>
      <c r="C979" s="74" t="s">
        <v>1479</v>
      </c>
      <c r="D979" s="74" t="s">
        <v>508</v>
      </c>
      <c r="E979" s="74" t="s">
        <v>1480</v>
      </c>
      <c r="F979" s="74"/>
      <c r="G979" s="74" t="s">
        <v>1481</v>
      </c>
      <c r="H979" s="73" t="s">
        <v>1641</v>
      </c>
      <c r="I979" s="226"/>
      <c r="J979" s="73" t="s">
        <v>506</v>
      </c>
      <c r="K979" s="73">
        <v>66</v>
      </c>
      <c r="L979" s="73" t="s">
        <v>320</v>
      </c>
      <c r="M979" s="73" t="s">
        <v>1483</v>
      </c>
      <c r="N979" s="73" t="s">
        <v>1483</v>
      </c>
      <c r="O979" s="73" t="s">
        <v>1483</v>
      </c>
      <c r="P979" s="73" t="s">
        <v>1483</v>
      </c>
      <c r="Q979" s="73" t="s">
        <v>1483</v>
      </c>
      <c r="R979" s="73" t="s">
        <v>1483</v>
      </c>
      <c r="S979" s="73" t="s">
        <v>1484</v>
      </c>
      <c r="T979" s="73" t="s">
        <v>1484</v>
      </c>
      <c r="U979" s="73" t="s">
        <v>1484</v>
      </c>
      <c r="V979" s="73" t="s">
        <v>1484</v>
      </c>
      <c r="W979" s="73" t="s">
        <v>1576</v>
      </c>
      <c r="X979" s="73" t="s">
        <v>1484</v>
      </c>
      <c r="Y979" s="73" t="s">
        <v>1484</v>
      </c>
      <c r="Z979" s="73" t="s">
        <v>1484</v>
      </c>
      <c r="AA979" s="73" t="s">
        <v>1485</v>
      </c>
      <c r="AB979" s="73" t="s">
        <v>1484</v>
      </c>
      <c r="AC979" s="73" t="s">
        <v>1486</v>
      </c>
      <c r="AD979" s="73" t="s">
        <v>1960</v>
      </c>
      <c r="AE979" s="75" t="s">
        <v>1644</v>
      </c>
    </row>
    <row r="980" spans="1:31" x14ac:dyDescent="0.3">
      <c r="A980" s="76"/>
      <c r="B980" s="77"/>
      <c r="C980" s="78" t="s">
        <v>1489</v>
      </c>
      <c r="D980" s="78" t="s">
        <v>138</v>
      </c>
      <c r="E980" s="78" t="s">
        <v>1595</v>
      </c>
      <c r="F980" s="78" t="s">
        <v>1546</v>
      </c>
      <c r="G980" s="78" t="s">
        <v>1492</v>
      </c>
      <c r="H980" s="77"/>
      <c r="I980" s="226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9"/>
    </row>
    <row r="981" spans="1:31" x14ac:dyDescent="0.3">
      <c r="A981" s="76"/>
      <c r="B981" s="77"/>
      <c r="C981" s="78" t="s">
        <v>1493</v>
      </c>
      <c r="D981" s="78" t="s">
        <v>509</v>
      </c>
      <c r="E981" s="78" t="s">
        <v>1503</v>
      </c>
      <c r="F981" s="78" t="s">
        <v>1495</v>
      </c>
      <c r="G981" s="78" t="s">
        <v>1492</v>
      </c>
      <c r="H981" s="77"/>
      <c r="I981" s="226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9"/>
    </row>
    <row r="982" spans="1:31" x14ac:dyDescent="0.3">
      <c r="A982" s="76"/>
      <c r="B982" s="77"/>
      <c r="C982" s="78" t="s">
        <v>1496</v>
      </c>
      <c r="D982" s="78" t="s">
        <v>510</v>
      </c>
      <c r="E982" s="78" t="s">
        <v>1620</v>
      </c>
      <c r="F982" s="78" t="s">
        <v>1495</v>
      </c>
      <c r="G982" s="78" t="s">
        <v>1492</v>
      </c>
      <c r="H982" s="77"/>
      <c r="I982" s="226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9"/>
    </row>
    <row r="983" spans="1:31" ht="15" thickBot="1" x14ac:dyDescent="0.35">
      <c r="A983" s="76"/>
      <c r="B983" s="77"/>
      <c r="C983" s="78" t="s">
        <v>1499</v>
      </c>
      <c r="D983" s="78" t="s">
        <v>511</v>
      </c>
      <c r="E983" s="78" t="s">
        <v>1980</v>
      </c>
      <c r="F983" s="78" t="s">
        <v>1772</v>
      </c>
      <c r="G983" s="78" t="s">
        <v>1492</v>
      </c>
      <c r="H983" s="77"/>
      <c r="I983" s="22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9"/>
    </row>
    <row r="984" spans="1:31" x14ac:dyDescent="0.3">
      <c r="A984" s="76"/>
      <c r="B984" s="77"/>
      <c r="C984" s="78" t="s">
        <v>1504</v>
      </c>
      <c r="D984" s="78" t="s">
        <v>439</v>
      </c>
      <c r="E984" s="78" t="s">
        <v>1500</v>
      </c>
      <c r="F984" s="78" t="s">
        <v>1501</v>
      </c>
      <c r="G984" s="78" t="s">
        <v>1492</v>
      </c>
      <c r="H984" s="77"/>
      <c r="I984" s="225">
        <v>44</v>
      </c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9"/>
    </row>
    <row r="985" spans="1:31" x14ac:dyDescent="0.3">
      <c r="A985" s="76"/>
      <c r="B985" s="80"/>
      <c r="C985" s="78" t="s">
        <v>1507</v>
      </c>
      <c r="D985" s="78" t="s">
        <v>493</v>
      </c>
      <c r="E985" s="78" t="s">
        <v>1980</v>
      </c>
      <c r="F985" s="78" t="s">
        <v>1982</v>
      </c>
      <c r="G985" s="78" t="s">
        <v>1492</v>
      </c>
      <c r="H985" s="77"/>
      <c r="I985" s="226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9"/>
    </row>
    <row r="986" spans="1:31" x14ac:dyDescent="0.3">
      <c r="A986" s="76"/>
      <c r="B986" s="78" t="s">
        <v>1985</v>
      </c>
      <c r="C986" s="78" t="s">
        <v>1489</v>
      </c>
      <c r="D986" s="78" t="s">
        <v>512</v>
      </c>
      <c r="E986" s="78" t="s">
        <v>1986</v>
      </c>
      <c r="F986" s="78" t="s">
        <v>1600</v>
      </c>
      <c r="G986" s="78" t="s">
        <v>1513</v>
      </c>
      <c r="H986" s="77"/>
      <c r="I986" s="226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9"/>
    </row>
    <row r="987" spans="1:31" x14ac:dyDescent="0.3">
      <c r="A987" s="76"/>
      <c r="B987" s="78" t="s">
        <v>1751</v>
      </c>
      <c r="C987" s="78" t="s">
        <v>1502</v>
      </c>
      <c r="D987" s="78" t="s">
        <v>509</v>
      </c>
      <c r="E987" s="78" t="s">
        <v>1503</v>
      </c>
      <c r="F987" s="78" t="s">
        <v>1495</v>
      </c>
      <c r="G987" s="78" t="s">
        <v>1513</v>
      </c>
      <c r="H987" s="77"/>
      <c r="I987" s="226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9"/>
    </row>
    <row r="988" spans="1:31" x14ac:dyDescent="0.3">
      <c r="A988" s="76"/>
      <c r="B988" s="78" t="s">
        <v>1752</v>
      </c>
      <c r="C988" s="78" t="s">
        <v>1499</v>
      </c>
      <c r="D988" s="78" t="s">
        <v>510</v>
      </c>
      <c r="E988" s="78" t="s">
        <v>1620</v>
      </c>
      <c r="F988" s="78" t="s">
        <v>1495</v>
      </c>
      <c r="G988" s="78" t="s">
        <v>1513</v>
      </c>
      <c r="H988" s="77"/>
      <c r="I988" s="226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9"/>
    </row>
    <row r="989" spans="1:31" x14ac:dyDescent="0.3">
      <c r="A989" s="76"/>
      <c r="B989" s="78" t="s">
        <v>1914</v>
      </c>
      <c r="C989" s="78" t="s">
        <v>1489</v>
      </c>
      <c r="D989" s="78" t="s">
        <v>439</v>
      </c>
      <c r="E989" s="78" t="s">
        <v>1500</v>
      </c>
      <c r="F989" s="78" t="s">
        <v>1501</v>
      </c>
      <c r="G989" s="78" t="s">
        <v>1513</v>
      </c>
      <c r="H989" s="77"/>
      <c r="I989" s="226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9"/>
    </row>
    <row r="990" spans="1:31" x14ac:dyDescent="0.3">
      <c r="A990" s="76"/>
      <c r="B990" s="78" t="s">
        <v>1627</v>
      </c>
      <c r="C990" s="78" t="s">
        <v>1502</v>
      </c>
      <c r="D990" s="78" t="s">
        <v>268</v>
      </c>
      <c r="E990" s="78" t="s">
        <v>1628</v>
      </c>
      <c r="F990" s="78" t="s">
        <v>1558</v>
      </c>
      <c r="G990" s="78" t="s">
        <v>1513</v>
      </c>
      <c r="H990" s="77"/>
      <c r="I990" s="226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9"/>
    </row>
    <row r="991" spans="1:31" x14ac:dyDescent="0.3">
      <c r="A991" s="76"/>
      <c r="B991" s="78" t="s">
        <v>1987</v>
      </c>
      <c r="C991" s="78" t="s">
        <v>1502</v>
      </c>
      <c r="D991" s="78" t="s">
        <v>493</v>
      </c>
      <c r="E991" s="78" t="s">
        <v>1980</v>
      </c>
      <c r="F991" s="78" t="s">
        <v>1982</v>
      </c>
      <c r="G991" s="78" t="s">
        <v>1513</v>
      </c>
      <c r="H991" s="77"/>
      <c r="I991" s="226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9"/>
    </row>
    <row r="992" spans="1:31" x14ac:dyDescent="0.3">
      <c r="A992" s="76"/>
      <c r="B992" s="78" t="s">
        <v>2036</v>
      </c>
      <c r="C992" s="78" t="s">
        <v>1489</v>
      </c>
      <c r="D992" s="78" t="s">
        <v>511</v>
      </c>
      <c r="E992" s="78" t="s">
        <v>1980</v>
      </c>
      <c r="F992" s="78" t="s">
        <v>1772</v>
      </c>
      <c r="G992" s="78" t="s">
        <v>1513</v>
      </c>
      <c r="H992" s="77"/>
      <c r="I992" s="226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9"/>
    </row>
    <row r="993" spans="1:31" x14ac:dyDescent="0.3">
      <c r="A993" s="76"/>
      <c r="B993" s="78" t="s">
        <v>2037</v>
      </c>
      <c r="C993" s="78" t="s">
        <v>1496</v>
      </c>
      <c r="D993" s="78" t="s">
        <v>138</v>
      </c>
      <c r="E993" s="78" t="s">
        <v>1595</v>
      </c>
      <c r="F993" s="78" t="s">
        <v>1546</v>
      </c>
      <c r="G993" s="78" t="s">
        <v>1513</v>
      </c>
      <c r="H993" s="77"/>
      <c r="I993" s="226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9"/>
    </row>
    <row r="994" spans="1:31" ht="15" thickBot="1" x14ac:dyDescent="0.35">
      <c r="A994" s="81"/>
      <c r="B994" s="82" t="s">
        <v>2025</v>
      </c>
      <c r="C994" s="82" t="s">
        <v>1489</v>
      </c>
      <c r="D994" s="82" t="s">
        <v>513</v>
      </c>
      <c r="E994" s="82" t="s">
        <v>1749</v>
      </c>
      <c r="F994" s="82" t="s">
        <v>2026</v>
      </c>
      <c r="G994" s="82" t="s">
        <v>1513</v>
      </c>
      <c r="H994" s="83"/>
      <c r="I994" s="226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4"/>
    </row>
    <row r="995" spans="1:31" x14ac:dyDescent="0.3">
      <c r="A995" s="72" t="s">
        <v>499</v>
      </c>
      <c r="B995" s="73" t="s">
        <v>2038</v>
      </c>
      <c r="C995" s="74" t="s">
        <v>1479</v>
      </c>
      <c r="D995" s="74" t="s">
        <v>500</v>
      </c>
      <c r="E995" s="74" t="s">
        <v>1480</v>
      </c>
      <c r="F995" s="74"/>
      <c r="G995" s="74" t="s">
        <v>1481</v>
      </c>
      <c r="H995" s="73" t="s">
        <v>1575</v>
      </c>
      <c r="I995" s="226"/>
      <c r="J995" s="73" t="s">
        <v>498</v>
      </c>
      <c r="K995" s="73">
        <v>65</v>
      </c>
      <c r="L995" s="73" t="s">
        <v>320</v>
      </c>
      <c r="M995" s="73" t="s">
        <v>1483</v>
      </c>
      <c r="N995" s="73" t="s">
        <v>1483</v>
      </c>
      <c r="O995" s="73" t="s">
        <v>1483</v>
      </c>
      <c r="P995" s="73" t="s">
        <v>1483</v>
      </c>
      <c r="Q995" s="73" t="s">
        <v>1483</v>
      </c>
      <c r="R995" s="73" t="s">
        <v>1483</v>
      </c>
      <c r="S995" s="73" t="s">
        <v>1484</v>
      </c>
      <c r="T995" s="73" t="s">
        <v>1484</v>
      </c>
      <c r="U995" s="73" t="s">
        <v>1484</v>
      </c>
      <c r="V995" s="73" t="s">
        <v>1484</v>
      </c>
      <c r="W995" s="73" t="s">
        <v>1485</v>
      </c>
      <c r="X995" s="73" t="s">
        <v>1484</v>
      </c>
      <c r="Y995" s="73" t="s">
        <v>1484</v>
      </c>
      <c r="Z995" s="73" t="s">
        <v>1484</v>
      </c>
      <c r="AA995" s="73" t="s">
        <v>1485</v>
      </c>
      <c r="AB995" s="73" t="s">
        <v>1484</v>
      </c>
      <c r="AC995" s="73" t="s">
        <v>1486</v>
      </c>
      <c r="AD995" s="73" t="s">
        <v>1487</v>
      </c>
      <c r="AE995" s="75" t="s">
        <v>1579</v>
      </c>
    </row>
    <row r="996" spans="1:31" x14ac:dyDescent="0.3">
      <c r="A996" s="76"/>
      <c r="B996" s="77"/>
      <c r="C996" s="78" t="s">
        <v>1489</v>
      </c>
      <c r="D996" s="78" t="s">
        <v>104</v>
      </c>
      <c r="E996" s="78" t="s">
        <v>1595</v>
      </c>
      <c r="F996" s="78" t="s">
        <v>1564</v>
      </c>
      <c r="G996" s="78" t="s">
        <v>1492</v>
      </c>
      <c r="H996" s="77"/>
      <c r="I996" s="226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9"/>
    </row>
    <row r="997" spans="1:31" x14ac:dyDescent="0.3">
      <c r="A997" s="76"/>
      <c r="B997" s="77"/>
      <c r="C997" s="78" t="s">
        <v>1496</v>
      </c>
      <c r="D997" s="78" t="s">
        <v>501</v>
      </c>
      <c r="E997" s="78" t="s">
        <v>1986</v>
      </c>
      <c r="F997" s="78" t="s">
        <v>1611</v>
      </c>
      <c r="G997" s="78" t="s">
        <v>1492</v>
      </c>
      <c r="H997" s="77"/>
      <c r="I997" s="226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9"/>
    </row>
    <row r="998" spans="1:31" x14ac:dyDescent="0.3">
      <c r="A998" s="76"/>
      <c r="B998" s="77"/>
      <c r="C998" s="78" t="s">
        <v>1499</v>
      </c>
      <c r="D998" s="78" t="s">
        <v>502</v>
      </c>
      <c r="E998" s="78" t="s">
        <v>1980</v>
      </c>
      <c r="F998" s="78" t="s">
        <v>1782</v>
      </c>
      <c r="G998" s="78" t="s">
        <v>1492</v>
      </c>
      <c r="H998" s="77"/>
      <c r="I998" s="226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9"/>
    </row>
    <row r="999" spans="1:31" ht="15" thickBot="1" x14ac:dyDescent="0.35">
      <c r="A999" s="76"/>
      <c r="B999" s="80"/>
      <c r="C999" s="78" t="s">
        <v>1504</v>
      </c>
      <c r="D999" s="78" t="s">
        <v>503</v>
      </c>
      <c r="E999" s="78" t="s">
        <v>1500</v>
      </c>
      <c r="F999" s="78" t="s">
        <v>1501</v>
      </c>
      <c r="G999" s="78" t="s">
        <v>1492</v>
      </c>
      <c r="H999" s="77"/>
      <c r="I999" s="22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9"/>
    </row>
    <row r="1000" spans="1:31" x14ac:dyDescent="0.3">
      <c r="A1000" s="76"/>
      <c r="B1000" s="78" t="s">
        <v>1684</v>
      </c>
      <c r="C1000" s="78" t="s">
        <v>1489</v>
      </c>
      <c r="D1000" s="78" t="s">
        <v>503</v>
      </c>
      <c r="E1000" s="78" t="s">
        <v>1500</v>
      </c>
      <c r="F1000" s="78" t="s">
        <v>1501</v>
      </c>
      <c r="G1000" s="78" t="s">
        <v>1513</v>
      </c>
      <c r="H1000" s="77"/>
      <c r="I1000" s="225">
        <v>43</v>
      </c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9"/>
    </row>
    <row r="1001" spans="1:31" x14ac:dyDescent="0.3">
      <c r="A1001" s="76"/>
      <c r="B1001" s="78" t="s">
        <v>2039</v>
      </c>
      <c r="C1001" s="78" t="s">
        <v>1493</v>
      </c>
      <c r="D1001" s="78" t="s">
        <v>502</v>
      </c>
      <c r="E1001" s="78" t="s">
        <v>1980</v>
      </c>
      <c r="F1001" s="78" t="s">
        <v>1782</v>
      </c>
      <c r="G1001" s="78" t="s">
        <v>1513</v>
      </c>
      <c r="H1001" s="77"/>
      <c r="I1001" s="226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9"/>
    </row>
    <row r="1002" spans="1:31" x14ac:dyDescent="0.3">
      <c r="A1002" s="76"/>
      <c r="B1002" s="78" t="s">
        <v>2040</v>
      </c>
      <c r="C1002" s="78" t="s">
        <v>1496</v>
      </c>
      <c r="D1002" s="78" t="s">
        <v>104</v>
      </c>
      <c r="E1002" s="78" t="s">
        <v>1595</v>
      </c>
      <c r="F1002" s="78" t="s">
        <v>1564</v>
      </c>
      <c r="G1002" s="78" t="s">
        <v>1513</v>
      </c>
      <c r="H1002" s="77"/>
      <c r="I1002" s="226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9"/>
    </row>
    <row r="1003" spans="1:31" ht="15" thickBot="1" x14ac:dyDescent="0.35">
      <c r="A1003" s="81"/>
      <c r="B1003" s="82" t="s">
        <v>2031</v>
      </c>
      <c r="C1003" s="82" t="s">
        <v>1489</v>
      </c>
      <c r="D1003" s="82" t="s">
        <v>504</v>
      </c>
      <c r="E1003" s="82" t="s">
        <v>1749</v>
      </c>
      <c r="F1003" s="82" t="s">
        <v>2032</v>
      </c>
      <c r="G1003" s="82" t="s">
        <v>1513</v>
      </c>
      <c r="H1003" s="83"/>
      <c r="I1003" s="226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  <c r="AD1003" s="83"/>
      <c r="AE1003" s="84"/>
    </row>
    <row r="1004" spans="1:31" x14ac:dyDescent="0.3">
      <c r="A1004" s="72" t="s">
        <v>629</v>
      </c>
      <c r="B1004" s="73" t="s">
        <v>2041</v>
      </c>
      <c r="C1004" s="74" t="s">
        <v>1479</v>
      </c>
      <c r="D1004" s="74" t="s">
        <v>630</v>
      </c>
      <c r="E1004" s="74" t="s">
        <v>1480</v>
      </c>
      <c r="F1004" s="74"/>
      <c r="G1004" s="74" t="s">
        <v>1481</v>
      </c>
      <c r="H1004" s="73" t="s">
        <v>1575</v>
      </c>
      <c r="I1004" s="226"/>
      <c r="J1004" s="73" t="s">
        <v>628</v>
      </c>
      <c r="K1004" s="73">
        <v>82</v>
      </c>
      <c r="L1004" s="73" t="s">
        <v>320</v>
      </c>
      <c r="M1004" s="73" t="s">
        <v>1483</v>
      </c>
      <c r="N1004" s="73" t="s">
        <v>1483</v>
      </c>
      <c r="O1004" s="73" t="s">
        <v>1483</v>
      </c>
      <c r="P1004" s="73" t="s">
        <v>1483</v>
      </c>
      <c r="Q1004" s="73" t="s">
        <v>1483</v>
      </c>
      <c r="R1004" s="73" t="s">
        <v>1483</v>
      </c>
      <c r="S1004" s="73" t="s">
        <v>1484</v>
      </c>
      <c r="T1004" s="73" t="s">
        <v>1484</v>
      </c>
      <c r="U1004" s="73" t="s">
        <v>1484</v>
      </c>
      <c r="V1004" s="73" t="s">
        <v>1484</v>
      </c>
      <c r="W1004" s="73" t="s">
        <v>1485</v>
      </c>
      <c r="X1004" s="73" t="s">
        <v>1484</v>
      </c>
      <c r="Y1004" s="73" t="s">
        <v>1484</v>
      </c>
      <c r="Z1004" s="73" t="s">
        <v>1484</v>
      </c>
      <c r="AA1004" s="73" t="s">
        <v>1485</v>
      </c>
      <c r="AB1004" s="73" t="s">
        <v>1484</v>
      </c>
      <c r="AC1004" s="73" t="s">
        <v>1486</v>
      </c>
      <c r="AD1004" s="73" t="s">
        <v>1487</v>
      </c>
      <c r="AE1004" s="75" t="s">
        <v>1579</v>
      </c>
    </row>
    <row r="1005" spans="1:31" x14ac:dyDescent="0.3">
      <c r="A1005" s="76"/>
      <c r="B1005" s="77"/>
      <c r="C1005" s="78" t="s">
        <v>1493</v>
      </c>
      <c r="D1005" s="78" t="s">
        <v>171</v>
      </c>
      <c r="E1005" s="78" t="s">
        <v>1500</v>
      </c>
      <c r="F1005" s="78" t="s">
        <v>1501</v>
      </c>
      <c r="G1005" s="78" t="s">
        <v>1492</v>
      </c>
      <c r="H1005" s="77"/>
      <c r="I1005" s="226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9"/>
    </row>
    <row r="1006" spans="1:31" x14ac:dyDescent="0.3">
      <c r="A1006" s="76"/>
      <c r="B1006" s="77"/>
      <c r="C1006" s="78" t="s">
        <v>1496</v>
      </c>
      <c r="D1006" s="78" t="s">
        <v>383</v>
      </c>
      <c r="E1006" s="78" t="s">
        <v>1500</v>
      </c>
      <c r="F1006" s="78" t="s">
        <v>1501</v>
      </c>
      <c r="G1006" s="78" t="s">
        <v>1492</v>
      </c>
      <c r="H1006" s="77"/>
      <c r="I1006" s="226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9"/>
    </row>
    <row r="1007" spans="1:31" x14ac:dyDescent="0.3">
      <c r="A1007" s="76"/>
      <c r="B1007" s="77"/>
      <c r="C1007" s="78" t="s">
        <v>1499</v>
      </c>
      <c r="D1007" s="78" t="s">
        <v>274</v>
      </c>
      <c r="E1007" s="78" t="s">
        <v>1620</v>
      </c>
      <c r="F1007" s="78" t="s">
        <v>1495</v>
      </c>
      <c r="G1007" s="78" t="s">
        <v>1492</v>
      </c>
      <c r="H1007" s="77"/>
      <c r="I1007" s="226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9"/>
    </row>
    <row r="1008" spans="1:31" x14ac:dyDescent="0.3">
      <c r="A1008" s="76"/>
      <c r="B1008" s="77"/>
      <c r="C1008" s="78" t="s">
        <v>1504</v>
      </c>
      <c r="D1008" s="78" t="s">
        <v>631</v>
      </c>
      <c r="E1008" s="78" t="s">
        <v>1773</v>
      </c>
      <c r="F1008" s="78" t="s">
        <v>1498</v>
      </c>
      <c r="G1008" s="78" t="s">
        <v>1492</v>
      </c>
      <c r="H1008" s="77"/>
      <c r="I1008" s="226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9"/>
    </row>
    <row r="1009" spans="1:31" ht="15" thickBot="1" x14ac:dyDescent="0.35">
      <c r="A1009" s="76"/>
      <c r="B1009" s="80"/>
      <c r="C1009" s="78" t="s">
        <v>1507</v>
      </c>
      <c r="D1009" s="78" t="s">
        <v>632</v>
      </c>
      <c r="E1009" s="78" t="s">
        <v>1792</v>
      </c>
      <c r="F1009" s="78" t="s">
        <v>1793</v>
      </c>
      <c r="G1009" s="78" t="s">
        <v>1492</v>
      </c>
      <c r="H1009" s="77"/>
      <c r="I1009" s="22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9"/>
    </row>
    <row r="1010" spans="1:31" x14ac:dyDescent="0.3">
      <c r="A1010" s="76"/>
      <c r="B1010" s="78" t="s">
        <v>1485</v>
      </c>
      <c r="C1010" s="78" t="s">
        <v>1485</v>
      </c>
      <c r="D1010" s="78" t="s">
        <v>633</v>
      </c>
      <c r="E1010" s="78" t="s">
        <v>1534</v>
      </c>
      <c r="F1010" s="78" t="s">
        <v>1535</v>
      </c>
      <c r="G1010" s="78" t="s">
        <v>1513</v>
      </c>
      <c r="H1010" s="77"/>
      <c r="I1010" s="225" t="s">
        <v>1485</v>
      </c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9"/>
    </row>
    <row r="1011" spans="1:31" x14ac:dyDescent="0.3">
      <c r="A1011" s="76"/>
      <c r="B1011" s="78" t="s">
        <v>1763</v>
      </c>
      <c r="C1011" s="78" t="s">
        <v>1496</v>
      </c>
      <c r="D1011" s="78" t="s">
        <v>274</v>
      </c>
      <c r="E1011" s="78" t="s">
        <v>1620</v>
      </c>
      <c r="F1011" s="78" t="s">
        <v>1495</v>
      </c>
      <c r="G1011" s="78" t="s">
        <v>1513</v>
      </c>
      <c r="H1011" s="77"/>
      <c r="I1011" s="226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9"/>
    </row>
    <row r="1012" spans="1:31" x14ac:dyDescent="0.3">
      <c r="A1012" s="76"/>
      <c r="B1012" s="78" t="s">
        <v>1585</v>
      </c>
      <c r="C1012" s="78" t="s">
        <v>1759</v>
      </c>
      <c r="D1012" s="78" t="s">
        <v>171</v>
      </c>
      <c r="E1012" s="78" t="s">
        <v>1500</v>
      </c>
      <c r="F1012" s="78" t="s">
        <v>1501</v>
      </c>
      <c r="G1012" s="78" t="s">
        <v>1513</v>
      </c>
      <c r="H1012" s="77"/>
      <c r="I1012" s="226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9"/>
    </row>
    <row r="1013" spans="1:31" x14ac:dyDescent="0.3">
      <c r="A1013" s="76"/>
      <c r="B1013" s="78" t="s">
        <v>1994</v>
      </c>
      <c r="C1013" s="78" t="s">
        <v>1493</v>
      </c>
      <c r="D1013" s="78" t="s">
        <v>383</v>
      </c>
      <c r="E1013" s="78" t="s">
        <v>1500</v>
      </c>
      <c r="F1013" s="78" t="s">
        <v>1501</v>
      </c>
      <c r="G1013" s="78" t="s">
        <v>1513</v>
      </c>
      <c r="H1013" s="77"/>
      <c r="I1013" s="226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9"/>
    </row>
    <row r="1014" spans="1:31" x14ac:dyDescent="0.3">
      <c r="A1014" s="76"/>
      <c r="B1014" s="78" t="s">
        <v>1693</v>
      </c>
      <c r="C1014" s="78" t="s">
        <v>1499</v>
      </c>
      <c r="D1014" s="78" t="s">
        <v>496</v>
      </c>
      <c r="E1014" s="78" t="s">
        <v>1694</v>
      </c>
      <c r="F1014" s="78" t="s">
        <v>1558</v>
      </c>
      <c r="G1014" s="78" t="s">
        <v>1513</v>
      </c>
      <c r="H1014" s="77"/>
      <c r="I1014" s="226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9"/>
    </row>
    <row r="1015" spans="1:31" ht="15" thickBot="1" x14ac:dyDescent="0.35">
      <c r="A1015" s="81"/>
      <c r="B1015" s="82" t="s">
        <v>2042</v>
      </c>
      <c r="C1015" s="82" t="s">
        <v>1489</v>
      </c>
      <c r="D1015" s="82" t="s">
        <v>632</v>
      </c>
      <c r="E1015" s="82" t="s">
        <v>1792</v>
      </c>
      <c r="F1015" s="82" t="s">
        <v>1793</v>
      </c>
      <c r="G1015" s="82" t="s">
        <v>1513</v>
      </c>
      <c r="H1015" s="83"/>
      <c r="I1015" s="226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  <c r="AB1015" s="83"/>
      <c r="AC1015" s="83"/>
      <c r="AD1015" s="83"/>
      <c r="AE1015" s="84"/>
    </row>
    <row r="1016" spans="1:31" x14ac:dyDescent="0.3">
      <c r="A1016" s="72" t="s">
        <v>645</v>
      </c>
      <c r="B1016" s="73" t="s">
        <v>2043</v>
      </c>
      <c r="C1016" s="74" t="s">
        <v>1479</v>
      </c>
      <c r="D1016" s="74" t="s">
        <v>646</v>
      </c>
      <c r="E1016" s="74" t="s">
        <v>1480</v>
      </c>
      <c r="F1016" s="74"/>
      <c r="G1016" s="74" t="s">
        <v>1481</v>
      </c>
      <c r="H1016" s="73" t="s">
        <v>1575</v>
      </c>
      <c r="I1016" s="226"/>
      <c r="J1016" s="73" t="s">
        <v>644</v>
      </c>
      <c r="K1016" s="73">
        <v>84</v>
      </c>
      <c r="L1016" s="73" t="s">
        <v>320</v>
      </c>
      <c r="M1016" s="73" t="s">
        <v>1483</v>
      </c>
      <c r="N1016" s="73" t="s">
        <v>1483</v>
      </c>
      <c r="O1016" s="73" t="s">
        <v>1483</v>
      </c>
      <c r="P1016" s="73" t="s">
        <v>1483</v>
      </c>
      <c r="Q1016" s="73" t="s">
        <v>1483</v>
      </c>
      <c r="R1016" s="73" t="s">
        <v>1483</v>
      </c>
      <c r="S1016" s="73" t="s">
        <v>1484</v>
      </c>
      <c r="T1016" s="73" t="s">
        <v>1484</v>
      </c>
      <c r="U1016" s="73" t="s">
        <v>1484</v>
      </c>
      <c r="V1016" s="73" t="s">
        <v>1484</v>
      </c>
      <c r="W1016" s="73" t="s">
        <v>1485</v>
      </c>
      <c r="X1016" s="73" t="s">
        <v>1484</v>
      </c>
      <c r="Y1016" s="73" t="s">
        <v>1484</v>
      </c>
      <c r="Z1016" s="73" t="s">
        <v>1484</v>
      </c>
      <c r="AA1016" s="73" t="s">
        <v>1485</v>
      </c>
      <c r="AB1016" s="73" t="s">
        <v>1484</v>
      </c>
      <c r="AC1016" s="73" t="s">
        <v>1486</v>
      </c>
      <c r="AD1016" s="73" t="s">
        <v>1487</v>
      </c>
      <c r="AE1016" s="75" t="s">
        <v>1579</v>
      </c>
    </row>
    <row r="1017" spans="1:31" x14ac:dyDescent="0.3">
      <c r="A1017" s="76"/>
      <c r="B1017" s="77"/>
      <c r="C1017" s="78" t="s">
        <v>1489</v>
      </c>
      <c r="D1017" s="78" t="s">
        <v>647</v>
      </c>
      <c r="E1017" s="78" t="s">
        <v>1881</v>
      </c>
      <c r="F1017" s="78" t="s">
        <v>1565</v>
      </c>
      <c r="G1017" s="78" t="s">
        <v>1492</v>
      </c>
      <c r="H1017" s="77"/>
      <c r="I1017" s="226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9"/>
    </row>
    <row r="1018" spans="1:31" x14ac:dyDescent="0.3">
      <c r="A1018" s="76"/>
      <c r="B1018" s="77"/>
      <c r="C1018" s="78" t="s">
        <v>1496</v>
      </c>
      <c r="D1018" s="78" t="s">
        <v>432</v>
      </c>
      <c r="E1018" s="78" t="s">
        <v>1500</v>
      </c>
      <c r="F1018" s="78" t="s">
        <v>1501</v>
      </c>
      <c r="G1018" s="78" t="s">
        <v>1492</v>
      </c>
      <c r="H1018" s="77"/>
      <c r="I1018" s="226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9"/>
    </row>
    <row r="1019" spans="1:31" x14ac:dyDescent="0.3">
      <c r="A1019" s="76"/>
      <c r="B1019" s="77"/>
      <c r="C1019" s="78" t="s">
        <v>1499</v>
      </c>
      <c r="D1019" s="78" t="s">
        <v>281</v>
      </c>
      <c r="E1019" s="78" t="s">
        <v>1620</v>
      </c>
      <c r="F1019" s="78" t="s">
        <v>1495</v>
      </c>
      <c r="G1019" s="78" t="s">
        <v>1492</v>
      </c>
      <c r="H1019" s="77"/>
      <c r="I1019" s="226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9"/>
    </row>
    <row r="1020" spans="1:31" x14ac:dyDescent="0.3">
      <c r="A1020" s="76"/>
      <c r="B1020" s="77"/>
      <c r="C1020" s="78" t="s">
        <v>1502</v>
      </c>
      <c r="D1020" s="78" t="s">
        <v>139</v>
      </c>
      <c r="E1020" s="78" t="s">
        <v>1618</v>
      </c>
      <c r="F1020" s="78" t="s">
        <v>1528</v>
      </c>
      <c r="G1020" s="78" t="s">
        <v>1492</v>
      </c>
      <c r="H1020" s="77"/>
      <c r="I1020" s="226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9"/>
    </row>
    <row r="1021" spans="1:31" ht="15" thickBot="1" x14ac:dyDescent="0.35">
      <c r="A1021" s="76"/>
      <c r="B1021" s="77"/>
      <c r="C1021" s="78" t="s">
        <v>1504</v>
      </c>
      <c r="D1021" s="78" t="s">
        <v>648</v>
      </c>
      <c r="E1021" s="78" t="s">
        <v>1773</v>
      </c>
      <c r="F1021" s="78" t="s">
        <v>1498</v>
      </c>
      <c r="G1021" s="78" t="s">
        <v>1492</v>
      </c>
      <c r="H1021" s="77"/>
      <c r="I1021" s="22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9"/>
    </row>
    <row r="1022" spans="1:31" x14ac:dyDescent="0.3">
      <c r="A1022" s="76"/>
      <c r="B1022" s="80"/>
      <c r="C1022" s="78" t="s">
        <v>1507</v>
      </c>
      <c r="D1022" s="78" t="s">
        <v>649</v>
      </c>
      <c r="E1022" s="78" t="s">
        <v>1792</v>
      </c>
      <c r="F1022" s="78" t="s">
        <v>1793</v>
      </c>
      <c r="G1022" s="78" t="s">
        <v>1492</v>
      </c>
      <c r="H1022" s="77"/>
      <c r="I1022" s="225" t="s">
        <v>1485</v>
      </c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9"/>
    </row>
    <row r="1023" spans="1:31" x14ac:dyDescent="0.3">
      <c r="A1023" s="76"/>
      <c r="B1023" s="78" t="s">
        <v>1766</v>
      </c>
      <c r="C1023" s="78" t="s">
        <v>1496</v>
      </c>
      <c r="D1023" s="78" t="s">
        <v>281</v>
      </c>
      <c r="E1023" s="78" t="s">
        <v>1620</v>
      </c>
      <c r="F1023" s="78" t="s">
        <v>1495</v>
      </c>
      <c r="G1023" s="78" t="s">
        <v>1513</v>
      </c>
      <c r="H1023" s="77"/>
      <c r="I1023" s="226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9"/>
    </row>
    <row r="1024" spans="1:31" x14ac:dyDescent="0.3">
      <c r="A1024" s="76"/>
      <c r="B1024" s="78" t="s">
        <v>2000</v>
      </c>
      <c r="C1024" s="78" t="s">
        <v>1493</v>
      </c>
      <c r="D1024" s="78" t="s">
        <v>432</v>
      </c>
      <c r="E1024" s="78" t="s">
        <v>1500</v>
      </c>
      <c r="F1024" s="78" t="s">
        <v>1501</v>
      </c>
      <c r="G1024" s="78" t="s">
        <v>1513</v>
      </c>
      <c r="H1024" s="77"/>
      <c r="I1024" s="226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9"/>
    </row>
    <row r="1025" spans="1:31" x14ac:dyDescent="0.3">
      <c r="A1025" s="76"/>
      <c r="B1025" s="78" t="s">
        <v>2005</v>
      </c>
      <c r="C1025" s="78" t="s">
        <v>1493</v>
      </c>
      <c r="D1025" s="78" t="s">
        <v>139</v>
      </c>
      <c r="E1025" s="78" t="s">
        <v>1618</v>
      </c>
      <c r="F1025" s="78" t="s">
        <v>1528</v>
      </c>
      <c r="G1025" s="78" t="s">
        <v>1513</v>
      </c>
      <c r="H1025" s="77"/>
      <c r="I1025" s="226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9"/>
    </row>
    <row r="1026" spans="1:31" x14ac:dyDescent="0.3">
      <c r="A1026" s="76"/>
      <c r="B1026" s="78" t="s">
        <v>2044</v>
      </c>
      <c r="C1026" s="78" t="s">
        <v>1489</v>
      </c>
      <c r="D1026" s="78" t="s">
        <v>649</v>
      </c>
      <c r="E1026" s="78" t="s">
        <v>1792</v>
      </c>
      <c r="F1026" s="78" t="s">
        <v>1793</v>
      </c>
      <c r="G1026" s="78" t="s">
        <v>1513</v>
      </c>
      <c r="H1026" s="77"/>
      <c r="I1026" s="226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9"/>
    </row>
    <row r="1027" spans="1:31" ht="15" thickBot="1" x14ac:dyDescent="0.35">
      <c r="A1027" s="81"/>
      <c r="B1027" s="82" t="s">
        <v>1887</v>
      </c>
      <c r="C1027" s="82" t="s">
        <v>1493</v>
      </c>
      <c r="D1027" s="82" t="s">
        <v>647</v>
      </c>
      <c r="E1027" s="82" t="s">
        <v>1881</v>
      </c>
      <c r="F1027" s="82" t="s">
        <v>1565</v>
      </c>
      <c r="G1027" s="82" t="s">
        <v>1513</v>
      </c>
      <c r="H1027" s="83"/>
      <c r="I1027" s="226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83"/>
      <c r="AD1027" s="83"/>
      <c r="AE1027" s="84"/>
    </row>
    <row r="1028" spans="1:31" x14ac:dyDescent="0.3">
      <c r="A1028" s="72" t="s">
        <v>652</v>
      </c>
      <c r="B1028" s="73" t="s">
        <v>2045</v>
      </c>
      <c r="C1028" s="74" t="s">
        <v>1479</v>
      </c>
      <c r="D1028" s="74" t="s">
        <v>653</v>
      </c>
      <c r="E1028" s="74" t="s">
        <v>1480</v>
      </c>
      <c r="F1028" s="74"/>
      <c r="G1028" s="74" t="s">
        <v>1481</v>
      </c>
      <c r="H1028" s="73" t="s">
        <v>1482</v>
      </c>
      <c r="I1028" s="226"/>
      <c r="J1028" s="73" t="s">
        <v>651</v>
      </c>
      <c r="K1028" s="73">
        <v>85</v>
      </c>
      <c r="L1028" s="73" t="s">
        <v>195</v>
      </c>
      <c r="M1028" s="73" t="s">
        <v>1483</v>
      </c>
      <c r="N1028" s="73" t="s">
        <v>1483</v>
      </c>
      <c r="O1028" s="73" t="s">
        <v>1483</v>
      </c>
      <c r="P1028" s="73" t="s">
        <v>1483</v>
      </c>
      <c r="Q1028" s="73" t="s">
        <v>1483</v>
      </c>
      <c r="R1028" s="73" t="s">
        <v>1483</v>
      </c>
      <c r="S1028" s="73" t="s">
        <v>1484</v>
      </c>
      <c r="T1028" s="73" t="s">
        <v>1484</v>
      </c>
      <c r="U1028" s="73" t="s">
        <v>1484</v>
      </c>
      <c r="V1028" s="73" t="s">
        <v>1484</v>
      </c>
      <c r="W1028" s="73" t="s">
        <v>1485</v>
      </c>
      <c r="X1028" s="73" t="s">
        <v>1484</v>
      </c>
      <c r="Y1028" s="73" t="s">
        <v>1484</v>
      </c>
      <c r="Z1028" s="73" t="s">
        <v>1485</v>
      </c>
      <c r="AA1028" s="73" t="s">
        <v>1485</v>
      </c>
      <c r="AB1028" s="73" t="s">
        <v>1484</v>
      </c>
      <c r="AC1028" s="73" t="s">
        <v>1486</v>
      </c>
      <c r="AD1028" s="73" t="s">
        <v>1487</v>
      </c>
      <c r="AE1028" s="75" t="s">
        <v>1488</v>
      </c>
    </row>
    <row r="1029" spans="1:31" x14ac:dyDescent="0.3">
      <c r="A1029" s="76"/>
      <c r="B1029" s="77"/>
      <c r="C1029" s="78" t="s">
        <v>1496</v>
      </c>
      <c r="D1029" s="78" t="s">
        <v>503</v>
      </c>
      <c r="E1029" s="78" t="s">
        <v>1500</v>
      </c>
      <c r="F1029" s="78" t="s">
        <v>1501</v>
      </c>
      <c r="G1029" s="78" t="s">
        <v>1492</v>
      </c>
      <c r="H1029" s="77"/>
      <c r="I1029" s="226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9"/>
    </row>
    <row r="1030" spans="1:31" x14ac:dyDescent="0.3">
      <c r="A1030" s="76"/>
      <c r="B1030" s="77"/>
      <c r="C1030" s="78" t="s">
        <v>1499</v>
      </c>
      <c r="D1030" s="78" t="s">
        <v>350</v>
      </c>
      <c r="E1030" s="78" t="s">
        <v>1620</v>
      </c>
      <c r="F1030" s="78" t="s">
        <v>1495</v>
      </c>
      <c r="G1030" s="78" t="s">
        <v>1492</v>
      </c>
      <c r="H1030" s="77"/>
      <c r="I1030" s="226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9"/>
    </row>
    <row r="1031" spans="1:31" x14ac:dyDescent="0.3">
      <c r="A1031" s="76"/>
      <c r="B1031" s="77"/>
      <c r="C1031" s="78" t="s">
        <v>1502</v>
      </c>
      <c r="D1031" s="78" t="s">
        <v>597</v>
      </c>
      <c r="E1031" s="78" t="s">
        <v>1548</v>
      </c>
      <c r="F1031" s="78" t="s">
        <v>1791</v>
      </c>
      <c r="G1031" s="78" t="s">
        <v>1492</v>
      </c>
      <c r="H1031" s="77"/>
      <c r="I1031" s="226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9"/>
    </row>
    <row r="1032" spans="1:31" x14ac:dyDescent="0.3">
      <c r="A1032" s="76"/>
      <c r="B1032" s="80"/>
      <c r="C1032" s="78" t="s">
        <v>1504</v>
      </c>
      <c r="D1032" s="78" t="s">
        <v>654</v>
      </c>
      <c r="E1032" s="78" t="s">
        <v>1773</v>
      </c>
      <c r="F1032" s="78" t="s">
        <v>1498</v>
      </c>
      <c r="G1032" s="78" t="s">
        <v>1492</v>
      </c>
      <c r="H1032" s="77"/>
      <c r="I1032" s="226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9"/>
    </row>
    <row r="1033" spans="1:31" ht="15" thickBot="1" x14ac:dyDescent="0.35">
      <c r="A1033" s="76"/>
      <c r="B1033" s="78" t="s">
        <v>1485</v>
      </c>
      <c r="C1033" s="78" t="s">
        <v>1485</v>
      </c>
      <c r="D1033" s="78" t="s">
        <v>655</v>
      </c>
      <c r="E1033" s="78" t="s">
        <v>1534</v>
      </c>
      <c r="F1033" s="78" t="s">
        <v>1535</v>
      </c>
      <c r="G1033" s="78" t="s">
        <v>1513</v>
      </c>
      <c r="H1033" s="77"/>
      <c r="I1033" s="22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9"/>
    </row>
    <row r="1034" spans="1:31" x14ac:dyDescent="0.3">
      <c r="A1034" s="76"/>
      <c r="B1034" s="78" t="s">
        <v>1624</v>
      </c>
      <c r="C1034" s="78" t="s">
        <v>1496</v>
      </c>
      <c r="D1034" s="78" t="s">
        <v>656</v>
      </c>
      <c r="E1034" s="78" t="s">
        <v>1480</v>
      </c>
      <c r="F1034" s="78" t="s">
        <v>1518</v>
      </c>
      <c r="G1034" s="78" t="s">
        <v>1513</v>
      </c>
      <c r="H1034" s="77"/>
      <c r="I1034" s="225" t="s">
        <v>1485</v>
      </c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9"/>
    </row>
    <row r="1035" spans="1:31" x14ac:dyDescent="0.3">
      <c r="A1035" s="76"/>
      <c r="B1035" s="78" t="s">
        <v>1901</v>
      </c>
      <c r="C1035" s="78" t="s">
        <v>1496</v>
      </c>
      <c r="D1035" s="78" t="s">
        <v>350</v>
      </c>
      <c r="E1035" s="78" t="s">
        <v>1620</v>
      </c>
      <c r="F1035" s="78" t="s">
        <v>1495</v>
      </c>
      <c r="G1035" s="78" t="s">
        <v>1513</v>
      </c>
      <c r="H1035" s="77"/>
      <c r="I1035" s="226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9"/>
    </row>
    <row r="1036" spans="1:31" x14ac:dyDescent="0.3">
      <c r="A1036" s="76"/>
      <c r="B1036" s="78" t="s">
        <v>1684</v>
      </c>
      <c r="C1036" s="78" t="s">
        <v>1493</v>
      </c>
      <c r="D1036" s="78" t="s">
        <v>503</v>
      </c>
      <c r="E1036" s="78" t="s">
        <v>1500</v>
      </c>
      <c r="F1036" s="78" t="s">
        <v>1501</v>
      </c>
      <c r="G1036" s="78" t="s">
        <v>1513</v>
      </c>
      <c r="H1036" s="77"/>
      <c r="I1036" s="226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9"/>
    </row>
    <row r="1037" spans="1:31" ht="15" thickBot="1" x14ac:dyDescent="0.35">
      <c r="A1037" s="81"/>
      <c r="B1037" s="82" t="s">
        <v>1880</v>
      </c>
      <c r="C1037" s="82" t="s">
        <v>1499</v>
      </c>
      <c r="D1037" s="82" t="s">
        <v>657</v>
      </c>
      <c r="E1037" s="82" t="s">
        <v>1881</v>
      </c>
      <c r="F1037" s="82" t="s">
        <v>1558</v>
      </c>
      <c r="G1037" s="82" t="s">
        <v>1513</v>
      </c>
      <c r="H1037" s="83"/>
      <c r="I1037" s="226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  <c r="AB1037" s="83"/>
      <c r="AC1037" s="83"/>
      <c r="AD1037" s="83"/>
      <c r="AE1037" s="84"/>
    </row>
    <row r="1038" spans="1:31" x14ac:dyDescent="0.3">
      <c r="A1038" s="72" t="s">
        <v>660</v>
      </c>
      <c r="B1038" s="73" t="s">
        <v>2046</v>
      </c>
      <c r="C1038" s="74" t="s">
        <v>1479</v>
      </c>
      <c r="D1038" s="74" t="s">
        <v>661</v>
      </c>
      <c r="E1038" s="74" t="s">
        <v>1480</v>
      </c>
      <c r="F1038" s="74"/>
      <c r="G1038" s="74" t="s">
        <v>1481</v>
      </c>
      <c r="H1038" s="73" t="s">
        <v>1482</v>
      </c>
      <c r="I1038" s="226"/>
      <c r="J1038" s="73" t="s">
        <v>659</v>
      </c>
      <c r="K1038" s="73">
        <v>86</v>
      </c>
      <c r="L1038" s="73" t="s">
        <v>195</v>
      </c>
      <c r="M1038" s="73" t="s">
        <v>1483</v>
      </c>
      <c r="N1038" s="73" t="s">
        <v>1483</v>
      </c>
      <c r="O1038" s="73" t="s">
        <v>1483</v>
      </c>
      <c r="P1038" s="73" t="s">
        <v>1483</v>
      </c>
      <c r="Q1038" s="73" t="s">
        <v>1483</v>
      </c>
      <c r="R1038" s="73" t="s">
        <v>1483</v>
      </c>
      <c r="S1038" s="73" t="s">
        <v>1484</v>
      </c>
      <c r="T1038" s="73" t="s">
        <v>1484</v>
      </c>
      <c r="U1038" s="73" t="s">
        <v>1484</v>
      </c>
      <c r="V1038" s="73" t="s">
        <v>1484</v>
      </c>
      <c r="W1038" s="73" t="s">
        <v>1485</v>
      </c>
      <c r="X1038" s="73" t="s">
        <v>1484</v>
      </c>
      <c r="Y1038" s="73" t="s">
        <v>1484</v>
      </c>
      <c r="Z1038" s="73" t="s">
        <v>1485</v>
      </c>
      <c r="AA1038" s="73" t="s">
        <v>1485</v>
      </c>
      <c r="AB1038" s="73" t="s">
        <v>1484</v>
      </c>
      <c r="AC1038" s="73" t="s">
        <v>1486</v>
      </c>
      <c r="AD1038" s="73" t="s">
        <v>1487</v>
      </c>
      <c r="AE1038" s="75" t="s">
        <v>1488</v>
      </c>
    </row>
    <row r="1039" spans="1:31" x14ac:dyDescent="0.3">
      <c r="A1039" s="76"/>
      <c r="B1039" s="77"/>
      <c r="C1039" s="78" t="s">
        <v>1496</v>
      </c>
      <c r="D1039" s="78" t="s">
        <v>439</v>
      </c>
      <c r="E1039" s="78" t="s">
        <v>1500</v>
      </c>
      <c r="F1039" s="78" t="s">
        <v>1501</v>
      </c>
      <c r="G1039" s="78" t="s">
        <v>1492</v>
      </c>
      <c r="H1039" s="77"/>
      <c r="I1039" s="226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9"/>
    </row>
    <row r="1040" spans="1:31" x14ac:dyDescent="0.3">
      <c r="A1040" s="76"/>
      <c r="B1040" s="77"/>
      <c r="C1040" s="78" t="s">
        <v>1499</v>
      </c>
      <c r="D1040" s="78" t="s">
        <v>356</v>
      </c>
      <c r="E1040" s="78" t="s">
        <v>1620</v>
      </c>
      <c r="F1040" s="78" t="s">
        <v>1495</v>
      </c>
      <c r="G1040" s="78" t="s">
        <v>1492</v>
      </c>
      <c r="H1040" s="77"/>
      <c r="I1040" s="226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9"/>
    </row>
    <row r="1041" spans="1:31" x14ac:dyDescent="0.3">
      <c r="A1041" s="76"/>
      <c r="B1041" s="77"/>
      <c r="C1041" s="78" t="s">
        <v>1502</v>
      </c>
      <c r="D1041" s="78" t="s">
        <v>547</v>
      </c>
      <c r="E1041" s="78" t="s">
        <v>1548</v>
      </c>
      <c r="F1041" s="78" t="s">
        <v>1791</v>
      </c>
      <c r="G1041" s="78" t="s">
        <v>1492</v>
      </c>
      <c r="H1041" s="77"/>
      <c r="I1041" s="226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9"/>
    </row>
    <row r="1042" spans="1:31" x14ac:dyDescent="0.3">
      <c r="A1042" s="76"/>
      <c r="B1042" s="80"/>
      <c r="C1042" s="78" t="s">
        <v>1504</v>
      </c>
      <c r="D1042" s="78" t="s">
        <v>662</v>
      </c>
      <c r="E1042" s="78" t="s">
        <v>1773</v>
      </c>
      <c r="F1042" s="78" t="s">
        <v>1498</v>
      </c>
      <c r="G1042" s="78" t="s">
        <v>1492</v>
      </c>
      <c r="H1042" s="77"/>
      <c r="I1042" s="226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9"/>
    </row>
    <row r="1043" spans="1:31" ht="15" thickBot="1" x14ac:dyDescent="0.35">
      <c r="A1043" s="76"/>
      <c r="B1043" s="78" t="s">
        <v>1635</v>
      </c>
      <c r="C1043" s="78" t="s">
        <v>1496</v>
      </c>
      <c r="D1043" s="78" t="s">
        <v>663</v>
      </c>
      <c r="E1043" s="78" t="s">
        <v>1480</v>
      </c>
      <c r="F1043" s="78" t="s">
        <v>1518</v>
      </c>
      <c r="G1043" s="78" t="s">
        <v>1513</v>
      </c>
      <c r="H1043" s="77"/>
      <c r="I1043" s="22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9"/>
    </row>
    <row r="1044" spans="1:31" x14ac:dyDescent="0.3">
      <c r="A1044" s="76"/>
      <c r="B1044" s="78" t="s">
        <v>1904</v>
      </c>
      <c r="C1044" s="78" t="s">
        <v>1502</v>
      </c>
      <c r="D1044" s="78" t="s">
        <v>356</v>
      </c>
      <c r="E1044" s="78" t="s">
        <v>1620</v>
      </c>
      <c r="F1044" s="78" t="s">
        <v>1495</v>
      </c>
      <c r="G1044" s="78" t="s">
        <v>1513</v>
      </c>
      <c r="H1044" s="77"/>
      <c r="I1044" s="225" t="s">
        <v>1485</v>
      </c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9"/>
    </row>
    <row r="1045" spans="1:31" ht="15" thickBot="1" x14ac:dyDescent="0.35">
      <c r="A1045" s="81"/>
      <c r="B1045" s="82" t="s">
        <v>1914</v>
      </c>
      <c r="C1045" s="82" t="s">
        <v>1493</v>
      </c>
      <c r="D1045" s="82" t="s">
        <v>439</v>
      </c>
      <c r="E1045" s="82" t="s">
        <v>1500</v>
      </c>
      <c r="F1045" s="82" t="s">
        <v>1501</v>
      </c>
      <c r="G1045" s="82" t="s">
        <v>1513</v>
      </c>
      <c r="H1045" s="83"/>
      <c r="I1045" s="226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83"/>
      <c r="AD1045" s="83"/>
      <c r="AE1045" s="84"/>
    </row>
    <row r="1046" spans="1:31" x14ac:dyDescent="0.3">
      <c r="A1046" s="72" t="s">
        <v>1431</v>
      </c>
      <c r="B1046" s="73" t="s">
        <v>2047</v>
      </c>
      <c r="C1046" s="74" t="s">
        <v>1479</v>
      </c>
      <c r="D1046" s="74" t="s">
        <v>1432</v>
      </c>
      <c r="E1046" s="74" t="s">
        <v>1480</v>
      </c>
      <c r="F1046" s="74"/>
      <c r="G1046" s="74" t="s">
        <v>1481</v>
      </c>
      <c r="H1046" s="73" t="s">
        <v>1482</v>
      </c>
      <c r="I1046" s="226"/>
      <c r="J1046" s="73" t="s">
        <v>1430</v>
      </c>
      <c r="K1046" s="73" t="s">
        <v>1485</v>
      </c>
      <c r="L1046" s="73" t="s">
        <v>195</v>
      </c>
      <c r="M1046" s="73" t="s">
        <v>1483</v>
      </c>
      <c r="N1046" s="73" t="s">
        <v>1483</v>
      </c>
      <c r="O1046" s="73" t="s">
        <v>1483</v>
      </c>
      <c r="P1046" s="73" t="s">
        <v>1483</v>
      </c>
      <c r="Q1046" s="73" t="s">
        <v>1483</v>
      </c>
      <c r="R1046" s="73" t="s">
        <v>1483</v>
      </c>
      <c r="S1046" s="73" t="s">
        <v>1484</v>
      </c>
      <c r="T1046" s="73" t="s">
        <v>1484</v>
      </c>
      <c r="U1046" s="73" t="s">
        <v>1484</v>
      </c>
      <c r="V1046" s="73" t="s">
        <v>1484</v>
      </c>
      <c r="W1046" s="73" t="s">
        <v>1485</v>
      </c>
      <c r="X1046" s="73" t="s">
        <v>1484</v>
      </c>
      <c r="Y1046" s="73" t="s">
        <v>1484</v>
      </c>
      <c r="Z1046" s="73" t="s">
        <v>1485</v>
      </c>
      <c r="AA1046" s="73" t="s">
        <v>1485</v>
      </c>
      <c r="AB1046" s="73" t="s">
        <v>1484</v>
      </c>
      <c r="AC1046" s="73" t="s">
        <v>1486</v>
      </c>
      <c r="AD1046" s="73" t="s">
        <v>1487</v>
      </c>
      <c r="AE1046" s="75" t="s">
        <v>1488</v>
      </c>
    </row>
    <row r="1047" spans="1:31" x14ac:dyDescent="0.3">
      <c r="A1047" s="76"/>
      <c r="B1047" s="80"/>
      <c r="C1047" s="78" t="s">
        <v>1489</v>
      </c>
      <c r="D1047" s="78" t="s">
        <v>606</v>
      </c>
      <c r="E1047" s="78" t="s">
        <v>1494</v>
      </c>
      <c r="F1047" s="78" t="s">
        <v>1495</v>
      </c>
      <c r="G1047" s="78" t="s">
        <v>1492</v>
      </c>
      <c r="H1047" s="77"/>
      <c r="I1047" s="226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9"/>
    </row>
    <row r="1048" spans="1:31" ht="15" thickBot="1" x14ac:dyDescent="0.35">
      <c r="A1048" s="81"/>
      <c r="B1048" s="82" t="s">
        <v>1797</v>
      </c>
      <c r="C1048" s="82" t="s">
        <v>1496</v>
      </c>
      <c r="D1048" s="82" t="s">
        <v>606</v>
      </c>
      <c r="E1048" s="82" t="s">
        <v>1494</v>
      </c>
      <c r="F1048" s="82" t="s">
        <v>1495</v>
      </c>
      <c r="G1048" s="82" t="s">
        <v>1513</v>
      </c>
      <c r="H1048" s="83"/>
      <c r="I1048" s="226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83"/>
      <c r="AD1048" s="83"/>
      <c r="AE1048" s="84"/>
    </row>
    <row r="1049" spans="1:31" x14ac:dyDescent="0.3">
      <c r="A1049" s="72" t="s">
        <v>666</v>
      </c>
      <c r="B1049" s="73" t="s">
        <v>2048</v>
      </c>
      <c r="C1049" s="74" t="s">
        <v>1479</v>
      </c>
      <c r="D1049" s="74" t="s">
        <v>667</v>
      </c>
      <c r="E1049" s="74" t="s">
        <v>1480</v>
      </c>
      <c r="F1049" s="74"/>
      <c r="G1049" s="74" t="s">
        <v>1481</v>
      </c>
      <c r="H1049" s="73" t="s">
        <v>1482</v>
      </c>
      <c r="I1049" s="226"/>
      <c r="J1049" s="73" t="s">
        <v>665</v>
      </c>
      <c r="K1049" s="73">
        <v>87</v>
      </c>
      <c r="L1049" s="73" t="s">
        <v>195</v>
      </c>
      <c r="M1049" s="73" t="s">
        <v>1483</v>
      </c>
      <c r="N1049" s="73" t="s">
        <v>1483</v>
      </c>
      <c r="O1049" s="73" t="s">
        <v>1483</v>
      </c>
      <c r="P1049" s="73" t="s">
        <v>1483</v>
      </c>
      <c r="Q1049" s="73" t="s">
        <v>1483</v>
      </c>
      <c r="R1049" s="73" t="s">
        <v>1483</v>
      </c>
      <c r="S1049" s="73" t="s">
        <v>1484</v>
      </c>
      <c r="T1049" s="73" t="s">
        <v>1484</v>
      </c>
      <c r="U1049" s="73" t="s">
        <v>1484</v>
      </c>
      <c r="V1049" s="73" t="s">
        <v>1484</v>
      </c>
      <c r="W1049" s="73" t="s">
        <v>1485</v>
      </c>
      <c r="X1049" s="73" t="s">
        <v>1484</v>
      </c>
      <c r="Y1049" s="73" t="s">
        <v>1484</v>
      </c>
      <c r="Z1049" s="73" t="s">
        <v>1485</v>
      </c>
      <c r="AA1049" s="73" t="s">
        <v>1485</v>
      </c>
      <c r="AB1049" s="73" t="s">
        <v>1484</v>
      </c>
      <c r="AC1049" s="73" t="s">
        <v>1486</v>
      </c>
      <c r="AD1049" s="73" t="s">
        <v>1487</v>
      </c>
      <c r="AE1049" s="75" t="s">
        <v>1488</v>
      </c>
    </row>
    <row r="1050" spans="1:31" x14ac:dyDescent="0.3">
      <c r="A1050" s="76"/>
      <c r="B1050" s="77"/>
      <c r="C1050" s="78" t="s">
        <v>1496</v>
      </c>
      <c r="D1050" s="78" t="s">
        <v>557</v>
      </c>
      <c r="E1050" s="78" t="s">
        <v>1500</v>
      </c>
      <c r="F1050" s="78" t="s">
        <v>1501</v>
      </c>
      <c r="G1050" s="78" t="s">
        <v>1492</v>
      </c>
      <c r="H1050" s="77"/>
      <c r="I1050" s="226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9"/>
    </row>
    <row r="1051" spans="1:31" ht="15" thickBot="1" x14ac:dyDescent="0.35">
      <c r="A1051" s="76"/>
      <c r="B1051" s="80"/>
      <c r="C1051" s="78" t="s">
        <v>1504</v>
      </c>
      <c r="D1051" s="78" t="s">
        <v>529</v>
      </c>
      <c r="E1051" s="78" t="s">
        <v>1773</v>
      </c>
      <c r="F1051" s="78" t="s">
        <v>1498</v>
      </c>
      <c r="G1051" s="78" t="s">
        <v>1492</v>
      </c>
      <c r="H1051" s="77"/>
      <c r="I1051" s="22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9"/>
    </row>
    <row r="1052" spans="1:31" x14ac:dyDescent="0.3">
      <c r="A1052" s="76"/>
      <c r="B1052" s="78" t="s">
        <v>1485</v>
      </c>
      <c r="C1052" s="78" t="s">
        <v>1485</v>
      </c>
      <c r="D1052" s="78" t="s">
        <v>2049</v>
      </c>
      <c r="E1052" s="78" t="s">
        <v>1534</v>
      </c>
      <c r="F1052" s="78" t="s">
        <v>1535</v>
      </c>
      <c r="G1052" s="78" t="s">
        <v>1513</v>
      </c>
      <c r="H1052" s="77"/>
      <c r="I1052" s="225" t="s">
        <v>1485</v>
      </c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9"/>
    </row>
    <row r="1053" spans="1:31" x14ac:dyDescent="0.3">
      <c r="A1053" s="76"/>
      <c r="B1053" s="78" t="s">
        <v>1485</v>
      </c>
      <c r="C1053" s="78" t="s">
        <v>1485</v>
      </c>
      <c r="D1053" s="78" t="s">
        <v>2050</v>
      </c>
      <c r="E1053" s="78" t="s">
        <v>1709</v>
      </c>
      <c r="F1053" s="78" t="s">
        <v>1512</v>
      </c>
      <c r="G1053" s="78" t="s">
        <v>1513</v>
      </c>
      <c r="H1053" s="77"/>
      <c r="I1053" s="226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9"/>
    </row>
    <row r="1054" spans="1:31" ht="15" thickBot="1" x14ac:dyDescent="0.35">
      <c r="A1054" s="76"/>
      <c r="B1054" s="78" t="s">
        <v>1647</v>
      </c>
      <c r="C1054" s="78" t="s">
        <v>1496</v>
      </c>
      <c r="D1054" s="78" t="s">
        <v>669</v>
      </c>
      <c r="E1054" s="78" t="s">
        <v>1480</v>
      </c>
      <c r="F1054" s="78" t="s">
        <v>1518</v>
      </c>
      <c r="G1054" s="78" t="s">
        <v>1513</v>
      </c>
      <c r="H1054" s="77"/>
      <c r="I1054" s="22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9"/>
    </row>
    <row r="1055" spans="1:31" ht="15" thickBot="1" x14ac:dyDescent="0.35">
      <c r="A1055" s="81"/>
      <c r="B1055" s="82" t="s">
        <v>2021</v>
      </c>
      <c r="C1055" s="82" t="s">
        <v>1493</v>
      </c>
      <c r="D1055" s="82" t="s">
        <v>557</v>
      </c>
      <c r="E1055" s="82" t="s">
        <v>1500</v>
      </c>
      <c r="F1055" s="82" t="s">
        <v>1501</v>
      </c>
      <c r="G1055" s="82" t="s">
        <v>1513</v>
      </c>
      <c r="H1055" s="83"/>
      <c r="I1055" s="225" t="s">
        <v>1485</v>
      </c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  <c r="AD1055" s="83"/>
      <c r="AE1055" s="84"/>
    </row>
    <row r="1056" spans="1:31" x14ac:dyDescent="0.3">
      <c r="A1056" s="72" t="s">
        <v>672</v>
      </c>
      <c r="B1056" s="73" t="s">
        <v>2051</v>
      </c>
      <c r="C1056" s="74" t="s">
        <v>1479</v>
      </c>
      <c r="D1056" s="74" t="s">
        <v>673</v>
      </c>
      <c r="E1056" s="74" t="s">
        <v>1480</v>
      </c>
      <c r="F1056" s="74"/>
      <c r="G1056" s="74" t="s">
        <v>1481</v>
      </c>
      <c r="H1056" s="73" t="s">
        <v>1482</v>
      </c>
      <c r="I1056" s="226"/>
      <c r="J1056" s="73" t="s">
        <v>671</v>
      </c>
      <c r="K1056" s="73">
        <v>88</v>
      </c>
      <c r="L1056" s="73" t="s">
        <v>195</v>
      </c>
      <c r="M1056" s="73" t="s">
        <v>1483</v>
      </c>
      <c r="N1056" s="73" t="s">
        <v>1483</v>
      </c>
      <c r="O1056" s="73" t="s">
        <v>1483</v>
      </c>
      <c r="P1056" s="73" t="s">
        <v>1483</v>
      </c>
      <c r="Q1056" s="73" t="s">
        <v>1483</v>
      </c>
      <c r="R1056" s="73" t="s">
        <v>1483</v>
      </c>
      <c r="S1056" s="73" t="s">
        <v>1484</v>
      </c>
      <c r="T1056" s="73" t="s">
        <v>1484</v>
      </c>
      <c r="U1056" s="73" t="s">
        <v>1484</v>
      </c>
      <c r="V1056" s="73" t="s">
        <v>1484</v>
      </c>
      <c r="W1056" s="73" t="s">
        <v>1485</v>
      </c>
      <c r="X1056" s="73" t="s">
        <v>1484</v>
      </c>
      <c r="Y1056" s="73" t="s">
        <v>1484</v>
      </c>
      <c r="Z1056" s="73" t="s">
        <v>1485</v>
      </c>
      <c r="AA1056" s="73" t="s">
        <v>1485</v>
      </c>
      <c r="AB1056" s="73" t="s">
        <v>1484</v>
      </c>
      <c r="AC1056" s="73" t="s">
        <v>1486</v>
      </c>
      <c r="AD1056" s="73" t="s">
        <v>1487</v>
      </c>
      <c r="AE1056" s="75" t="s">
        <v>1488</v>
      </c>
    </row>
    <row r="1057" spans="1:31" x14ac:dyDescent="0.3">
      <c r="A1057" s="76"/>
      <c r="B1057" s="77"/>
      <c r="C1057" s="78" t="s">
        <v>1489</v>
      </c>
      <c r="D1057" s="78" t="s">
        <v>170</v>
      </c>
      <c r="E1057" s="78" t="s">
        <v>2052</v>
      </c>
      <c r="F1057" s="78" t="s">
        <v>1565</v>
      </c>
      <c r="G1057" s="78" t="s">
        <v>1492</v>
      </c>
      <c r="H1057" s="77"/>
      <c r="I1057" s="226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9"/>
    </row>
    <row r="1058" spans="1:31" x14ac:dyDescent="0.3">
      <c r="A1058" s="76"/>
      <c r="B1058" s="77"/>
      <c r="C1058" s="78" t="s">
        <v>1493</v>
      </c>
      <c r="D1058" s="78" t="s">
        <v>25</v>
      </c>
      <c r="E1058" s="78" t="s">
        <v>1503</v>
      </c>
      <c r="F1058" s="78" t="s">
        <v>1495</v>
      </c>
      <c r="G1058" s="78" t="s">
        <v>1492</v>
      </c>
      <c r="H1058" s="77"/>
      <c r="I1058" s="226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9"/>
    </row>
    <row r="1059" spans="1:31" x14ac:dyDescent="0.3">
      <c r="A1059" s="76"/>
      <c r="B1059" s="77"/>
      <c r="C1059" s="78" t="s">
        <v>1496</v>
      </c>
      <c r="D1059" s="78" t="s">
        <v>584</v>
      </c>
      <c r="E1059" s="78" t="s">
        <v>1500</v>
      </c>
      <c r="F1059" s="78" t="s">
        <v>1501</v>
      </c>
      <c r="G1059" s="78" t="s">
        <v>1492</v>
      </c>
      <c r="H1059" s="77"/>
      <c r="I1059" s="226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9"/>
    </row>
    <row r="1060" spans="1:31" x14ac:dyDescent="0.3">
      <c r="A1060" s="76"/>
      <c r="B1060" s="77"/>
      <c r="C1060" s="78" t="s">
        <v>1499</v>
      </c>
      <c r="D1060" s="78" t="s">
        <v>29</v>
      </c>
      <c r="E1060" s="78" t="s">
        <v>1620</v>
      </c>
      <c r="F1060" s="78" t="s">
        <v>1495</v>
      </c>
      <c r="G1060" s="78" t="s">
        <v>1492</v>
      </c>
      <c r="H1060" s="77"/>
      <c r="I1060" s="226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9"/>
    </row>
    <row r="1061" spans="1:31" ht="15" thickBot="1" x14ac:dyDescent="0.35">
      <c r="A1061" s="76"/>
      <c r="B1061" s="77"/>
      <c r="C1061" s="78" t="s">
        <v>1504</v>
      </c>
      <c r="D1061" s="78" t="s">
        <v>556</v>
      </c>
      <c r="E1061" s="78" t="s">
        <v>1773</v>
      </c>
      <c r="F1061" s="78" t="s">
        <v>1498</v>
      </c>
      <c r="G1061" s="78" t="s">
        <v>1492</v>
      </c>
      <c r="H1061" s="77"/>
      <c r="I1061" s="22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9"/>
    </row>
    <row r="1062" spans="1:31" x14ac:dyDescent="0.3">
      <c r="A1062" s="76"/>
      <c r="B1062" s="80"/>
      <c r="C1062" s="78" t="s">
        <v>1507</v>
      </c>
      <c r="D1062" s="78" t="s">
        <v>674</v>
      </c>
      <c r="E1062" s="78" t="s">
        <v>1508</v>
      </c>
      <c r="F1062" s="78" t="s">
        <v>1509</v>
      </c>
      <c r="G1062" s="78" t="s">
        <v>1492</v>
      </c>
      <c r="H1062" s="77"/>
      <c r="I1062" s="225" t="s">
        <v>1485</v>
      </c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9"/>
    </row>
    <row r="1063" spans="1:31" x14ac:dyDescent="0.3">
      <c r="A1063" s="76"/>
      <c r="B1063" s="78" t="s">
        <v>1485</v>
      </c>
      <c r="C1063" s="78" t="s">
        <v>1485</v>
      </c>
      <c r="D1063" s="78" t="s">
        <v>2053</v>
      </c>
      <c r="E1063" s="78" t="s">
        <v>1709</v>
      </c>
      <c r="F1063" s="78" t="s">
        <v>1512</v>
      </c>
      <c r="G1063" s="78" t="s">
        <v>1513</v>
      </c>
      <c r="H1063" s="77"/>
      <c r="I1063" s="226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9"/>
    </row>
    <row r="1064" spans="1:31" x14ac:dyDescent="0.3">
      <c r="A1064" s="76"/>
      <c r="B1064" s="78" t="s">
        <v>1485</v>
      </c>
      <c r="C1064" s="78" t="s">
        <v>1485</v>
      </c>
      <c r="D1064" s="78" t="s">
        <v>2054</v>
      </c>
      <c r="E1064" s="78" t="s">
        <v>1534</v>
      </c>
      <c r="F1064" s="78" t="s">
        <v>1535</v>
      </c>
      <c r="G1064" s="78" t="s">
        <v>1513</v>
      </c>
      <c r="H1064" s="77"/>
      <c r="I1064" s="226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9"/>
    </row>
    <row r="1065" spans="1:31" x14ac:dyDescent="0.3">
      <c r="A1065" s="76"/>
      <c r="B1065" s="78" t="s">
        <v>1653</v>
      </c>
      <c r="C1065" s="78" t="s">
        <v>1496</v>
      </c>
      <c r="D1065" s="78" t="s">
        <v>676</v>
      </c>
      <c r="E1065" s="78" t="s">
        <v>1480</v>
      </c>
      <c r="F1065" s="78" t="s">
        <v>1518</v>
      </c>
      <c r="G1065" s="78" t="s">
        <v>1513</v>
      </c>
      <c r="H1065" s="77"/>
      <c r="I1065" s="226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9"/>
    </row>
    <row r="1066" spans="1:31" x14ac:dyDescent="0.3">
      <c r="A1066" s="76"/>
      <c r="B1066" s="78" t="s">
        <v>1520</v>
      </c>
      <c r="C1066" s="78" t="s">
        <v>1499</v>
      </c>
      <c r="D1066" s="78" t="s">
        <v>25</v>
      </c>
      <c r="E1066" s="78" t="s">
        <v>1503</v>
      </c>
      <c r="F1066" s="78" t="s">
        <v>1495</v>
      </c>
      <c r="G1066" s="78" t="s">
        <v>1513</v>
      </c>
      <c r="H1066" s="77"/>
      <c r="I1066" s="226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9"/>
    </row>
    <row r="1067" spans="1:31" x14ac:dyDescent="0.3">
      <c r="A1067" s="76"/>
      <c r="B1067" s="78" t="s">
        <v>1715</v>
      </c>
      <c r="C1067" s="78" t="s">
        <v>1502</v>
      </c>
      <c r="D1067" s="78" t="s">
        <v>29</v>
      </c>
      <c r="E1067" s="78" t="s">
        <v>1620</v>
      </c>
      <c r="F1067" s="78" t="s">
        <v>1495</v>
      </c>
      <c r="G1067" s="78" t="s">
        <v>1513</v>
      </c>
      <c r="H1067" s="77"/>
      <c r="I1067" s="226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9"/>
    </row>
    <row r="1068" spans="1:31" x14ac:dyDescent="0.3">
      <c r="A1068" s="76"/>
      <c r="B1068" s="78" t="s">
        <v>1806</v>
      </c>
      <c r="C1068" s="78" t="s">
        <v>1493</v>
      </c>
      <c r="D1068" s="78" t="s">
        <v>584</v>
      </c>
      <c r="E1068" s="78" t="s">
        <v>1500</v>
      </c>
      <c r="F1068" s="78" t="s">
        <v>1501</v>
      </c>
      <c r="G1068" s="78" t="s">
        <v>1513</v>
      </c>
      <c r="H1068" s="77"/>
      <c r="I1068" s="226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9"/>
    </row>
    <row r="1069" spans="1:31" ht="15" thickBot="1" x14ac:dyDescent="0.35">
      <c r="A1069" s="81"/>
      <c r="B1069" s="82" t="s">
        <v>2055</v>
      </c>
      <c r="C1069" s="82" t="s">
        <v>1489</v>
      </c>
      <c r="D1069" s="82" t="s">
        <v>170</v>
      </c>
      <c r="E1069" s="82" t="s">
        <v>2052</v>
      </c>
      <c r="F1069" s="82" t="s">
        <v>1565</v>
      </c>
      <c r="G1069" s="82" t="s">
        <v>1513</v>
      </c>
      <c r="H1069" s="83"/>
      <c r="I1069" s="226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  <c r="AD1069" s="83"/>
      <c r="AE1069" s="84"/>
    </row>
    <row r="1070" spans="1:31" x14ac:dyDescent="0.3">
      <c r="A1070" s="72" t="s">
        <v>679</v>
      </c>
      <c r="B1070" s="73" t="s">
        <v>2056</v>
      </c>
      <c r="C1070" s="74" t="s">
        <v>1479</v>
      </c>
      <c r="D1070" s="74" t="s">
        <v>680</v>
      </c>
      <c r="E1070" s="74" t="s">
        <v>1480</v>
      </c>
      <c r="F1070" s="74"/>
      <c r="G1070" s="74" t="s">
        <v>1481</v>
      </c>
      <c r="H1070" s="73" t="s">
        <v>1482</v>
      </c>
      <c r="I1070" s="226"/>
      <c r="J1070" s="73" t="s">
        <v>678</v>
      </c>
      <c r="K1070" s="73">
        <v>89</v>
      </c>
      <c r="L1070" s="73" t="s">
        <v>195</v>
      </c>
      <c r="M1070" s="73" t="s">
        <v>1483</v>
      </c>
      <c r="N1070" s="73" t="s">
        <v>1483</v>
      </c>
      <c r="O1070" s="73" t="s">
        <v>1483</v>
      </c>
      <c r="P1070" s="73" t="s">
        <v>1483</v>
      </c>
      <c r="Q1070" s="73" t="s">
        <v>1483</v>
      </c>
      <c r="R1070" s="73" t="s">
        <v>1483</v>
      </c>
      <c r="S1070" s="73" t="s">
        <v>1484</v>
      </c>
      <c r="T1070" s="73" t="s">
        <v>1484</v>
      </c>
      <c r="U1070" s="73" t="s">
        <v>1484</v>
      </c>
      <c r="V1070" s="73" t="s">
        <v>1484</v>
      </c>
      <c r="W1070" s="73" t="s">
        <v>1485</v>
      </c>
      <c r="X1070" s="73" t="s">
        <v>1484</v>
      </c>
      <c r="Y1070" s="73" t="s">
        <v>1484</v>
      </c>
      <c r="Z1070" s="73" t="s">
        <v>1485</v>
      </c>
      <c r="AA1070" s="73" t="s">
        <v>1485</v>
      </c>
      <c r="AB1070" s="73" t="s">
        <v>1484</v>
      </c>
      <c r="AC1070" s="73" t="s">
        <v>1486</v>
      </c>
      <c r="AD1070" s="73" t="s">
        <v>1487</v>
      </c>
      <c r="AE1070" s="75" t="s">
        <v>1488</v>
      </c>
    </row>
    <row r="1071" spans="1:31" x14ac:dyDescent="0.3">
      <c r="A1071" s="76"/>
      <c r="B1071" s="77"/>
      <c r="C1071" s="78" t="s">
        <v>1493</v>
      </c>
      <c r="D1071" s="78" t="s">
        <v>39</v>
      </c>
      <c r="E1071" s="78" t="s">
        <v>1503</v>
      </c>
      <c r="F1071" s="78" t="s">
        <v>1495</v>
      </c>
      <c r="G1071" s="78" t="s">
        <v>1492</v>
      </c>
      <c r="H1071" s="77"/>
      <c r="I1071" s="226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9"/>
    </row>
    <row r="1072" spans="1:31" x14ac:dyDescent="0.3">
      <c r="A1072" s="76"/>
      <c r="B1072" s="77"/>
      <c r="C1072" s="78" t="s">
        <v>1496</v>
      </c>
      <c r="D1072" s="78" t="s">
        <v>609</v>
      </c>
      <c r="E1072" s="78" t="s">
        <v>1500</v>
      </c>
      <c r="F1072" s="78" t="s">
        <v>1501</v>
      </c>
      <c r="G1072" s="78" t="s">
        <v>1492</v>
      </c>
      <c r="H1072" s="77"/>
      <c r="I1072" s="226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9"/>
    </row>
    <row r="1073" spans="1:31" x14ac:dyDescent="0.3">
      <c r="A1073" s="76"/>
      <c r="B1073" s="77"/>
      <c r="C1073" s="78" t="s">
        <v>1499</v>
      </c>
      <c r="D1073" s="78" t="s">
        <v>41</v>
      </c>
      <c r="E1073" s="78" t="s">
        <v>1620</v>
      </c>
      <c r="F1073" s="78" t="s">
        <v>1495</v>
      </c>
      <c r="G1073" s="78" t="s">
        <v>1492</v>
      </c>
      <c r="H1073" s="77"/>
      <c r="I1073" s="226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9"/>
    </row>
    <row r="1074" spans="1:31" x14ac:dyDescent="0.3">
      <c r="A1074" s="76"/>
      <c r="B1074" s="77"/>
      <c r="C1074" s="78" t="s">
        <v>1502</v>
      </c>
      <c r="D1074" s="78" t="s">
        <v>681</v>
      </c>
      <c r="E1074" s="78" t="s">
        <v>1490</v>
      </c>
      <c r="F1074" s="78" t="s">
        <v>1528</v>
      </c>
      <c r="G1074" s="78" t="s">
        <v>1492</v>
      </c>
      <c r="H1074" s="77"/>
      <c r="I1074" s="226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9"/>
    </row>
    <row r="1075" spans="1:31" ht="15" thickBot="1" x14ac:dyDescent="0.35">
      <c r="A1075" s="76"/>
      <c r="B1075" s="80"/>
      <c r="C1075" s="78" t="s">
        <v>1504</v>
      </c>
      <c r="D1075" s="78" t="s">
        <v>583</v>
      </c>
      <c r="E1075" s="78" t="s">
        <v>1773</v>
      </c>
      <c r="F1075" s="78" t="s">
        <v>1498</v>
      </c>
      <c r="G1075" s="78" t="s">
        <v>1492</v>
      </c>
      <c r="H1075" s="77"/>
      <c r="I1075" s="227"/>
      <c r="J1075" s="77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9"/>
    </row>
    <row r="1076" spans="1:31" x14ac:dyDescent="0.3">
      <c r="A1076" s="76"/>
      <c r="B1076" s="78" t="s">
        <v>1485</v>
      </c>
      <c r="C1076" s="78" t="s">
        <v>1485</v>
      </c>
      <c r="D1076" s="78" t="s">
        <v>2057</v>
      </c>
      <c r="E1076" s="78" t="s">
        <v>1511</v>
      </c>
      <c r="F1076" s="78" t="s">
        <v>1512</v>
      </c>
      <c r="G1076" s="78" t="s">
        <v>1513</v>
      </c>
      <c r="H1076" s="77"/>
      <c r="I1076" s="225" t="s">
        <v>1485</v>
      </c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9"/>
    </row>
    <row r="1077" spans="1:31" x14ac:dyDescent="0.3">
      <c r="A1077" s="76"/>
      <c r="B1077" s="78" t="s">
        <v>1485</v>
      </c>
      <c r="C1077" s="78" t="s">
        <v>1485</v>
      </c>
      <c r="D1077" s="78" t="s">
        <v>2058</v>
      </c>
      <c r="E1077" s="78" t="s">
        <v>1534</v>
      </c>
      <c r="F1077" s="78" t="s">
        <v>1535</v>
      </c>
      <c r="G1077" s="78" t="s">
        <v>1513</v>
      </c>
      <c r="H1077" s="77"/>
      <c r="I1077" s="226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9"/>
    </row>
    <row r="1078" spans="1:31" x14ac:dyDescent="0.3">
      <c r="A1078" s="76"/>
      <c r="B1078" s="78" t="s">
        <v>1663</v>
      </c>
      <c r="C1078" s="78" t="s">
        <v>1496</v>
      </c>
      <c r="D1078" s="78" t="s">
        <v>641</v>
      </c>
      <c r="E1078" s="78" t="s">
        <v>1480</v>
      </c>
      <c r="F1078" s="78" t="s">
        <v>1518</v>
      </c>
      <c r="G1078" s="78" t="s">
        <v>1513</v>
      </c>
      <c r="H1078" s="77"/>
      <c r="I1078" s="226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9"/>
    </row>
    <row r="1079" spans="1:31" x14ac:dyDescent="0.3">
      <c r="A1079" s="76"/>
      <c r="B1079" s="78" t="s">
        <v>1655</v>
      </c>
      <c r="C1079" s="78" t="s">
        <v>1499</v>
      </c>
      <c r="D1079" s="78" t="s">
        <v>39</v>
      </c>
      <c r="E1079" s="78" t="s">
        <v>1503</v>
      </c>
      <c r="F1079" s="78" t="s">
        <v>1495</v>
      </c>
      <c r="G1079" s="78" t="s">
        <v>1513</v>
      </c>
      <c r="H1079" s="77"/>
      <c r="I1079" s="226"/>
      <c r="J1079" s="77"/>
      <c r="K1079" s="77"/>
      <c r="L1079" s="77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9"/>
    </row>
    <row r="1080" spans="1:31" x14ac:dyDescent="0.3">
      <c r="A1080" s="76"/>
      <c r="B1080" s="78" t="s">
        <v>1721</v>
      </c>
      <c r="C1080" s="78" t="s">
        <v>1496</v>
      </c>
      <c r="D1080" s="78" t="s">
        <v>41</v>
      </c>
      <c r="E1080" s="78" t="s">
        <v>1620</v>
      </c>
      <c r="F1080" s="78" t="s">
        <v>1495</v>
      </c>
      <c r="G1080" s="78" t="s">
        <v>1513</v>
      </c>
      <c r="H1080" s="77"/>
      <c r="I1080" s="226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9"/>
    </row>
    <row r="1081" spans="1:31" x14ac:dyDescent="0.3">
      <c r="A1081" s="76"/>
      <c r="B1081" s="78" t="s">
        <v>1798</v>
      </c>
      <c r="C1081" s="78" t="s">
        <v>1493</v>
      </c>
      <c r="D1081" s="78" t="s">
        <v>609</v>
      </c>
      <c r="E1081" s="78" t="s">
        <v>1500</v>
      </c>
      <c r="F1081" s="78" t="s">
        <v>1501</v>
      </c>
      <c r="G1081" s="78" t="s">
        <v>1513</v>
      </c>
      <c r="H1081" s="77"/>
      <c r="I1081" s="226"/>
      <c r="J1081" s="77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9"/>
    </row>
    <row r="1082" spans="1:31" x14ac:dyDescent="0.3">
      <c r="A1082" s="76"/>
      <c r="B1082" s="78" t="s">
        <v>2059</v>
      </c>
      <c r="C1082" s="78" t="s">
        <v>1493</v>
      </c>
      <c r="D1082" s="78" t="s">
        <v>161</v>
      </c>
      <c r="E1082" s="78" t="s">
        <v>2052</v>
      </c>
      <c r="F1082" s="78" t="s">
        <v>1558</v>
      </c>
      <c r="G1082" s="78" t="s">
        <v>1513</v>
      </c>
      <c r="H1082" s="77"/>
      <c r="I1082" s="226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9"/>
    </row>
    <row r="1083" spans="1:31" ht="15" thickBot="1" x14ac:dyDescent="0.35">
      <c r="A1083" s="81"/>
      <c r="B1083" s="82" t="s">
        <v>1540</v>
      </c>
      <c r="C1083" s="82" t="s">
        <v>1499</v>
      </c>
      <c r="D1083" s="82" t="s">
        <v>681</v>
      </c>
      <c r="E1083" s="82" t="s">
        <v>1490</v>
      </c>
      <c r="F1083" s="82" t="s">
        <v>1528</v>
      </c>
      <c r="G1083" s="82" t="s">
        <v>1513</v>
      </c>
      <c r="H1083" s="83"/>
      <c r="I1083" s="226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  <c r="AA1083" s="83"/>
      <c r="AB1083" s="83"/>
      <c r="AC1083" s="83"/>
      <c r="AD1083" s="83"/>
      <c r="AE1083" s="84"/>
    </row>
    <row r="1084" spans="1:31" x14ac:dyDescent="0.3">
      <c r="A1084" s="72" t="s">
        <v>693</v>
      </c>
      <c r="B1084" s="73" t="s">
        <v>2060</v>
      </c>
      <c r="C1084" s="74" t="s">
        <v>1479</v>
      </c>
      <c r="D1084" s="74" t="s">
        <v>694</v>
      </c>
      <c r="E1084" s="74" t="s">
        <v>1480</v>
      </c>
      <c r="F1084" s="74"/>
      <c r="G1084" s="74" t="s">
        <v>1481</v>
      </c>
      <c r="H1084" s="73" t="s">
        <v>1482</v>
      </c>
      <c r="I1084" s="226"/>
      <c r="J1084" s="73" t="s">
        <v>692</v>
      </c>
      <c r="K1084" s="73">
        <v>91</v>
      </c>
      <c r="L1084" s="73" t="s">
        <v>195</v>
      </c>
      <c r="M1084" s="73" t="s">
        <v>1483</v>
      </c>
      <c r="N1084" s="73" t="s">
        <v>1483</v>
      </c>
      <c r="O1084" s="73" t="s">
        <v>1483</v>
      </c>
      <c r="P1084" s="73" t="s">
        <v>1483</v>
      </c>
      <c r="Q1084" s="73" t="s">
        <v>1483</v>
      </c>
      <c r="R1084" s="73" t="s">
        <v>1483</v>
      </c>
      <c r="S1084" s="73" t="s">
        <v>1484</v>
      </c>
      <c r="T1084" s="73" t="s">
        <v>1484</v>
      </c>
      <c r="U1084" s="73" t="s">
        <v>1484</v>
      </c>
      <c r="V1084" s="73" t="s">
        <v>1484</v>
      </c>
      <c r="W1084" s="73" t="s">
        <v>1485</v>
      </c>
      <c r="X1084" s="73" t="s">
        <v>1484</v>
      </c>
      <c r="Y1084" s="73" t="s">
        <v>1484</v>
      </c>
      <c r="Z1084" s="73" t="s">
        <v>1485</v>
      </c>
      <c r="AA1084" s="73" t="s">
        <v>1485</v>
      </c>
      <c r="AB1084" s="73" t="s">
        <v>1484</v>
      </c>
      <c r="AC1084" s="73" t="s">
        <v>1486</v>
      </c>
      <c r="AD1084" s="73" t="s">
        <v>1487</v>
      </c>
      <c r="AE1084" s="75" t="s">
        <v>1488</v>
      </c>
    </row>
    <row r="1085" spans="1:31" x14ac:dyDescent="0.3">
      <c r="A1085" s="76"/>
      <c r="B1085" s="77"/>
      <c r="C1085" s="78" t="s">
        <v>1489</v>
      </c>
      <c r="D1085" s="78" t="s">
        <v>349</v>
      </c>
      <c r="E1085" s="78" t="s">
        <v>1900</v>
      </c>
      <c r="F1085" s="78" t="s">
        <v>1565</v>
      </c>
      <c r="G1085" s="78" t="s">
        <v>1492</v>
      </c>
      <c r="H1085" s="77"/>
      <c r="I1085" s="226"/>
      <c r="J1085" s="77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9"/>
    </row>
    <row r="1086" spans="1:31" x14ac:dyDescent="0.3">
      <c r="A1086" s="76"/>
      <c r="B1086" s="77"/>
      <c r="C1086" s="78" t="s">
        <v>1493</v>
      </c>
      <c r="D1086" s="78" t="s">
        <v>91</v>
      </c>
      <c r="E1086" s="78" t="s">
        <v>1503</v>
      </c>
      <c r="F1086" s="78" t="s">
        <v>1495</v>
      </c>
      <c r="G1086" s="78" t="s">
        <v>1492</v>
      </c>
      <c r="H1086" s="77"/>
      <c r="I1086" s="226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9"/>
    </row>
    <row r="1087" spans="1:31" x14ac:dyDescent="0.3">
      <c r="A1087" s="76"/>
      <c r="B1087" s="77"/>
      <c r="C1087" s="78" t="s">
        <v>1496</v>
      </c>
      <c r="D1087" s="78" t="s">
        <v>638</v>
      </c>
      <c r="E1087" s="78" t="s">
        <v>1500</v>
      </c>
      <c r="F1087" s="78" t="s">
        <v>1501</v>
      </c>
      <c r="G1087" s="78" t="s">
        <v>1492</v>
      </c>
      <c r="H1087" s="77"/>
      <c r="I1087" s="226"/>
      <c r="J1087" s="77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9"/>
    </row>
    <row r="1088" spans="1:31" x14ac:dyDescent="0.3">
      <c r="A1088" s="76"/>
      <c r="B1088" s="77"/>
      <c r="C1088" s="78" t="s">
        <v>1499</v>
      </c>
      <c r="D1088" s="78" t="s">
        <v>52</v>
      </c>
      <c r="E1088" s="78" t="s">
        <v>1620</v>
      </c>
      <c r="F1088" s="78" t="s">
        <v>1495</v>
      </c>
      <c r="G1088" s="78" t="s">
        <v>1492</v>
      </c>
      <c r="H1088" s="77"/>
      <c r="I1088" s="226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9"/>
    </row>
    <row r="1089" spans="1:31" ht="15" thickBot="1" x14ac:dyDescent="0.35">
      <c r="A1089" s="76"/>
      <c r="B1089" s="77"/>
      <c r="C1089" s="78" t="s">
        <v>1504</v>
      </c>
      <c r="D1089" s="78" t="s">
        <v>639</v>
      </c>
      <c r="E1089" s="78" t="s">
        <v>1773</v>
      </c>
      <c r="F1089" s="78" t="s">
        <v>1498</v>
      </c>
      <c r="G1089" s="78" t="s">
        <v>1492</v>
      </c>
      <c r="H1089" s="77"/>
      <c r="I1089" s="227"/>
      <c r="J1089" s="77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9"/>
    </row>
    <row r="1090" spans="1:31" x14ac:dyDescent="0.3">
      <c r="A1090" s="76"/>
      <c r="B1090" s="80"/>
      <c r="C1090" s="78" t="s">
        <v>1507</v>
      </c>
      <c r="D1090" s="78" t="s">
        <v>695</v>
      </c>
      <c r="E1090" s="78" t="s">
        <v>1490</v>
      </c>
      <c r="F1090" s="78" t="s">
        <v>1546</v>
      </c>
      <c r="G1090" s="78" t="s">
        <v>1492</v>
      </c>
      <c r="H1090" s="77"/>
      <c r="I1090" s="225" t="s">
        <v>1485</v>
      </c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9"/>
    </row>
    <row r="1091" spans="1:31" x14ac:dyDescent="0.3">
      <c r="A1091" s="76"/>
      <c r="B1091" s="78" t="s">
        <v>1485</v>
      </c>
      <c r="C1091" s="78" t="s">
        <v>1485</v>
      </c>
      <c r="D1091" s="78" t="s">
        <v>2061</v>
      </c>
      <c r="E1091" s="78" t="s">
        <v>1511</v>
      </c>
      <c r="F1091" s="78" t="s">
        <v>1512</v>
      </c>
      <c r="G1091" s="78" t="s">
        <v>1513</v>
      </c>
      <c r="H1091" s="77"/>
      <c r="I1091" s="226"/>
      <c r="J1091" s="77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9"/>
    </row>
    <row r="1092" spans="1:31" x14ac:dyDescent="0.3">
      <c r="A1092" s="76"/>
      <c r="B1092" s="78" t="s">
        <v>1485</v>
      </c>
      <c r="C1092" s="78" t="s">
        <v>1485</v>
      </c>
      <c r="D1092" s="78" t="s">
        <v>2062</v>
      </c>
      <c r="E1092" s="78" t="s">
        <v>1534</v>
      </c>
      <c r="F1092" s="78" t="s">
        <v>1535</v>
      </c>
      <c r="G1092" s="78" t="s">
        <v>1513</v>
      </c>
      <c r="H1092" s="77"/>
      <c r="I1092" s="226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9"/>
    </row>
    <row r="1093" spans="1:31" x14ac:dyDescent="0.3">
      <c r="A1093" s="76"/>
      <c r="B1093" s="78" t="s">
        <v>2010</v>
      </c>
      <c r="C1093" s="78" t="s">
        <v>1502</v>
      </c>
      <c r="D1093" s="78" t="s">
        <v>266</v>
      </c>
      <c r="E1093" s="78" t="s">
        <v>2004</v>
      </c>
      <c r="F1093" s="78" t="s">
        <v>1600</v>
      </c>
      <c r="G1093" s="78" t="s">
        <v>1513</v>
      </c>
      <c r="H1093" s="77"/>
      <c r="I1093" s="226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9"/>
    </row>
    <row r="1094" spans="1:31" x14ac:dyDescent="0.3">
      <c r="A1094" s="76"/>
      <c r="B1094" s="78" t="s">
        <v>1673</v>
      </c>
      <c r="C1094" s="78" t="s">
        <v>1496</v>
      </c>
      <c r="D1094" s="78" t="s">
        <v>626</v>
      </c>
      <c r="E1094" s="78" t="s">
        <v>1480</v>
      </c>
      <c r="F1094" s="78" t="s">
        <v>1518</v>
      </c>
      <c r="G1094" s="78" t="s">
        <v>1513</v>
      </c>
      <c r="H1094" s="77"/>
      <c r="I1094" s="226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9"/>
    </row>
    <row r="1095" spans="1:31" x14ac:dyDescent="0.3">
      <c r="A1095" s="76"/>
      <c r="B1095" s="78" t="s">
        <v>1675</v>
      </c>
      <c r="C1095" s="78" t="s">
        <v>1496</v>
      </c>
      <c r="D1095" s="78" t="s">
        <v>91</v>
      </c>
      <c r="E1095" s="78" t="s">
        <v>1503</v>
      </c>
      <c r="F1095" s="78" t="s">
        <v>1495</v>
      </c>
      <c r="G1095" s="78" t="s">
        <v>1513</v>
      </c>
      <c r="H1095" s="77"/>
      <c r="I1095" s="226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9"/>
    </row>
    <row r="1096" spans="1:31" x14ac:dyDescent="0.3">
      <c r="A1096" s="76"/>
      <c r="B1096" s="78" t="s">
        <v>1727</v>
      </c>
      <c r="C1096" s="78" t="s">
        <v>1496</v>
      </c>
      <c r="D1096" s="78" t="s">
        <v>52</v>
      </c>
      <c r="E1096" s="78" t="s">
        <v>1620</v>
      </c>
      <c r="F1096" s="78" t="s">
        <v>1495</v>
      </c>
      <c r="G1096" s="78" t="s">
        <v>1513</v>
      </c>
      <c r="H1096" s="77"/>
      <c r="I1096" s="226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9"/>
    </row>
    <row r="1097" spans="1:31" x14ac:dyDescent="0.3">
      <c r="A1097" s="76"/>
      <c r="B1097" s="78" t="s">
        <v>1603</v>
      </c>
      <c r="C1097" s="78" t="s">
        <v>1493</v>
      </c>
      <c r="D1097" s="78" t="s">
        <v>638</v>
      </c>
      <c r="E1097" s="78" t="s">
        <v>1500</v>
      </c>
      <c r="F1097" s="78" t="s">
        <v>1501</v>
      </c>
      <c r="G1097" s="78" t="s">
        <v>1513</v>
      </c>
      <c r="H1097" s="77"/>
      <c r="I1097" s="226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9"/>
    </row>
    <row r="1098" spans="1:31" x14ac:dyDescent="0.3">
      <c r="A1098" s="76"/>
      <c r="B1098" s="78" t="s">
        <v>1856</v>
      </c>
      <c r="C1098" s="78" t="s">
        <v>1489</v>
      </c>
      <c r="D1098" s="78" t="s">
        <v>695</v>
      </c>
      <c r="E1098" s="78" t="s">
        <v>1490</v>
      </c>
      <c r="F1098" s="78" t="s">
        <v>1546</v>
      </c>
      <c r="G1098" s="78" t="s">
        <v>1513</v>
      </c>
      <c r="H1098" s="77"/>
      <c r="I1098" s="226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9"/>
    </row>
    <row r="1099" spans="1:31" ht="15" thickBot="1" x14ac:dyDescent="0.35">
      <c r="A1099" s="81"/>
      <c r="B1099" s="82" t="s">
        <v>1902</v>
      </c>
      <c r="C1099" s="82" t="s">
        <v>1493</v>
      </c>
      <c r="D1099" s="82" t="s">
        <v>349</v>
      </c>
      <c r="E1099" s="82" t="s">
        <v>1900</v>
      </c>
      <c r="F1099" s="82" t="s">
        <v>1565</v>
      </c>
      <c r="G1099" s="82" t="s">
        <v>1513</v>
      </c>
      <c r="H1099" s="83"/>
      <c r="I1099" s="226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  <c r="X1099" s="83"/>
      <c r="Y1099" s="83"/>
      <c r="Z1099" s="83"/>
      <c r="AA1099" s="83"/>
      <c r="AB1099" s="83"/>
      <c r="AC1099" s="83"/>
      <c r="AD1099" s="83"/>
      <c r="AE1099" s="84"/>
    </row>
    <row r="1100" spans="1:31" x14ac:dyDescent="0.3">
      <c r="A1100" s="72" t="s">
        <v>707</v>
      </c>
      <c r="B1100" s="73" t="s">
        <v>2063</v>
      </c>
      <c r="C1100" s="74" t="s">
        <v>1479</v>
      </c>
      <c r="D1100" s="74" t="s">
        <v>708</v>
      </c>
      <c r="E1100" s="74" t="s">
        <v>1480</v>
      </c>
      <c r="F1100" s="74"/>
      <c r="G1100" s="74" t="s">
        <v>1481</v>
      </c>
      <c r="H1100" s="73" t="s">
        <v>1575</v>
      </c>
      <c r="I1100" s="226"/>
      <c r="J1100" s="73" t="s">
        <v>706</v>
      </c>
      <c r="K1100" s="73">
        <v>93</v>
      </c>
      <c r="L1100" s="73" t="s">
        <v>195</v>
      </c>
      <c r="M1100" s="73" t="s">
        <v>1483</v>
      </c>
      <c r="N1100" s="73" t="s">
        <v>1483</v>
      </c>
      <c r="O1100" s="73" t="s">
        <v>1483</v>
      </c>
      <c r="P1100" s="73" t="s">
        <v>1483</v>
      </c>
      <c r="Q1100" s="73" t="s">
        <v>1483</v>
      </c>
      <c r="R1100" s="73" t="s">
        <v>1483</v>
      </c>
      <c r="S1100" s="73" t="s">
        <v>1484</v>
      </c>
      <c r="T1100" s="73" t="s">
        <v>1484</v>
      </c>
      <c r="U1100" s="73" t="s">
        <v>1484</v>
      </c>
      <c r="V1100" s="73" t="s">
        <v>1484</v>
      </c>
      <c r="W1100" s="73" t="s">
        <v>1485</v>
      </c>
      <c r="X1100" s="73" t="s">
        <v>1484</v>
      </c>
      <c r="Y1100" s="73" t="s">
        <v>1484</v>
      </c>
      <c r="Z1100" s="73" t="s">
        <v>1484</v>
      </c>
      <c r="AA1100" s="73" t="s">
        <v>1485</v>
      </c>
      <c r="AB1100" s="73" t="s">
        <v>1484</v>
      </c>
      <c r="AC1100" s="73" t="s">
        <v>1486</v>
      </c>
      <c r="AD1100" s="73" t="s">
        <v>1487</v>
      </c>
      <c r="AE1100" s="75" t="s">
        <v>1579</v>
      </c>
    </row>
    <row r="1101" spans="1:31" x14ac:dyDescent="0.3">
      <c r="A1101" s="76"/>
      <c r="B1101" s="77"/>
      <c r="C1101" s="78" t="s">
        <v>1489</v>
      </c>
      <c r="D1101" s="78" t="s">
        <v>243</v>
      </c>
      <c r="E1101" s="78" t="s">
        <v>2004</v>
      </c>
      <c r="F1101" s="78" t="s">
        <v>1611</v>
      </c>
      <c r="G1101" s="78" t="s">
        <v>1492</v>
      </c>
      <c r="H1101" s="77"/>
      <c r="I1101" s="226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9"/>
    </row>
    <row r="1102" spans="1:31" x14ac:dyDescent="0.3">
      <c r="A1102" s="76"/>
      <c r="B1102" s="77"/>
      <c r="C1102" s="78" t="s">
        <v>1493</v>
      </c>
      <c r="D1102" s="78" t="s">
        <v>168</v>
      </c>
      <c r="E1102" s="78" t="s">
        <v>1503</v>
      </c>
      <c r="F1102" s="78" t="s">
        <v>1495</v>
      </c>
      <c r="G1102" s="78" t="s">
        <v>1492</v>
      </c>
      <c r="H1102" s="77"/>
      <c r="I1102" s="226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9"/>
    </row>
    <row r="1103" spans="1:31" x14ac:dyDescent="0.3">
      <c r="A1103" s="76"/>
      <c r="B1103" s="77"/>
      <c r="C1103" s="78" t="s">
        <v>1496</v>
      </c>
      <c r="D1103" s="78" t="s">
        <v>709</v>
      </c>
      <c r="E1103" s="78" t="s">
        <v>1500</v>
      </c>
      <c r="F1103" s="78" t="s">
        <v>1501</v>
      </c>
      <c r="G1103" s="78" t="s">
        <v>1492</v>
      </c>
      <c r="H1103" s="77"/>
      <c r="I1103" s="226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9"/>
    </row>
    <row r="1104" spans="1:31" x14ac:dyDescent="0.3">
      <c r="A1104" s="76"/>
      <c r="B1104" s="77"/>
      <c r="C1104" s="78" t="s">
        <v>1499</v>
      </c>
      <c r="D1104" s="78" t="s">
        <v>94</v>
      </c>
      <c r="E1104" s="78" t="s">
        <v>1620</v>
      </c>
      <c r="F1104" s="78" t="s">
        <v>1495</v>
      </c>
      <c r="G1104" s="78" t="s">
        <v>1492</v>
      </c>
      <c r="H1104" s="77"/>
      <c r="I1104" s="226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9"/>
    </row>
    <row r="1105" spans="1:31" ht="15" thickBot="1" x14ac:dyDescent="0.35">
      <c r="A1105" s="76"/>
      <c r="B1105" s="77"/>
      <c r="C1105" s="78" t="s">
        <v>1502</v>
      </c>
      <c r="D1105" s="78" t="s">
        <v>536</v>
      </c>
      <c r="E1105" s="78" t="s">
        <v>1548</v>
      </c>
      <c r="F1105" s="78" t="s">
        <v>1791</v>
      </c>
      <c r="G1105" s="78" t="s">
        <v>1492</v>
      </c>
      <c r="H1105" s="77"/>
      <c r="I1105" s="22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9"/>
    </row>
    <row r="1106" spans="1:31" x14ac:dyDescent="0.3">
      <c r="A1106" s="76"/>
      <c r="B1106" s="77"/>
      <c r="C1106" s="78" t="s">
        <v>1504</v>
      </c>
      <c r="D1106" s="78" t="s">
        <v>607</v>
      </c>
      <c r="E1106" s="78" t="s">
        <v>1773</v>
      </c>
      <c r="F1106" s="78" t="s">
        <v>1498</v>
      </c>
      <c r="G1106" s="78" t="s">
        <v>1492</v>
      </c>
      <c r="H1106" s="77"/>
      <c r="I1106" s="225" t="s">
        <v>1485</v>
      </c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9"/>
    </row>
    <row r="1107" spans="1:31" x14ac:dyDescent="0.3">
      <c r="A1107" s="76"/>
      <c r="B1107" s="80"/>
      <c r="C1107" s="78" t="s">
        <v>1507</v>
      </c>
      <c r="D1107" s="78" t="s">
        <v>710</v>
      </c>
      <c r="E1107" s="78" t="s">
        <v>1490</v>
      </c>
      <c r="F1107" s="78" t="s">
        <v>1564</v>
      </c>
      <c r="G1107" s="78" t="s">
        <v>1492</v>
      </c>
      <c r="H1107" s="77"/>
      <c r="I1107" s="226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9"/>
    </row>
    <row r="1108" spans="1:31" x14ac:dyDescent="0.3">
      <c r="A1108" s="76"/>
      <c r="B1108" s="78" t="s">
        <v>1681</v>
      </c>
      <c r="C1108" s="78" t="s">
        <v>1496</v>
      </c>
      <c r="D1108" s="78" t="s">
        <v>558</v>
      </c>
      <c r="E1108" s="78" t="s">
        <v>1480</v>
      </c>
      <c r="F1108" s="78" t="s">
        <v>1518</v>
      </c>
      <c r="G1108" s="78" t="s">
        <v>1513</v>
      </c>
      <c r="H1108" s="77"/>
      <c r="I1108" s="226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9"/>
    </row>
    <row r="1109" spans="1:31" x14ac:dyDescent="0.3">
      <c r="A1109" s="76"/>
      <c r="B1109" s="78" t="s">
        <v>1682</v>
      </c>
      <c r="C1109" s="78" t="s">
        <v>1493</v>
      </c>
      <c r="D1109" s="78" t="s">
        <v>168</v>
      </c>
      <c r="E1109" s="78" t="s">
        <v>1503</v>
      </c>
      <c r="F1109" s="78" t="s">
        <v>1495</v>
      </c>
      <c r="G1109" s="78" t="s">
        <v>1513</v>
      </c>
      <c r="H1109" s="77"/>
      <c r="I1109" s="226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9"/>
    </row>
    <row r="1110" spans="1:31" x14ac:dyDescent="0.3">
      <c r="A1110" s="76"/>
      <c r="B1110" s="78" t="s">
        <v>1730</v>
      </c>
      <c r="C1110" s="78" t="s">
        <v>1496</v>
      </c>
      <c r="D1110" s="78" t="s">
        <v>94</v>
      </c>
      <c r="E1110" s="78" t="s">
        <v>1620</v>
      </c>
      <c r="F1110" s="78" t="s">
        <v>1495</v>
      </c>
      <c r="G1110" s="78" t="s">
        <v>1513</v>
      </c>
      <c r="H1110" s="77"/>
      <c r="I1110" s="226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9"/>
    </row>
    <row r="1111" spans="1:31" x14ac:dyDescent="0.3">
      <c r="A1111" s="76"/>
      <c r="B1111" s="78" t="s">
        <v>1897</v>
      </c>
      <c r="C1111" s="78" t="s">
        <v>1493</v>
      </c>
      <c r="D1111" s="78" t="s">
        <v>709</v>
      </c>
      <c r="E1111" s="78" t="s">
        <v>1500</v>
      </c>
      <c r="F1111" s="78" t="s">
        <v>1501</v>
      </c>
      <c r="G1111" s="78" t="s">
        <v>1513</v>
      </c>
      <c r="H1111" s="77"/>
      <c r="I1111" s="226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9"/>
    </row>
    <row r="1112" spans="1:31" ht="15" thickBot="1" x14ac:dyDescent="0.35">
      <c r="A1112" s="76"/>
      <c r="B1112" s="78" t="s">
        <v>1905</v>
      </c>
      <c r="C1112" s="78" t="s">
        <v>1493</v>
      </c>
      <c r="D1112" s="78" t="s">
        <v>359</v>
      </c>
      <c r="E1112" s="78" t="s">
        <v>1900</v>
      </c>
      <c r="F1112" s="78" t="s">
        <v>1558</v>
      </c>
      <c r="G1112" s="78" t="s">
        <v>1513</v>
      </c>
      <c r="H1112" s="77"/>
      <c r="I1112" s="226"/>
      <c r="J1112" s="77"/>
      <c r="K1112" s="77"/>
      <c r="L1112" s="77"/>
      <c r="M1112" s="83"/>
      <c r="N1112" s="83"/>
      <c r="O1112" s="83"/>
      <c r="P1112" s="83"/>
      <c r="Q1112" s="83"/>
      <c r="R1112" s="83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9"/>
    </row>
    <row r="1113" spans="1:31" ht="15" thickBot="1" x14ac:dyDescent="0.35">
      <c r="A1113" s="81"/>
      <c r="B1113" s="82" t="s">
        <v>1846</v>
      </c>
      <c r="C1113" s="82" t="s">
        <v>1489</v>
      </c>
      <c r="D1113" s="82" t="s">
        <v>710</v>
      </c>
      <c r="E1113" s="82" t="s">
        <v>1490</v>
      </c>
      <c r="F1113" s="82" t="s">
        <v>1564</v>
      </c>
      <c r="G1113" s="82" t="s">
        <v>1513</v>
      </c>
      <c r="H1113" s="83"/>
      <c r="I1113" s="226"/>
      <c r="J1113" s="83"/>
      <c r="K1113" s="83"/>
      <c r="L1113" s="83"/>
      <c r="M1113" s="77"/>
      <c r="N1113" s="77"/>
      <c r="O1113" s="77"/>
      <c r="P1113" s="77"/>
      <c r="Q1113" s="77"/>
      <c r="R1113" s="77"/>
      <c r="S1113" s="83"/>
      <c r="T1113" s="83"/>
      <c r="U1113" s="83"/>
      <c r="V1113" s="83"/>
      <c r="W1113" s="83"/>
      <c r="X1113" s="83"/>
      <c r="Y1113" s="83"/>
      <c r="Z1113" s="83"/>
      <c r="AA1113" s="83"/>
      <c r="AB1113" s="83"/>
      <c r="AC1113" s="83"/>
      <c r="AD1113" s="83"/>
      <c r="AE1113" s="84"/>
    </row>
    <row r="1114" spans="1:31" x14ac:dyDescent="0.3">
      <c r="A1114" s="72" t="s">
        <v>728</v>
      </c>
      <c r="B1114" s="73" t="s">
        <v>2064</v>
      </c>
      <c r="C1114" s="74" t="s">
        <v>1479</v>
      </c>
      <c r="D1114" s="74" t="s">
        <v>729</v>
      </c>
      <c r="E1114" s="74" t="s">
        <v>1480</v>
      </c>
      <c r="F1114" s="74"/>
      <c r="G1114" s="74" t="s">
        <v>1481</v>
      </c>
      <c r="H1114" s="73" t="s">
        <v>1575</v>
      </c>
      <c r="I1114" s="226"/>
      <c r="J1114" s="73" t="s">
        <v>727</v>
      </c>
      <c r="K1114" s="73">
        <v>96</v>
      </c>
      <c r="L1114" s="73" t="s">
        <v>195</v>
      </c>
      <c r="M1114" s="73" t="s">
        <v>1483</v>
      </c>
      <c r="N1114" s="73" t="s">
        <v>1483</v>
      </c>
      <c r="O1114" s="73" t="s">
        <v>1483</v>
      </c>
      <c r="P1114" s="73" t="s">
        <v>1483</v>
      </c>
      <c r="Q1114" s="73" t="s">
        <v>1483</v>
      </c>
      <c r="R1114" s="73" t="s">
        <v>1483</v>
      </c>
      <c r="S1114" s="73" t="s">
        <v>1484</v>
      </c>
      <c r="T1114" s="73" t="s">
        <v>1484</v>
      </c>
      <c r="U1114" s="73" t="s">
        <v>1484</v>
      </c>
      <c r="V1114" s="73" t="s">
        <v>1484</v>
      </c>
      <c r="W1114" s="73" t="s">
        <v>1485</v>
      </c>
      <c r="X1114" s="73" t="s">
        <v>1484</v>
      </c>
      <c r="Y1114" s="73" t="s">
        <v>1484</v>
      </c>
      <c r="Z1114" s="73" t="s">
        <v>1484</v>
      </c>
      <c r="AA1114" s="73" t="s">
        <v>1485</v>
      </c>
      <c r="AB1114" s="73" t="s">
        <v>1484</v>
      </c>
      <c r="AC1114" s="73" t="s">
        <v>1486</v>
      </c>
      <c r="AD1114" s="73" t="s">
        <v>1487</v>
      </c>
      <c r="AE1114" s="75" t="s">
        <v>1579</v>
      </c>
    </row>
    <row r="1115" spans="1:31" x14ac:dyDescent="0.3">
      <c r="A1115" s="76"/>
      <c r="B1115" s="77"/>
      <c r="C1115" s="78" t="s">
        <v>1489</v>
      </c>
      <c r="D1115" s="78" t="s">
        <v>313</v>
      </c>
      <c r="E1115" s="78" t="s">
        <v>1948</v>
      </c>
      <c r="F1115" s="78" t="s">
        <v>1611</v>
      </c>
      <c r="G1115" s="78" t="s">
        <v>1492</v>
      </c>
      <c r="H1115" s="77"/>
      <c r="I1115" s="226"/>
      <c r="J1115" s="77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9"/>
    </row>
    <row r="1116" spans="1:31" x14ac:dyDescent="0.3">
      <c r="A1116" s="76"/>
      <c r="B1116" s="77"/>
      <c r="C1116" s="78" t="s">
        <v>1493</v>
      </c>
      <c r="D1116" s="78" t="s">
        <v>179</v>
      </c>
      <c r="E1116" s="78" t="s">
        <v>1503</v>
      </c>
      <c r="F1116" s="78" t="s">
        <v>1495</v>
      </c>
      <c r="G1116" s="78" t="s">
        <v>1492</v>
      </c>
      <c r="H1116" s="77"/>
      <c r="I1116" s="226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9"/>
    </row>
    <row r="1117" spans="1:31" x14ac:dyDescent="0.3">
      <c r="A1117" s="76"/>
      <c r="B1117" s="77"/>
      <c r="C1117" s="78" t="s">
        <v>1496</v>
      </c>
      <c r="D1117" s="78" t="s">
        <v>730</v>
      </c>
      <c r="E1117" s="78" t="s">
        <v>1500</v>
      </c>
      <c r="F1117" s="78" t="s">
        <v>1501</v>
      </c>
      <c r="G1117" s="78" t="s">
        <v>1492</v>
      </c>
      <c r="H1117" s="77"/>
      <c r="I1117" s="226"/>
      <c r="J1117" s="77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9"/>
    </row>
    <row r="1118" spans="1:31" x14ac:dyDescent="0.3">
      <c r="A1118" s="76"/>
      <c r="B1118" s="77"/>
      <c r="C1118" s="78" t="s">
        <v>1499</v>
      </c>
      <c r="D1118" s="78" t="s">
        <v>79</v>
      </c>
      <c r="E1118" s="78" t="s">
        <v>1500</v>
      </c>
      <c r="F1118" s="78" t="s">
        <v>1501</v>
      </c>
      <c r="G1118" s="78" t="s">
        <v>1492</v>
      </c>
      <c r="H1118" s="77"/>
      <c r="I1118" s="226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9"/>
    </row>
    <row r="1119" spans="1:31" ht="15" thickBot="1" x14ac:dyDescent="0.35">
      <c r="A1119" s="76"/>
      <c r="B1119" s="77"/>
      <c r="C1119" s="78" t="s">
        <v>1502</v>
      </c>
      <c r="D1119" s="78" t="s">
        <v>484</v>
      </c>
      <c r="E1119" s="78" t="s">
        <v>1980</v>
      </c>
      <c r="F1119" s="78" t="s">
        <v>1989</v>
      </c>
      <c r="G1119" s="78" t="s">
        <v>1492</v>
      </c>
      <c r="H1119" s="77"/>
      <c r="I1119" s="227"/>
      <c r="J1119" s="77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9"/>
    </row>
    <row r="1120" spans="1:31" x14ac:dyDescent="0.3">
      <c r="A1120" s="76"/>
      <c r="B1120" s="80"/>
      <c r="C1120" s="78" t="s">
        <v>1504</v>
      </c>
      <c r="D1120" s="78" t="s">
        <v>624</v>
      </c>
      <c r="E1120" s="78" t="s">
        <v>1773</v>
      </c>
      <c r="F1120" s="78" t="s">
        <v>1498</v>
      </c>
      <c r="G1120" s="78" t="s">
        <v>1492</v>
      </c>
      <c r="H1120" s="77"/>
      <c r="I1120" s="225" t="s">
        <v>1485</v>
      </c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9"/>
    </row>
    <row r="1121" spans="1:31" x14ac:dyDescent="0.3">
      <c r="A1121" s="76"/>
      <c r="B1121" s="78" t="s">
        <v>1741</v>
      </c>
      <c r="C1121" s="78" t="s">
        <v>1496</v>
      </c>
      <c r="D1121" s="78" t="s">
        <v>179</v>
      </c>
      <c r="E1121" s="78" t="s">
        <v>1503</v>
      </c>
      <c r="F1121" s="78" t="s">
        <v>1495</v>
      </c>
      <c r="G1121" s="78" t="s">
        <v>1513</v>
      </c>
      <c r="H1121" s="77"/>
      <c r="I1121" s="226"/>
      <c r="J1121" s="77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9"/>
    </row>
    <row r="1122" spans="1:31" x14ac:dyDescent="0.3">
      <c r="A1122" s="76"/>
      <c r="B1122" s="78" t="s">
        <v>1521</v>
      </c>
      <c r="C1122" s="78" t="s">
        <v>1507</v>
      </c>
      <c r="D1122" s="78" t="s">
        <v>79</v>
      </c>
      <c r="E1122" s="78" t="s">
        <v>1500</v>
      </c>
      <c r="F1122" s="78" t="s">
        <v>1501</v>
      </c>
      <c r="G1122" s="78" t="s">
        <v>1513</v>
      </c>
      <c r="H1122" s="77"/>
      <c r="I1122" s="226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9"/>
    </row>
    <row r="1123" spans="1:31" x14ac:dyDescent="0.3">
      <c r="A1123" s="76"/>
      <c r="B1123" s="78" t="s">
        <v>1892</v>
      </c>
      <c r="C1123" s="78" t="s">
        <v>1493</v>
      </c>
      <c r="D1123" s="78" t="s">
        <v>730</v>
      </c>
      <c r="E1123" s="78" t="s">
        <v>1500</v>
      </c>
      <c r="F1123" s="78" t="s">
        <v>1501</v>
      </c>
      <c r="G1123" s="78" t="s">
        <v>1513</v>
      </c>
      <c r="H1123" s="77"/>
      <c r="I1123" s="226"/>
      <c r="J1123" s="77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9"/>
    </row>
    <row r="1124" spans="1:31" ht="15" thickBot="1" x14ac:dyDescent="0.35">
      <c r="A1124" s="81"/>
      <c r="B1124" s="82" t="s">
        <v>1992</v>
      </c>
      <c r="C1124" s="82" t="s">
        <v>1499</v>
      </c>
      <c r="D1124" s="82" t="s">
        <v>484</v>
      </c>
      <c r="E1124" s="82" t="s">
        <v>1980</v>
      </c>
      <c r="F1124" s="82" t="s">
        <v>1989</v>
      </c>
      <c r="G1124" s="82" t="s">
        <v>1513</v>
      </c>
      <c r="H1124" s="83"/>
      <c r="I1124" s="226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  <c r="AA1124" s="83"/>
      <c r="AB1124" s="83"/>
      <c r="AC1124" s="83"/>
      <c r="AD1124" s="83"/>
      <c r="AE1124" s="84"/>
    </row>
    <row r="1125" spans="1:31" x14ac:dyDescent="0.3">
      <c r="A1125" s="72" t="s">
        <v>745</v>
      </c>
      <c r="B1125" s="73" t="s">
        <v>2065</v>
      </c>
      <c r="C1125" s="74" t="s">
        <v>1479</v>
      </c>
      <c r="D1125" s="74" t="s">
        <v>746</v>
      </c>
      <c r="E1125" s="74" t="s">
        <v>1480</v>
      </c>
      <c r="F1125" s="74"/>
      <c r="G1125" s="74" t="s">
        <v>1481</v>
      </c>
      <c r="H1125" s="73" t="s">
        <v>1575</v>
      </c>
      <c r="I1125" s="226"/>
      <c r="J1125" s="73" t="s">
        <v>744</v>
      </c>
      <c r="K1125" s="73">
        <v>99</v>
      </c>
      <c r="L1125" s="73" t="s">
        <v>195</v>
      </c>
      <c r="M1125" s="73" t="s">
        <v>1483</v>
      </c>
      <c r="N1125" s="73" t="s">
        <v>1483</v>
      </c>
      <c r="O1125" s="73" t="s">
        <v>1483</v>
      </c>
      <c r="P1125" s="73" t="s">
        <v>1483</v>
      </c>
      <c r="Q1125" s="73" t="s">
        <v>1483</v>
      </c>
      <c r="R1125" s="73" t="s">
        <v>1483</v>
      </c>
      <c r="S1125" s="73" t="s">
        <v>1484</v>
      </c>
      <c r="T1125" s="73" t="s">
        <v>1484</v>
      </c>
      <c r="U1125" s="73" t="s">
        <v>1484</v>
      </c>
      <c r="V1125" s="73" t="s">
        <v>1484</v>
      </c>
      <c r="W1125" s="73" t="s">
        <v>1485</v>
      </c>
      <c r="X1125" s="73" t="s">
        <v>1484</v>
      </c>
      <c r="Y1125" s="73" t="s">
        <v>1484</v>
      </c>
      <c r="Z1125" s="73" t="s">
        <v>1484</v>
      </c>
      <c r="AA1125" s="73" t="s">
        <v>1485</v>
      </c>
      <c r="AB1125" s="73" t="s">
        <v>1484</v>
      </c>
      <c r="AC1125" s="73" t="s">
        <v>1486</v>
      </c>
      <c r="AD1125" s="73" t="s">
        <v>1487</v>
      </c>
      <c r="AE1125" s="75" t="s">
        <v>1579</v>
      </c>
    </row>
    <row r="1126" spans="1:31" x14ac:dyDescent="0.3">
      <c r="A1126" s="76"/>
      <c r="B1126" s="77"/>
      <c r="C1126" s="78" t="s">
        <v>1493</v>
      </c>
      <c r="D1126" s="78" t="s">
        <v>235</v>
      </c>
      <c r="E1126" s="78" t="s">
        <v>1503</v>
      </c>
      <c r="F1126" s="78" t="s">
        <v>1495</v>
      </c>
      <c r="G1126" s="78" t="s">
        <v>1492</v>
      </c>
      <c r="H1126" s="77"/>
      <c r="I1126" s="226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9"/>
    </row>
    <row r="1127" spans="1:31" x14ac:dyDescent="0.3">
      <c r="A1127" s="76"/>
      <c r="B1127" s="77"/>
      <c r="C1127" s="78" t="s">
        <v>1496</v>
      </c>
      <c r="D1127" s="78" t="s">
        <v>747</v>
      </c>
      <c r="E1127" s="78" t="s">
        <v>1500</v>
      </c>
      <c r="F1127" s="78" t="s">
        <v>1501</v>
      </c>
      <c r="G1127" s="78" t="s">
        <v>1492</v>
      </c>
      <c r="H1127" s="77"/>
      <c r="I1127" s="226"/>
      <c r="J1127" s="77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9"/>
    </row>
    <row r="1128" spans="1:31" x14ac:dyDescent="0.3">
      <c r="A1128" s="76"/>
      <c r="B1128" s="77"/>
      <c r="C1128" s="78" t="s">
        <v>1499</v>
      </c>
      <c r="D1128" s="78" t="s">
        <v>748</v>
      </c>
      <c r="E1128" s="78" t="s">
        <v>1620</v>
      </c>
      <c r="F1128" s="78" t="s">
        <v>1495</v>
      </c>
      <c r="G1128" s="78" t="s">
        <v>1492</v>
      </c>
      <c r="H1128" s="77"/>
      <c r="I1128" s="226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9"/>
    </row>
    <row r="1129" spans="1:31" x14ac:dyDescent="0.3">
      <c r="A1129" s="76"/>
      <c r="B1129" s="77"/>
      <c r="C1129" s="78" t="s">
        <v>1502</v>
      </c>
      <c r="D1129" s="78" t="s">
        <v>493</v>
      </c>
      <c r="E1129" s="78" t="s">
        <v>1980</v>
      </c>
      <c r="F1129" s="78" t="s">
        <v>1982</v>
      </c>
      <c r="G1129" s="78" t="s">
        <v>1492</v>
      </c>
      <c r="H1129" s="77"/>
      <c r="I1129" s="226"/>
      <c r="J1129" s="77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9"/>
    </row>
    <row r="1130" spans="1:31" ht="15" thickBot="1" x14ac:dyDescent="0.35">
      <c r="A1130" s="76"/>
      <c r="B1130" s="80"/>
      <c r="C1130" s="78" t="s">
        <v>1507</v>
      </c>
      <c r="D1130" s="78" t="s">
        <v>65</v>
      </c>
      <c r="E1130" s="78" t="s">
        <v>1500</v>
      </c>
      <c r="F1130" s="78" t="s">
        <v>1501</v>
      </c>
      <c r="G1130" s="78" t="s">
        <v>1492</v>
      </c>
      <c r="H1130" s="77"/>
      <c r="I1130" s="22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9"/>
    </row>
    <row r="1131" spans="1:31" x14ac:dyDescent="0.3">
      <c r="A1131" s="76"/>
      <c r="B1131" s="78" t="s">
        <v>1485</v>
      </c>
      <c r="C1131" s="78" t="s">
        <v>1485</v>
      </c>
      <c r="D1131" s="78" t="s">
        <v>749</v>
      </c>
      <c r="E1131" s="78" t="s">
        <v>1534</v>
      </c>
      <c r="F1131" s="78" t="s">
        <v>1535</v>
      </c>
      <c r="G1131" s="78" t="s">
        <v>1513</v>
      </c>
      <c r="H1131" s="77"/>
      <c r="I1131" s="225" t="s">
        <v>1485</v>
      </c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9"/>
    </row>
    <row r="1132" spans="1:31" x14ac:dyDescent="0.3">
      <c r="A1132" s="76"/>
      <c r="B1132" s="78" t="s">
        <v>1955</v>
      </c>
      <c r="C1132" s="78" t="s">
        <v>1496</v>
      </c>
      <c r="D1132" s="78" t="s">
        <v>303</v>
      </c>
      <c r="E1132" s="78" t="s">
        <v>1948</v>
      </c>
      <c r="F1132" s="78" t="s">
        <v>1600</v>
      </c>
      <c r="G1132" s="78" t="s">
        <v>1513</v>
      </c>
      <c r="H1132" s="77"/>
      <c r="I1132" s="226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9"/>
    </row>
    <row r="1133" spans="1:31" x14ac:dyDescent="0.3">
      <c r="A1133" s="76"/>
      <c r="B1133" s="78" t="s">
        <v>1690</v>
      </c>
      <c r="C1133" s="78" t="s">
        <v>1496</v>
      </c>
      <c r="D1133" s="78" t="s">
        <v>530</v>
      </c>
      <c r="E1133" s="78" t="s">
        <v>1480</v>
      </c>
      <c r="F1133" s="78" t="s">
        <v>1518</v>
      </c>
      <c r="G1133" s="78" t="s">
        <v>1513</v>
      </c>
      <c r="H1133" s="77"/>
      <c r="I1133" s="226"/>
      <c r="J1133" s="77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9"/>
    </row>
    <row r="1134" spans="1:31" x14ac:dyDescent="0.3">
      <c r="A1134" s="76"/>
      <c r="B1134" s="78" t="s">
        <v>1756</v>
      </c>
      <c r="C1134" s="78" t="s">
        <v>1489</v>
      </c>
      <c r="D1134" s="78" t="s">
        <v>235</v>
      </c>
      <c r="E1134" s="78" t="s">
        <v>1503</v>
      </c>
      <c r="F1134" s="78" t="s">
        <v>1495</v>
      </c>
      <c r="G1134" s="78" t="s">
        <v>1513</v>
      </c>
      <c r="H1134" s="77"/>
      <c r="I1134" s="226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9"/>
    </row>
    <row r="1135" spans="1:31" x14ac:dyDescent="0.3">
      <c r="A1135" s="76"/>
      <c r="B1135" s="78" t="s">
        <v>2066</v>
      </c>
      <c r="C1135" s="78" t="s">
        <v>1493</v>
      </c>
      <c r="D1135" s="78" t="s">
        <v>748</v>
      </c>
      <c r="E1135" s="78" t="s">
        <v>1620</v>
      </c>
      <c r="F1135" s="78" t="s">
        <v>1495</v>
      </c>
      <c r="G1135" s="78" t="s">
        <v>1513</v>
      </c>
      <c r="H1135" s="77"/>
      <c r="I1135" s="226"/>
      <c r="J1135" s="77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9"/>
    </row>
    <row r="1136" spans="1:31" x14ac:dyDescent="0.3">
      <c r="A1136" s="76"/>
      <c r="B1136" s="78" t="s">
        <v>1538</v>
      </c>
      <c r="C1136" s="78" t="s">
        <v>1504</v>
      </c>
      <c r="D1136" s="78" t="s">
        <v>65</v>
      </c>
      <c r="E1136" s="78" t="s">
        <v>1500</v>
      </c>
      <c r="F1136" s="78" t="s">
        <v>1501</v>
      </c>
      <c r="G1136" s="78" t="s">
        <v>1513</v>
      </c>
      <c r="H1136" s="77"/>
      <c r="I1136" s="226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9"/>
    </row>
    <row r="1137" spans="1:31" x14ac:dyDescent="0.3">
      <c r="A1137" s="76"/>
      <c r="B1137" s="78" t="s">
        <v>1886</v>
      </c>
      <c r="C1137" s="78" t="s">
        <v>1493</v>
      </c>
      <c r="D1137" s="78" t="s">
        <v>747</v>
      </c>
      <c r="E1137" s="78" t="s">
        <v>1500</v>
      </c>
      <c r="F1137" s="78" t="s">
        <v>1501</v>
      </c>
      <c r="G1137" s="78" t="s">
        <v>1513</v>
      </c>
      <c r="H1137" s="77"/>
      <c r="I1137" s="226"/>
      <c r="J1137" s="77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9"/>
    </row>
    <row r="1138" spans="1:31" ht="15" thickBot="1" x14ac:dyDescent="0.35">
      <c r="A1138" s="81"/>
      <c r="B1138" s="82" t="s">
        <v>1987</v>
      </c>
      <c r="C1138" s="82" t="s">
        <v>1496</v>
      </c>
      <c r="D1138" s="82" t="s">
        <v>493</v>
      </c>
      <c r="E1138" s="82" t="s">
        <v>1980</v>
      </c>
      <c r="F1138" s="82" t="s">
        <v>1982</v>
      </c>
      <c r="G1138" s="82" t="s">
        <v>1513</v>
      </c>
      <c r="H1138" s="83"/>
      <c r="I1138" s="226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  <c r="AA1138" s="83"/>
      <c r="AB1138" s="83"/>
      <c r="AC1138" s="83"/>
      <c r="AD1138" s="83"/>
      <c r="AE1138" s="84"/>
    </row>
    <row r="1139" spans="1:31" x14ac:dyDescent="0.3">
      <c r="A1139" s="72" t="s">
        <v>757</v>
      </c>
      <c r="B1139" s="73" t="s">
        <v>2067</v>
      </c>
      <c r="C1139" s="74" t="s">
        <v>1479</v>
      </c>
      <c r="D1139" s="74" t="s">
        <v>758</v>
      </c>
      <c r="E1139" s="74" t="s">
        <v>1480</v>
      </c>
      <c r="F1139" s="74"/>
      <c r="G1139" s="74" t="s">
        <v>1481</v>
      </c>
      <c r="H1139" s="73" t="s">
        <v>1575</v>
      </c>
      <c r="I1139" s="226"/>
      <c r="J1139" s="73" t="s">
        <v>756</v>
      </c>
      <c r="K1139" s="73">
        <v>101</v>
      </c>
      <c r="L1139" s="73" t="s">
        <v>195</v>
      </c>
      <c r="M1139" s="73" t="s">
        <v>1483</v>
      </c>
      <c r="N1139" s="73" t="s">
        <v>1483</v>
      </c>
      <c r="O1139" s="73" t="s">
        <v>1483</v>
      </c>
      <c r="P1139" s="73" t="s">
        <v>1483</v>
      </c>
      <c r="Q1139" s="73" t="s">
        <v>1483</v>
      </c>
      <c r="R1139" s="73" t="s">
        <v>1483</v>
      </c>
      <c r="S1139" s="73" t="s">
        <v>1484</v>
      </c>
      <c r="T1139" s="73" t="s">
        <v>1484</v>
      </c>
      <c r="U1139" s="73" t="s">
        <v>1484</v>
      </c>
      <c r="V1139" s="73" t="s">
        <v>1484</v>
      </c>
      <c r="W1139" s="73" t="s">
        <v>1485</v>
      </c>
      <c r="X1139" s="73" t="s">
        <v>1484</v>
      </c>
      <c r="Y1139" s="73" t="s">
        <v>1484</v>
      </c>
      <c r="Z1139" s="73" t="s">
        <v>1484</v>
      </c>
      <c r="AA1139" s="73" t="s">
        <v>1485</v>
      </c>
      <c r="AB1139" s="73" t="s">
        <v>1484</v>
      </c>
      <c r="AC1139" s="73" t="s">
        <v>1486</v>
      </c>
      <c r="AD1139" s="73" t="s">
        <v>1487</v>
      </c>
      <c r="AE1139" s="75" t="s">
        <v>1579</v>
      </c>
    </row>
    <row r="1140" spans="1:31" x14ac:dyDescent="0.3">
      <c r="A1140" s="76"/>
      <c r="B1140" s="77"/>
      <c r="C1140" s="78" t="s">
        <v>1489</v>
      </c>
      <c r="D1140" s="78" t="s">
        <v>225</v>
      </c>
      <c r="E1140" s="78" t="s">
        <v>1795</v>
      </c>
      <c r="F1140" s="78" t="s">
        <v>1611</v>
      </c>
      <c r="G1140" s="78" t="s">
        <v>1492</v>
      </c>
      <c r="H1140" s="77"/>
      <c r="I1140" s="226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9"/>
    </row>
    <row r="1141" spans="1:31" x14ac:dyDescent="0.3">
      <c r="A1141" s="76"/>
      <c r="B1141" s="77"/>
      <c r="C1141" s="78" t="s">
        <v>1493</v>
      </c>
      <c r="D1141" s="78" t="s">
        <v>273</v>
      </c>
      <c r="E1141" s="78" t="s">
        <v>1503</v>
      </c>
      <c r="F1141" s="78" t="s">
        <v>1495</v>
      </c>
      <c r="G1141" s="78" t="s">
        <v>1492</v>
      </c>
      <c r="H1141" s="77"/>
      <c r="I1141" s="226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9"/>
    </row>
    <row r="1142" spans="1:31" x14ac:dyDescent="0.3">
      <c r="A1142" s="76"/>
      <c r="B1142" s="77"/>
      <c r="C1142" s="78" t="s">
        <v>1496</v>
      </c>
      <c r="D1142" s="78" t="s">
        <v>92</v>
      </c>
      <c r="E1142" s="78" t="s">
        <v>1500</v>
      </c>
      <c r="F1142" s="78" t="s">
        <v>1501</v>
      </c>
      <c r="G1142" s="78" t="s">
        <v>1492</v>
      </c>
      <c r="H1142" s="77"/>
      <c r="I1142" s="226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9"/>
    </row>
    <row r="1143" spans="1:31" x14ac:dyDescent="0.3">
      <c r="A1143" s="76"/>
      <c r="B1143" s="77"/>
      <c r="C1143" s="78" t="s">
        <v>1499</v>
      </c>
      <c r="D1143" s="78" t="s">
        <v>759</v>
      </c>
      <c r="E1143" s="78" t="s">
        <v>1620</v>
      </c>
      <c r="F1143" s="78" t="s">
        <v>1495</v>
      </c>
      <c r="G1143" s="78" t="s">
        <v>1492</v>
      </c>
      <c r="H1143" s="77"/>
      <c r="I1143" s="226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9"/>
    </row>
    <row r="1144" spans="1:31" ht="15" thickBot="1" x14ac:dyDescent="0.35">
      <c r="A1144" s="76"/>
      <c r="B1144" s="80"/>
      <c r="C1144" s="78" t="s">
        <v>1507</v>
      </c>
      <c r="D1144" s="78" t="s">
        <v>760</v>
      </c>
      <c r="E1144" s="78" t="s">
        <v>1500</v>
      </c>
      <c r="F1144" s="78" t="s">
        <v>1501</v>
      </c>
      <c r="G1144" s="78" t="s">
        <v>1492</v>
      </c>
      <c r="H1144" s="77"/>
      <c r="I1144" s="22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9"/>
    </row>
    <row r="1145" spans="1:31" x14ac:dyDescent="0.3">
      <c r="A1145" s="76"/>
      <c r="B1145" s="78" t="s">
        <v>1625</v>
      </c>
      <c r="C1145" s="78" t="s">
        <v>1489</v>
      </c>
      <c r="D1145" s="78" t="s">
        <v>273</v>
      </c>
      <c r="E1145" s="78" t="s">
        <v>1503</v>
      </c>
      <c r="F1145" s="78" t="s">
        <v>1495</v>
      </c>
      <c r="G1145" s="78" t="s">
        <v>1513</v>
      </c>
      <c r="H1145" s="77"/>
      <c r="I1145" s="225" t="s">
        <v>1485</v>
      </c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9"/>
    </row>
    <row r="1146" spans="1:31" x14ac:dyDescent="0.3">
      <c r="A1146" s="76"/>
      <c r="B1146" s="78" t="s">
        <v>2068</v>
      </c>
      <c r="C1146" s="78" t="s">
        <v>1496</v>
      </c>
      <c r="D1146" s="78" t="s">
        <v>759</v>
      </c>
      <c r="E1146" s="78" t="s">
        <v>1620</v>
      </c>
      <c r="F1146" s="78" t="s">
        <v>1495</v>
      </c>
      <c r="G1146" s="78" t="s">
        <v>1513</v>
      </c>
      <c r="H1146" s="77"/>
      <c r="I1146" s="226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9"/>
    </row>
    <row r="1147" spans="1:31" x14ac:dyDescent="0.3">
      <c r="A1147" s="76"/>
      <c r="B1147" s="78" t="s">
        <v>1649</v>
      </c>
      <c r="C1147" s="78" t="s">
        <v>1499</v>
      </c>
      <c r="D1147" s="78" t="s">
        <v>92</v>
      </c>
      <c r="E1147" s="78" t="s">
        <v>1500</v>
      </c>
      <c r="F1147" s="78" t="s">
        <v>1501</v>
      </c>
      <c r="G1147" s="78" t="s">
        <v>1513</v>
      </c>
      <c r="H1147" s="77"/>
      <c r="I1147" s="226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9"/>
    </row>
    <row r="1148" spans="1:31" ht="15" thickBot="1" x14ac:dyDescent="0.35">
      <c r="A1148" s="81"/>
      <c r="B1148" s="82" t="s">
        <v>1879</v>
      </c>
      <c r="C1148" s="82" t="s">
        <v>1493</v>
      </c>
      <c r="D1148" s="82" t="s">
        <v>760</v>
      </c>
      <c r="E1148" s="82" t="s">
        <v>1500</v>
      </c>
      <c r="F1148" s="82" t="s">
        <v>1501</v>
      </c>
      <c r="G1148" s="82" t="s">
        <v>1513</v>
      </c>
      <c r="H1148" s="83"/>
      <c r="I1148" s="226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  <c r="AA1148" s="83"/>
      <c r="AB1148" s="83"/>
      <c r="AC1148" s="83"/>
      <c r="AD1148" s="83"/>
      <c r="AE1148" s="84"/>
    </row>
    <row r="1149" spans="1:31" x14ac:dyDescent="0.3">
      <c r="A1149" s="72" t="s">
        <v>768</v>
      </c>
      <c r="B1149" s="73" t="s">
        <v>2069</v>
      </c>
      <c r="C1149" s="74" t="s">
        <v>1479</v>
      </c>
      <c r="D1149" s="74" t="s">
        <v>769</v>
      </c>
      <c r="E1149" s="74" t="s">
        <v>1480</v>
      </c>
      <c r="F1149" s="74"/>
      <c r="G1149" s="74" t="s">
        <v>1481</v>
      </c>
      <c r="H1149" s="73" t="s">
        <v>1482</v>
      </c>
      <c r="I1149" s="226"/>
      <c r="J1149" s="73" t="s">
        <v>767</v>
      </c>
      <c r="K1149" s="73">
        <v>103</v>
      </c>
      <c r="L1149" s="73" t="s">
        <v>195</v>
      </c>
      <c r="M1149" s="73" t="s">
        <v>1483</v>
      </c>
      <c r="N1149" s="73" t="s">
        <v>1483</v>
      </c>
      <c r="O1149" s="73" t="s">
        <v>1483</v>
      </c>
      <c r="P1149" s="73" t="s">
        <v>1483</v>
      </c>
      <c r="Q1149" s="73" t="s">
        <v>1483</v>
      </c>
      <c r="R1149" s="73" t="s">
        <v>1483</v>
      </c>
      <c r="S1149" s="73" t="s">
        <v>1484</v>
      </c>
      <c r="T1149" s="73" t="s">
        <v>1484</v>
      </c>
      <c r="U1149" s="73" t="s">
        <v>1484</v>
      </c>
      <c r="V1149" s="73" t="s">
        <v>1484</v>
      </c>
      <c r="W1149" s="73" t="s">
        <v>1485</v>
      </c>
      <c r="X1149" s="73" t="s">
        <v>1484</v>
      </c>
      <c r="Y1149" s="73" t="s">
        <v>1484</v>
      </c>
      <c r="Z1149" s="73" t="s">
        <v>1485</v>
      </c>
      <c r="AA1149" s="73" t="s">
        <v>1485</v>
      </c>
      <c r="AB1149" s="73" t="s">
        <v>1484</v>
      </c>
      <c r="AC1149" s="73" t="s">
        <v>1486</v>
      </c>
      <c r="AD1149" s="73" t="s">
        <v>1487</v>
      </c>
      <c r="AE1149" s="75" t="s">
        <v>1488</v>
      </c>
    </row>
    <row r="1150" spans="1:31" x14ac:dyDescent="0.3">
      <c r="A1150" s="76"/>
      <c r="B1150" s="77"/>
      <c r="C1150" s="78" t="s">
        <v>1493</v>
      </c>
      <c r="D1150" s="78" t="s">
        <v>298</v>
      </c>
      <c r="E1150" s="78" t="s">
        <v>1503</v>
      </c>
      <c r="F1150" s="78" t="s">
        <v>1495</v>
      </c>
      <c r="G1150" s="78" t="s">
        <v>1492</v>
      </c>
      <c r="H1150" s="77"/>
      <c r="I1150" s="226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9"/>
    </row>
    <row r="1151" spans="1:31" x14ac:dyDescent="0.3">
      <c r="A1151" s="76"/>
      <c r="B1151" s="77"/>
      <c r="C1151" s="78" t="s">
        <v>1496</v>
      </c>
      <c r="D1151" s="78" t="s">
        <v>106</v>
      </c>
      <c r="E1151" s="78" t="s">
        <v>1500</v>
      </c>
      <c r="F1151" s="78" t="s">
        <v>1501</v>
      </c>
      <c r="G1151" s="78" t="s">
        <v>1492</v>
      </c>
      <c r="H1151" s="77"/>
      <c r="I1151" s="226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9"/>
    </row>
    <row r="1152" spans="1:31" x14ac:dyDescent="0.3">
      <c r="A1152" s="76"/>
      <c r="B1152" s="77"/>
      <c r="C1152" s="78" t="s">
        <v>1502</v>
      </c>
      <c r="D1152" s="78" t="s">
        <v>770</v>
      </c>
      <c r="E1152" s="78" t="s">
        <v>1620</v>
      </c>
      <c r="F1152" s="78" t="s">
        <v>1495</v>
      </c>
      <c r="G1152" s="78" t="s">
        <v>1492</v>
      </c>
      <c r="H1152" s="77"/>
      <c r="I1152" s="226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9"/>
    </row>
    <row r="1153" spans="1:31" x14ac:dyDescent="0.3">
      <c r="A1153" s="76"/>
      <c r="B1153" s="80"/>
      <c r="C1153" s="78" t="s">
        <v>1507</v>
      </c>
      <c r="D1153" s="78" t="s">
        <v>771</v>
      </c>
      <c r="E1153" s="78" t="s">
        <v>1500</v>
      </c>
      <c r="F1153" s="78" t="s">
        <v>1501</v>
      </c>
      <c r="G1153" s="78" t="s">
        <v>1492</v>
      </c>
      <c r="H1153" s="77"/>
      <c r="I1153" s="226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9"/>
    </row>
    <row r="1154" spans="1:31" ht="15" thickBot="1" x14ac:dyDescent="0.35">
      <c r="A1154" s="76"/>
      <c r="B1154" s="78" t="s">
        <v>1485</v>
      </c>
      <c r="C1154" s="78" t="s">
        <v>1485</v>
      </c>
      <c r="D1154" s="78" t="s">
        <v>2070</v>
      </c>
      <c r="E1154" s="78" t="s">
        <v>1709</v>
      </c>
      <c r="F1154" s="78" t="s">
        <v>1512</v>
      </c>
      <c r="G1154" s="78" t="s">
        <v>1513</v>
      </c>
      <c r="H1154" s="77"/>
      <c r="I1154" s="22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9"/>
    </row>
    <row r="1155" spans="1:31" x14ac:dyDescent="0.3">
      <c r="A1155" s="76"/>
      <c r="B1155" s="78" t="s">
        <v>1485</v>
      </c>
      <c r="C1155" s="78" t="s">
        <v>1485</v>
      </c>
      <c r="D1155" s="78" t="s">
        <v>2071</v>
      </c>
      <c r="E1155" s="78" t="s">
        <v>1534</v>
      </c>
      <c r="F1155" s="78" t="s">
        <v>1535</v>
      </c>
      <c r="G1155" s="78" t="s">
        <v>1513</v>
      </c>
      <c r="H1155" s="77"/>
      <c r="I1155" s="225" t="s">
        <v>1485</v>
      </c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9"/>
    </row>
    <row r="1156" spans="1:31" x14ac:dyDescent="0.3">
      <c r="A1156" s="76"/>
      <c r="B1156" s="78" t="s">
        <v>1794</v>
      </c>
      <c r="C1156" s="78" t="s">
        <v>1496</v>
      </c>
      <c r="D1156" s="78" t="s">
        <v>219</v>
      </c>
      <c r="E1156" s="78" t="s">
        <v>1795</v>
      </c>
      <c r="F1156" s="78" t="s">
        <v>1600</v>
      </c>
      <c r="G1156" s="78" t="s">
        <v>1513</v>
      </c>
      <c r="H1156" s="77"/>
      <c r="I1156" s="226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9"/>
    </row>
    <row r="1157" spans="1:31" x14ac:dyDescent="0.3">
      <c r="A1157" s="76"/>
      <c r="B1157" s="78" t="s">
        <v>1769</v>
      </c>
      <c r="C1157" s="78" t="s">
        <v>1489</v>
      </c>
      <c r="D1157" s="78" t="s">
        <v>298</v>
      </c>
      <c r="E1157" s="78" t="s">
        <v>1503</v>
      </c>
      <c r="F1157" s="78" t="s">
        <v>1495</v>
      </c>
      <c r="G1157" s="78" t="s">
        <v>1513</v>
      </c>
      <c r="H1157" s="77"/>
      <c r="I1157" s="226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9"/>
    </row>
    <row r="1158" spans="1:31" x14ac:dyDescent="0.3">
      <c r="A1158" s="76"/>
      <c r="B1158" s="78" t="s">
        <v>2072</v>
      </c>
      <c r="C1158" s="78" t="s">
        <v>1493</v>
      </c>
      <c r="D1158" s="78" t="s">
        <v>770</v>
      </c>
      <c r="E1158" s="78" t="s">
        <v>1620</v>
      </c>
      <c r="F1158" s="78" t="s">
        <v>1495</v>
      </c>
      <c r="G1158" s="78" t="s">
        <v>1513</v>
      </c>
      <c r="H1158" s="77"/>
      <c r="I1158" s="226"/>
      <c r="J1158" s="77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9"/>
    </row>
    <row r="1159" spans="1:31" x14ac:dyDescent="0.3">
      <c r="A1159" s="76"/>
      <c r="B1159" s="78" t="s">
        <v>1656</v>
      </c>
      <c r="C1159" s="78" t="s">
        <v>1499</v>
      </c>
      <c r="D1159" s="78" t="s">
        <v>106</v>
      </c>
      <c r="E1159" s="78" t="s">
        <v>1500</v>
      </c>
      <c r="F1159" s="78" t="s">
        <v>1501</v>
      </c>
      <c r="G1159" s="78" t="s">
        <v>1513</v>
      </c>
      <c r="H1159" s="77"/>
      <c r="I1159" s="226"/>
      <c r="J1159" s="77"/>
      <c r="K1159" s="77"/>
      <c r="L1159" s="77"/>
      <c r="M1159" s="77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9"/>
    </row>
    <row r="1160" spans="1:31" ht="15" thickBot="1" x14ac:dyDescent="0.35">
      <c r="A1160" s="81"/>
      <c r="B1160" s="82" t="s">
        <v>1872</v>
      </c>
      <c r="C1160" s="82" t="s">
        <v>1493</v>
      </c>
      <c r="D1160" s="82" t="s">
        <v>771</v>
      </c>
      <c r="E1160" s="82" t="s">
        <v>1500</v>
      </c>
      <c r="F1160" s="82" t="s">
        <v>1501</v>
      </c>
      <c r="G1160" s="82" t="s">
        <v>1513</v>
      </c>
      <c r="H1160" s="83"/>
      <c r="I1160" s="226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  <c r="AA1160" s="83"/>
      <c r="AB1160" s="83"/>
      <c r="AC1160" s="83"/>
      <c r="AD1160" s="83"/>
      <c r="AE1160" s="84"/>
    </row>
    <row r="1161" spans="1:31" x14ac:dyDescent="0.3">
      <c r="A1161" s="72" t="s">
        <v>112</v>
      </c>
      <c r="B1161" s="73" t="s">
        <v>2073</v>
      </c>
      <c r="C1161" s="74" t="s">
        <v>1479</v>
      </c>
      <c r="D1161" s="74" t="s">
        <v>113</v>
      </c>
      <c r="E1161" s="74" t="s">
        <v>1480</v>
      </c>
      <c r="F1161" s="74"/>
      <c r="G1161" s="74" t="s">
        <v>1481</v>
      </c>
      <c r="H1161" s="73" t="s">
        <v>1482</v>
      </c>
      <c r="I1161" s="226"/>
      <c r="J1161" s="73" t="s">
        <v>111</v>
      </c>
      <c r="K1161" s="73">
        <v>8</v>
      </c>
      <c r="L1161" s="73" t="s">
        <v>195</v>
      </c>
      <c r="M1161" s="73" t="s">
        <v>1483</v>
      </c>
      <c r="N1161" s="73" t="s">
        <v>1483</v>
      </c>
      <c r="O1161" s="73" t="s">
        <v>1483</v>
      </c>
      <c r="P1161" s="73" t="s">
        <v>1483</v>
      </c>
      <c r="Q1161" s="73" t="s">
        <v>1483</v>
      </c>
      <c r="R1161" s="73" t="s">
        <v>1483</v>
      </c>
      <c r="S1161" s="73" t="s">
        <v>1484</v>
      </c>
      <c r="T1161" s="73" t="s">
        <v>1484</v>
      </c>
      <c r="U1161" s="73" t="s">
        <v>1484</v>
      </c>
      <c r="V1161" s="73" t="s">
        <v>1484</v>
      </c>
      <c r="W1161" s="73" t="s">
        <v>1485</v>
      </c>
      <c r="X1161" s="73" t="s">
        <v>1484</v>
      </c>
      <c r="Y1161" s="73" t="s">
        <v>1484</v>
      </c>
      <c r="Z1161" s="73" t="s">
        <v>1485</v>
      </c>
      <c r="AA1161" s="73" t="s">
        <v>1485</v>
      </c>
      <c r="AB1161" s="73" t="s">
        <v>1484</v>
      </c>
      <c r="AC1161" s="73" t="s">
        <v>1486</v>
      </c>
      <c r="AD1161" s="73" t="s">
        <v>1487</v>
      </c>
      <c r="AE1161" s="75" t="s">
        <v>1488</v>
      </c>
    </row>
    <row r="1162" spans="1:31" x14ac:dyDescent="0.3">
      <c r="A1162" s="76"/>
      <c r="B1162" s="77"/>
      <c r="C1162" s="78" t="s">
        <v>1493</v>
      </c>
      <c r="D1162" s="78" t="s">
        <v>114</v>
      </c>
      <c r="E1162" s="78" t="s">
        <v>1494</v>
      </c>
      <c r="F1162" s="78" t="s">
        <v>1495</v>
      </c>
      <c r="G1162" s="78" t="s">
        <v>1492</v>
      </c>
      <c r="H1162" s="77"/>
      <c r="I1162" s="226"/>
      <c r="J1162" s="77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77"/>
      <c r="AC1162" s="77"/>
      <c r="AD1162" s="77"/>
      <c r="AE1162" s="79"/>
    </row>
    <row r="1163" spans="1:31" x14ac:dyDescent="0.3">
      <c r="A1163" s="76"/>
      <c r="B1163" s="77"/>
      <c r="C1163" s="78" t="s">
        <v>1496</v>
      </c>
      <c r="D1163" s="78" t="s">
        <v>115</v>
      </c>
      <c r="E1163" s="78" t="s">
        <v>1595</v>
      </c>
      <c r="F1163" s="78" t="s">
        <v>1619</v>
      </c>
      <c r="G1163" s="78" t="s">
        <v>1492</v>
      </c>
      <c r="H1163" s="85"/>
      <c r="I1163" s="226"/>
      <c r="J1163" s="77"/>
      <c r="K1163" s="77"/>
      <c r="L1163" s="77"/>
      <c r="M1163" s="77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77"/>
      <c r="AC1163" s="77"/>
      <c r="AD1163" s="77"/>
      <c r="AE1163" s="79"/>
    </row>
    <row r="1164" spans="1:31" x14ac:dyDescent="0.3">
      <c r="A1164" s="76"/>
      <c r="B1164" s="77"/>
      <c r="C1164" s="78" t="s">
        <v>1499</v>
      </c>
      <c r="D1164" s="78" t="s">
        <v>116</v>
      </c>
      <c r="E1164" s="78" t="s">
        <v>1494</v>
      </c>
      <c r="F1164" s="78" t="s">
        <v>1495</v>
      </c>
      <c r="G1164" s="78" t="s">
        <v>1492</v>
      </c>
      <c r="H1164" s="77"/>
      <c r="I1164" s="226"/>
      <c r="J1164" s="77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77"/>
      <c r="AC1164" s="77"/>
      <c r="AD1164" s="77"/>
      <c r="AE1164" s="79"/>
    </row>
    <row r="1165" spans="1:31" x14ac:dyDescent="0.3">
      <c r="A1165" s="76"/>
      <c r="B1165" s="77"/>
      <c r="C1165" s="78" t="s">
        <v>1504</v>
      </c>
      <c r="D1165" s="78" t="s">
        <v>92</v>
      </c>
      <c r="E1165" s="78" t="s">
        <v>1500</v>
      </c>
      <c r="F1165" s="78" t="s">
        <v>1501</v>
      </c>
      <c r="G1165" s="78" t="s">
        <v>1492</v>
      </c>
      <c r="H1165" s="85"/>
      <c r="I1165" s="226"/>
      <c r="J1165" s="77"/>
      <c r="K1165" s="77"/>
      <c r="L1165" s="77"/>
      <c r="M1165" s="77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77"/>
      <c r="AC1165" s="77"/>
      <c r="AD1165" s="77"/>
      <c r="AE1165" s="79"/>
    </row>
    <row r="1166" spans="1:31" ht="15" thickBot="1" x14ac:dyDescent="0.35">
      <c r="A1166" s="76"/>
      <c r="B1166" s="80"/>
      <c r="C1166" s="78" t="s">
        <v>1507</v>
      </c>
      <c r="D1166" s="78" t="s">
        <v>117</v>
      </c>
      <c r="E1166" s="78" t="s">
        <v>1508</v>
      </c>
      <c r="F1166" s="78" t="s">
        <v>1509</v>
      </c>
      <c r="G1166" s="78" t="s">
        <v>1492</v>
      </c>
      <c r="H1166" s="77"/>
      <c r="I1166" s="227"/>
      <c r="J1166" s="77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77"/>
      <c r="AC1166" s="77"/>
      <c r="AD1166" s="77"/>
      <c r="AE1166" s="79"/>
    </row>
    <row r="1167" spans="1:31" x14ac:dyDescent="0.3">
      <c r="A1167" s="76"/>
      <c r="B1167" s="78" t="s">
        <v>1485</v>
      </c>
      <c r="C1167" s="78" t="s">
        <v>1485</v>
      </c>
      <c r="D1167" s="78" t="s">
        <v>2074</v>
      </c>
      <c r="E1167" s="78" t="s">
        <v>1534</v>
      </c>
      <c r="F1167" s="78" t="s">
        <v>1535</v>
      </c>
      <c r="G1167" s="78" t="s">
        <v>1513</v>
      </c>
      <c r="H1167" s="77"/>
      <c r="I1167" s="225">
        <v>4</v>
      </c>
      <c r="J1167" s="77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9"/>
    </row>
    <row r="1168" spans="1:31" x14ac:dyDescent="0.3">
      <c r="A1168" s="76"/>
      <c r="B1168" s="78" t="s">
        <v>1485</v>
      </c>
      <c r="C1168" s="78" t="s">
        <v>1485</v>
      </c>
      <c r="D1168" s="78" t="s">
        <v>2075</v>
      </c>
      <c r="E1168" s="78" t="s">
        <v>1511</v>
      </c>
      <c r="F1168" s="78" t="s">
        <v>1623</v>
      </c>
      <c r="G1168" s="78" t="s">
        <v>1513</v>
      </c>
      <c r="H1168" s="77"/>
      <c r="I1168" s="226"/>
      <c r="J1168" s="77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77"/>
      <c r="AC1168" s="77"/>
      <c r="AD1168" s="77"/>
      <c r="AE1168" s="79"/>
    </row>
    <row r="1169" spans="1:31" x14ac:dyDescent="0.3">
      <c r="A1169" s="76"/>
      <c r="B1169" s="78" t="s">
        <v>1778</v>
      </c>
      <c r="C1169" s="78" t="s">
        <v>1496</v>
      </c>
      <c r="D1169" s="78" t="s">
        <v>119</v>
      </c>
      <c r="E1169" s="78" t="s">
        <v>1480</v>
      </c>
      <c r="F1169" s="78" t="s">
        <v>1518</v>
      </c>
      <c r="G1169" s="78" t="s">
        <v>1513</v>
      </c>
      <c r="H1169" s="77"/>
      <c r="I1169" s="226"/>
      <c r="J1169" s="77"/>
      <c r="K1169" s="77"/>
      <c r="L1169" s="77"/>
      <c r="M1169" s="77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77"/>
      <c r="AC1169" s="77"/>
      <c r="AD1169" s="77"/>
      <c r="AE1169" s="79"/>
    </row>
    <row r="1170" spans="1:31" x14ac:dyDescent="0.3">
      <c r="A1170" s="76"/>
      <c r="B1170" s="78" t="s">
        <v>1878</v>
      </c>
      <c r="C1170" s="78" t="s">
        <v>1489</v>
      </c>
      <c r="D1170" s="78" t="s">
        <v>114</v>
      </c>
      <c r="E1170" s="78" t="s">
        <v>1494</v>
      </c>
      <c r="F1170" s="78" t="s">
        <v>1495</v>
      </c>
      <c r="G1170" s="78" t="s">
        <v>1513</v>
      </c>
      <c r="H1170" s="77"/>
      <c r="I1170" s="226"/>
      <c r="J1170" s="77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77"/>
      <c r="AC1170" s="77"/>
      <c r="AD1170" s="77"/>
      <c r="AE1170" s="79"/>
    </row>
    <row r="1171" spans="1:31" x14ac:dyDescent="0.3">
      <c r="A1171" s="76"/>
      <c r="B1171" s="78" t="s">
        <v>1976</v>
      </c>
      <c r="C1171" s="78" t="s">
        <v>1489</v>
      </c>
      <c r="D1171" s="78" t="s">
        <v>116</v>
      </c>
      <c r="E1171" s="78" t="s">
        <v>1494</v>
      </c>
      <c r="F1171" s="78" t="s">
        <v>1495</v>
      </c>
      <c r="G1171" s="78" t="s">
        <v>1513</v>
      </c>
      <c r="H1171" s="77"/>
      <c r="I1171" s="226"/>
      <c r="J1171" s="77"/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77"/>
      <c r="AC1171" s="77"/>
      <c r="AD1171" s="77"/>
      <c r="AE1171" s="79"/>
    </row>
    <row r="1172" spans="1:31" x14ac:dyDescent="0.3">
      <c r="A1172" s="76"/>
      <c r="B1172" s="78" t="s">
        <v>1649</v>
      </c>
      <c r="C1172" s="78" t="s">
        <v>1489</v>
      </c>
      <c r="D1172" s="78" t="s">
        <v>92</v>
      </c>
      <c r="E1172" s="78" t="s">
        <v>1500</v>
      </c>
      <c r="F1172" s="78" t="s">
        <v>1501</v>
      </c>
      <c r="G1172" s="78" t="s">
        <v>1513</v>
      </c>
      <c r="H1172" s="77"/>
      <c r="I1172" s="226"/>
      <c r="J1172" s="77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77"/>
      <c r="AC1172" s="77"/>
      <c r="AD1172" s="77"/>
      <c r="AE1172" s="79"/>
    </row>
    <row r="1173" spans="1:31" x14ac:dyDescent="0.3">
      <c r="A1173" s="76"/>
      <c r="B1173" s="78" t="s">
        <v>1939</v>
      </c>
      <c r="C1173" s="78" t="s">
        <v>1493</v>
      </c>
      <c r="D1173" s="78" t="s">
        <v>120</v>
      </c>
      <c r="E1173" s="78" t="s">
        <v>1933</v>
      </c>
      <c r="F1173" s="78" t="s">
        <v>1558</v>
      </c>
      <c r="G1173" s="78" t="s">
        <v>1513</v>
      </c>
      <c r="H1173" s="77"/>
      <c r="I1173" s="226"/>
      <c r="J1173" s="77"/>
      <c r="K1173" s="77"/>
      <c r="L1173" s="77"/>
      <c r="M1173" s="77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77"/>
      <c r="AC1173" s="77"/>
      <c r="AD1173" s="77"/>
      <c r="AE1173" s="79"/>
    </row>
    <row r="1174" spans="1:31" ht="15" thickBot="1" x14ac:dyDescent="0.35">
      <c r="A1174" s="81"/>
      <c r="B1174" s="82" t="s">
        <v>1711</v>
      </c>
      <c r="C1174" s="82" t="s">
        <v>1489</v>
      </c>
      <c r="D1174" s="82" t="s">
        <v>115</v>
      </c>
      <c r="E1174" s="82" t="s">
        <v>1595</v>
      </c>
      <c r="F1174" s="82" t="s">
        <v>1619</v>
      </c>
      <c r="G1174" s="82" t="s">
        <v>1513</v>
      </c>
      <c r="H1174" s="82"/>
      <c r="I1174" s="226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  <c r="X1174" s="83"/>
      <c r="Y1174" s="83"/>
      <c r="Z1174" s="83"/>
      <c r="AA1174" s="83"/>
      <c r="AB1174" s="83"/>
      <c r="AC1174" s="83"/>
      <c r="AD1174" s="83"/>
      <c r="AE1174" s="84"/>
    </row>
    <row r="1175" spans="1:31" x14ac:dyDescent="0.3">
      <c r="A1175" s="72" t="s">
        <v>100</v>
      </c>
      <c r="B1175" s="73" t="s">
        <v>2076</v>
      </c>
      <c r="C1175" s="74" t="s">
        <v>1479</v>
      </c>
      <c r="D1175" s="74" t="s">
        <v>101</v>
      </c>
      <c r="E1175" s="74" t="s">
        <v>1480</v>
      </c>
      <c r="F1175" s="74"/>
      <c r="G1175" s="74" t="s">
        <v>1481</v>
      </c>
      <c r="H1175" s="73" t="s">
        <v>1482</v>
      </c>
      <c r="I1175" s="226"/>
      <c r="J1175" s="73" t="s">
        <v>99</v>
      </c>
      <c r="K1175" s="73">
        <v>7</v>
      </c>
      <c r="L1175" s="73" t="s">
        <v>195</v>
      </c>
      <c r="M1175" s="73" t="s">
        <v>1483</v>
      </c>
      <c r="N1175" s="73" t="s">
        <v>1483</v>
      </c>
      <c r="O1175" s="73" t="s">
        <v>1483</v>
      </c>
      <c r="P1175" s="73" t="s">
        <v>1483</v>
      </c>
      <c r="Q1175" s="73" t="s">
        <v>1483</v>
      </c>
      <c r="R1175" s="73" t="s">
        <v>1483</v>
      </c>
      <c r="S1175" s="73" t="s">
        <v>1484</v>
      </c>
      <c r="T1175" s="73" t="s">
        <v>1484</v>
      </c>
      <c r="U1175" s="73" t="s">
        <v>1484</v>
      </c>
      <c r="V1175" s="73" t="s">
        <v>1484</v>
      </c>
      <c r="W1175" s="73" t="s">
        <v>1485</v>
      </c>
      <c r="X1175" s="73" t="s">
        <v>1484</v>
      </c>
      <c r="Y1175" s="73" t="s">
        <v>1484</v>
      </c>
      <c r="Z1175" s="73" t="s">
        <v>1485</v>
      </c>
      <c r="AA1175" s="73" t="s">
        <v>1485</v>
      </c>
      <c r="AB1175" s="73" t="s">
        <v>1484</v>
      </c>
      <c r="AC1175" s="73" t="s">
        <v>1486</v>
      </c>
      <c r="AD1175" s="73" t="s">
        <v>1487</v>
      </c>
      <c r="AE1175" s="75" t="s">
        <v>1488</v>
      </c>
    </row>
    <row r="1176" spans="1:31" x14ac:dyDescent="0.3">
      <c r="A1176" s="76"/>
      <c r="B1176" s="77"/>
      <c r="C1176" s="78" t="s">
        <v>1489</v>
      </c>
      <c r="D1176" s="78" t="s">
        <v>102</v>
      </c>
      <c r="E1176" s="78" t="s">
        <v>1933</v>
      </c>
      <c r="F1176" s="78" t="s">
        <v>1565</v>
      </c>
      <c r="G1176" s="78" t="s">
        <v>1492</v>
      </c>
      <c r="H1176" s="77"/>
      <c r="I1176" s="226"/>
      <c r="J1176" s="77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77"/>
      <c r="AC1176" s="77"/>
      <c r="AD1176" s="77"/>
      <c r="AE1176" s="79"/>
    </row>
    <row r="1177" spans="1:31" x14ac:dyDescent="0.3">
      <c r="A1177" s="76"/>
      <c r="B1177" s="77"/>
      <c r="C1177" s="78" t="s">
        <v>1493</v>
      </c>
      <c r="D1177" s="78" t="s">
        <v>103</v>
      </c>
      <c r="E1177" s="78" t="s">
        <v>1494</v>
      </c>
      <c r="F1177" s="78" t="s">
        <v>1495</v>
      </c>
      <c r="G1177" s="78" t="s">
        <v>1492</v>
      </c>
      <c r="H1177" s="77"/>
      <c r="I1177" s="226"/>
      <c r="J1177" s="77"/>
      <c r="K1177" s="77"/>
      <c r="L1177" s="77"/>
      <c r="M1177" s="77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77"/>
      <c r="AC1177" s="77"/>
      <c r="AD1177" s="77"/>
      <c r="AE1177" s="79"/>
    </row>
    <row r="1178" spans="1:31" x14ac:dyDescent="0.3">
      <c r="A1178" s="76"/>
      <c r="B1178" s="77"/>
      <c r="C1178" s="78" t="s">
        <v>1496</v>
      </c>
      <c r="D1178" s="78" t="s">
        <v>104</v>
      </c>
      <c r="E1178" s="78" t="s">
        <v>1595</v>
      </c>
      <c r="F1178" s="78" t="s">
        <v>1564</v>
      </c>
      <c r="G1178" s="78" t="s">
        <v>1492</v>
      </c>
      <c r="H1178" s="85"/>
      <c r="I1178" s="226"/>
      <c r="J1178" s="77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77"/>
      <c r="AC1178" s="77"/>
      <c r="AD1178" s="77"/>
      <c r="AE1178" s="79"/>
    </row>
    <row r="1179" spans="1:31" x14ac:dyDescent="0.3">
      <c r="A1179" s="76"/>
      <c r="B1179" s="77"/>
      <c r="C1179" s="78" t="s">
        <v>1499</v>
      </c>
      <c r="D1179" s="78" t="s">
        <v>105</v>
      </c>
      <c r="E1179" s="78" t="s">
        <v>1494</v>
      </c>
      <c r="F1179" s="78" t="s">
        <v>1495</v>
      </c>
      <c r="G1179" s="78" t="s">
        <v>1492</v>
      </c>
      <c r="H1179" s="77"/>
      <c r="I1179" s="226"/>
      <c r="J1179" s="77"/>
      <c r="K1179" s="77"/>
      <c r="L1179" s="77"/>
      <c r="M1179" s="77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77"/>
      <c r="AC1179" s="77"/>
      <c r="AD1179" s="77"/>
      <c r="AE1179" s="79"/>
    </row>
    <row r="1180" spans="1:31" ht="15" thickBot="1" x14ac:dyDescent="0.35">
      <c r="A1180" s="76"/>
      <c r="B1180" s="77"/>
      <c r="C1180" s="78" t="s">
        <v>1504</v>
      </c>
      <c r="D1180" s="78" t="s">
        <v>106</v>
      </c>
      <c r="E1180" s="78" t="s">
        <v>1500</v>
      </c>
      <c r="F1180" s="78" t="s">
        <v>1501</v>
      </c>
      <c r="G1180" s="78" t="s">
        <v>1492</v>
      </c>
      <c r="H1180" s="85"/>
      <c r="I1180" s="227"/>
      <c r="J1180" s="77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77"/>
      <c r="AC1180" s="77"/>
      <c r="AD1180" s="77"/>
      <c r="AE1180" s="79"/>
    </row>
    <row r="1181" spans="1:31" x14ac:dyDescent="0.3">
      <c r="A1181" s="76"/>
      <c r="B1181" s="80"/>
      <c r="C1181" s="78" t="s">
        <v>1507</v>
      </c>
      <c r="D1181" s="78" t="s">
        <v>107</v>
      </c>
      <c r="E1181" s="78" t="s">
        <v>1508</v>
      </c>
      <c r="F1181" s="78" t="s">
        <v>1509</v>
      </c>
      <c r="G1181" s="78" t="s">
        <v>1492</v>
      </c>
      <c r="H1181" s="77"/>
      <c r="I1181" s="225">
        <v>3</v>
      </c>
      <c r="J1181" s="77"/>
      <c r="K1181" s="77"/>
      <c r="L1181" s="77"/>
      <c r="M1181" s="77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77"/>
      <c r="AC1181" s="77"/>
      <c r="AD1181" s="77"/>
      <c r="AE1181" s="79"/>
    </row>
    <row r="1182" spans="1:31" x14ac:dyDescent="0.3">
      <c r="A1182" s="76"/>
      <c r="B1182" s="78" t="s">
        <v>1485</v>
      </c>
      <c r="C1182" s="78" t="s">
        <v>1485</v>
      </c>
      <c r="D1182" s="78" t="s">
        <v>108</v>
      </c>
      <c r="E1182" s="78" t="s">
        <v>1511</v>
      </c>
      <c r="F1182" s="78" t="s">
        <v>1623</v>
      </c>
      <c r="G1182" s="78" t="s">
        <v>1513</v>
      </c>
      <c r="H1182" s="77"/>
      <c r="I1182" s="226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77"/>
      <c r="AC1182" s="77"/>
      <c r="AD1182" s="77"/>
      <c r="AE1182" s="79"/>
    </row>
    <row r="1183" spans="1:31" x14ac:dyDescent="0.3">
      <c r="A1183" s="76"/>
      <c r="B1183" s="78" t="s">
        <v>1784</v>
      </c>
      <c r="C1183" s="78" t="s">
        <v>1496</v>
      </c>
      <c r="D1183" s="78" t="s">
        <v>109</v>
      </c>
      <c r="E1183" s="78" t="s">
        <v>1480</v>
      </c>
      <c r="F1183" s="78" t="s">
        <v>1518</v>
      </c>
      <c r="G1183" s="78" t="s">
        <v>1513</v>
      </c>
      <c r="H1183" s="77"/>
      <c r="I1183" s="226"/>
      <c r="J1183" s="77"/>
      <c r="K1183" s="77"/>
      <c r="L1183" s="77"/>
      <c r="M1183" s="77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77"/>
      <c r="AC1183" s="77"/>
      <c r="AD1183" s="77"/>
      <c r="AE1183" s="79"/>
    </row>
    <row r="1184" spans="1:31" x14ac:dyDescent="0.3">
      <c r="A1184" s="76"/>
      <c r="B1184" s="78" t="s">
        <v>1779</v>
      </c>
      <c r="C1184" s="78" t="s">
        <v>1493</v>
      </c>
      <c r="D1184" s="78" t="s">
        <v>103</v>
      </c>
      <c r="E1184" s="78" t="s">
        <v>1494</v>
      </c>
      <c r="F1184" s="78" t="s">
        <v>1495</v>
      </c>
      <c r="G1184" s="78" t="s">
        <v>1513</v>
      </c>
      <c r="H1184" s="77"/>
      <c r="I1184" s="226"/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9"/>
    </row>
    <row r="1185" spans="1:31" x14ac:dyDescent="0.3">
      <c r="A1185" s="76"/>
      <c r="B1185" s="78" t="s">
        <v>1519</v>
      </c>
      <c r="C1185" s="78" t="s">
        <v>1489</v>
      </c>
      <c r="D1185" s="78" t="s">
        <v>105</v>
      </c>
      <c r="E1185" s="78" t="s">
        <v>1494</v>
      </c>
      <c r="F1185" s="78" t="s">
        <v>1495</v>
      </c>
      <c r="G1185" s="78" t="s">
        <v>1513</v>
      </c>
      <c r="H1185" s="77"/>
      <c r="I1185" s="226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9"/>
    </row>
    <row r="1186" spans="1:31" x14ac:dyDescent="0.3">
      <c r="A1186" s="76"/>
      <c r="B1186" s="78" t="s">
        <v>1656</v>
      </c>
      <c r="C1186" s="78" t="s">
        <v>1489</v>
      </c>
      <c r="D1186" s="78" t="s">
        <v>106</v>
      </c>
      <c r="E1186" s="78" t="s">
        <v>1500</v>
      </c>
      <c r="F1186" s="78" t="s">
        <v>1501</v>
      </c>
      <c r="G1186" s="78" t="s">
        <v>1513</v>
      </c>
      <c r="H1186" s="77"/>
      <c r="I1186" s="226"/>
      <c r="J1186" s="77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77"/>
      <c r="AC1186" s="77"/>
      <c r="AD1186" s="77"/>
      <c r="AE1186" s="79"/>
    </row>
    <row r="1187" spans="1:31" x14ac:dyDescent="0.3">
      <c r="A1187" s="76"/>
      <c r="B1187" s="78" t="s">
        <v>2040</v>
      </c>
      <c r="C1187" s="78" t="s">
        <v>1489</v>
      </c>
      <c r="D1187" s="78" t="s">
        <v>104</v>
      </c>
      <c r="E1187" s="78" t="s">
        <v>1595</v>
      </c>
      <c r="F1187" s="78" t="s">
        <v>1564</v>
      </c>
      <c r="G1187" s="78" t="s">
        <v>1513</v>
      </c>
      <c r="H1187" s="85"/>
      <c r="I1187" s="226"/>
      <c r="J1187" s="77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9"/>
    </row>
    <row r="1188" spans="1:31" ht="15" thickBot="1" x14ac:dyDescent="0.35">
      <c r="A1188" s="81"/>
      <c r="B1188" s="82" t="s">
        <v>1936</v>
      </c>
      <c r="C1188" s="82" t="s">
        <v>1489</v>
      </c>
      <c r="D1188" s="82" t="s">
        <v>102</v>
      </c>
      <c r="E1188" s="82" t="s">
        <v>1933</v>
      </c>
      <c r="F1188" s="82" t="s">
        <v>1565</v>
      </c>
      <c r="G1188" s="82" t="s">
        <v>1513</v>
      </c>
      <c r="H1188" s="82"/>
      <c r="I1188" s="226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  <c r="X1188" s="83"/>
      <c r="Y1188" s="83"/>
      <c r="Z1188" s="83"/>
      <c r="AA1188" s="83"/>
      <c r="AB1188" s="83"/>
      <c r="AC1188" s="83"/>
      <c r="AD1188" s="83"/>
      <c r="AE1188" s="84"/>
    </row>
    <row r="1189" spans="1:31" x14ac:dyDescent="0.3">
      <c r="A1189" s="72" t="s">
        <v>856</v>
      </c>
      <c r="B1189" s="73" t="s">
        <v>2077</v>
      </c>
      <c r="C1189" s="74" t="s">
        <v>1479</v>
      </c>
      <c r="D1189" s="74" t="s">
        <v>857</v>
      </c>
      <c r="E1189" s="74" t="s">
        <v>1480</v>
      </c>
      <c r="F1189" s="74"/>
      <c r="G1189" s="74" t="s">
        <v>1481</v>
      </c>
      <c r="H1189" s="73" t="s">
        <v>1482</v>
      </c>
      <c r="I1189" s="226"/>
      <c r="J1189" s="73" t="s">
        <v>855</v>
      </c>
      <c r="K1189" s="73">
        <v>121</v>
      </c>
      <c r="L1189" s="73" t="s">
        <v>195</v>
      </c>
      <c r="M1189" s="73" t="s">
        <v>1483</v>
      </c>
      <c r="N1189" s="73" t="s">
        <v>1483</v>
      </c>
      <c r="O1189" s="73" t="s">
        <v>1483</v>
      </c>
      <c r="P1189" s="73" t="s">
        <v>1483</v>
      </c>
      <c r="Q1189" s="73" t="s">
        <v>1483</v>
      </c>
      <c r="R1189" s="73" t="s">
        <v>1483</v>
      </c>
      <c r="S1189" s="73" t="s">
        <v>1484</v>
      </c>
      <c r="T1189" s="73" t="s">
        <v>1484</v>
      </c>
      <c r="U1189" s="73" t="s">
        <v>1484</v>
      </c>
      <c r="V1189" s="73" t="s">
        <v>1484</v>
      </c>
      <c r="W1189" s="73" t="s">
        <v>1485</v>
      </c>
      <c r="X1189" s="73" t="s">
        <v>1484</v>
      </c>
      <c r="Y1189" s="73" t="s">
        <v>1484</v>
      </c>
      <c r="Z1189" s="73" t="s">
        <v>1485</v>
      </c>
      <c r="AA1189" s="73" t="s">
        <v>1485</v>
      </c>
      <c r="AB1189" s="73" t="s">
        <v>1484</v>
      </c>
      <c r="AC1189" s="73" t="s">
        <v>1486</v>
      </c>
      <c r="AD1189" s="73" t="s">
        <v>1487</v>
      </c>
      <c r="AE1189" s="75" t="s">
        <v>1488</v>
      </c>
    </row>
    <row r="1190" spans="1:31" x14ac:dyDescent="0.3">
      <c r="A1190" s="76"/>
      <c r="B1190" s="77"/>
      <c r="C1190" s="78" t="s">
        <v>1489</v>
      </c>
      <c r="D1190" s="78" t="s">
        <v>858</v>
      </c>
      <c r="E1190" s="78" t="s">
        <v>1497</v>
      </c>
      <c r="F1190" s="78" t="s">
        <v>1498</v>
      </c>
      <c r="G1190" s="78" t="s">
        <v>1492</v>
      </c>
      <c r="H1190" s="77"/>
      <c r="I1190" s="226"/>
      <c r="J1190" s="77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9"/>
    </row>
    <row r="1191" spans="1:31" x14ac:dyDescent="0.3">
      <c r="A1191" s="76"/>
      <c r="B1191" s="77"/>
      <c r="C1191" s="78" t="s">
        <v>1493</v>
      </c>
      <c r="D1191" s="78" t="s">
        <v>565</v>
      </c>
      <c r="E1191" s="78" t="s">
        <v>1503</v>
      </c>
      <c r="F1191" s="78" t="s">
        <v>1495</v>
      </c>
      <c r="G1191" s="78" t="s">
        <v>1492</v>
      </c>
      <c r="H1191" s="77"/>
      <c r="I1191" s="226"/>
      <c r="J1191" s="77"/>
      <c r="K1191" s="77"/>
      <c r="L1191" s="77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9"/>
    </row>
    <row r="1192" spans="1:31" x14ac:dyDescent="0.3">
      <c r="A1192" s="76"/>
      <c r="B1192" s="77"/>
      <c r="C1192" s="78" t="s">
        <v>1496</v>
      </c>
      <c r="D1192" s="78" t="s">
        <v>27</v>
      </c>
      <c r="E1192" s="78" t="s">
        <v>1560</v>
      </c>
      <c r="F1192" s="78" t="s">
        <v>1619</v>
      </c>
      <c r="G1192" s="78" t="s">
        <v>1492</v>
      </c>
      <c r="H1192" s="77"/>
      <c r="I1192" s="226"/>
      <c r="J1192" s="77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9"/>
    </row>
    <row r="1193" spans="1:31" x14ac:dyDescent="0.3">
      <c r="A1193" s="76"/>
      <c r="B1193" s="77"/>
      <c r="C1193" s="78" t="s">
        <v>1499</v>
      </c>
      <c r="D1193" s="78" t="s">
        <v>142</v>
      </c>
      <c r="E1193" s="78" t="s">
        <v>1500</v>
      </c>
      <c r="F1193" s="78" t="s">
        <v>1501</v>
      </c>
      <c r="G1193" s="78" t="s">
        <v>1492</v>
      </c>
      <c r="H1193" s="77"/>
      <c r="I1193" s="226"/>
      <c r="J1193" s="77"/>
      <c r="K1193" s="77"/>
      <c r="L1193" s="77"/>
      <c r="M1193" s="77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9"/>
    </row>
    <row r="1194" spans="1:31" ht="15" thickBot="1" x14ac:dyDescent="0.35">
      <c r="A1194" s="76"/>
      <c r="B1194" s="77"/>
      <c r="C1194" s="78" t="s">
        <v>1502</v>
      </c>
      <c r="D1194" s="78" t="s">
        <v>171</v>
      </c>
      <c r="E1194" s="78" t="s">
        <v>1500</v>
      </c>
      <c r="F1194" s="78" t="s">
        <v>1501</v>
      </c>
      <c r="G1194" s="78" t="s">
        <v>1492</v>
      </c>
      <c r="H1194" s="77"/>
      <c r="I1194" s="22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9"/>
    </row>
    <row r="1195" spans="1:31" x14ac:dyDescent="0.3">
      <c r="A1195" s="76"/>
      <c r="B1195" s="77"/>
      <c r="C1195" s="78" t="s">
        <v>1504</v>
      </c>
      <c r="D1195" s="78" t="s">
        <v>61</v>
      </c>
      <c r="E1195" s="78" t="s">
        <v>1605</v>
      </c>
      <c r="F1195" s="78" t="s">
        <v>1565</v>
      </c>
      <c r="G1195" s="78" t="s">
        <v>1492</v>
      </c>
      <c r="H1195" s="77"/>
      <c r="I1195" s="225">
        <v>71</v>
      </c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9"/>
    </row>
    <row r="1196" spans="1:31" x14ac:dyDescent="0.3">
      <c r="A1196" s="76"/>
      <c r="B1196" s="80"/>
      <c r="C1196" s="78" t="s">
        <v>1507</v>
      </c>
      <c r="D1196" s="78" t="s">
        <v>311</v>
      </c>
      <c r="E1196" s="78" t="s">
        <v>1545</v>
      </c>
      <c r="F1196" s="78" t="s">
        <v>1619</v>
      </c>
      <c r="G1196" s="78" t="s">
        <v>1492</v>
      </c>
      <c r="H1196" s="77"/>
      <c r="I1196" s="226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9"/>
    </row>
    <row r="1197" spans="1:31" x14ac:dyDescent="0.3">
      <c r="A1197" s="76"/>
      <c r="B1197" s="78" t="s">
        <v>1485</v>
      </c>
      <c r="C1197" s="78" t="s">
        <v>1485</v>
      </c>
      <c r="D1197" s="78" t="s">
        <v>2078</v>
      </c>
      <c r="E1197" s="78" t="s">
        <v>1534</v>
      </c>
      <c r="F1197" s="78" t="s">
        <v>1535</v>
      </c>
      <c r="G1197" s="78" t="s">
        <v>1513</v>
      </c>
      <c r="H1197" s="77"/>
      <c r="I1197" s="226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9"/>
    </row>
    <row r="1198" spans="1:31" x14ac:dyDescent="0.3">
      <c r="A1198" s="76"/>
      <c r="B1198" s="78" t="s">
        <v>1485</v>
      </c>
      <c r="C1198" s="78" t="s">
        <v>1485</v>
      </c>
      <c r="D1198" s="78" t="s">
        <v>2079</v>
      </c>
      <c r="E1198" s="78" t="s">
        <v>1511</v>
      </c>
      <c r="F1198" s="78" t="s">
        <v>1512</v>
      </c>
      <c r="G1198" s="78" t="s">
        <v>1513</v>
      </c>
      <c r="H1198" s="77"/>
      <c r="I1198" s="226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77"/>
      <c r="AC1198" s="77"/>
      <c r="AD1198" s="77"/>
      <c r="AE1198" s="79"/>
    </row>
    <row r="1199" spans="1:31" x14ac:dyDescent="0.3">
      <c r="A1199" s="76"/>
      <c r="B1199" s="78" t="s">
        <v>1796</v>
      </c>
      <c r="C1199" s="78" t="s">
        <v>1496</v>
      </c>
      <c r="D1199" s="78" t="s">
        <v>133</v>
      </c>
      <c r="E1199" s="78" t="s">
        <v>1480</v>
      </c>
      <c r="F1199" s="78" t="s">
        <v>1518</v>
      </c>
      <c r="G1199" s="78" t="s">
        <v>1513</v>
      </c>
      <c r="H1199" s="77"/>
      <c r="I1199" s="226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77"/>
      <c r="AC1199" s="77"/>
      <c r="AD1199" s="77"/>
      <c r="AE1199" s="79"/>
    </row>
    <row r="1200" spans="1:31" x14ac:dyDescent="0.3">
      <c r="A1200" s="76"/>
      <c r="B1200" s="78" t="s">
        <v>1925</v>
      </c>
      <c r="C1200" s="78" t="s">
        <v>1499</v>
      </c>
      <c r="D1200" s="78" t="s">
        <v>565</v>
      </c>
      <c r="E1200" s="78" t="s">
        <v>1503</v>
      </c>
      <c r="F1200" s="78" t="s">
        <v>1495</v>
      </c>
      <c r="G1200" s="78" t="s">
        <v>1513</v>
      </c>
      <c r="H1200" s="77"/>
      <c r="I1200" s="226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77"/>
      <c r="AC1200" s="77"/>
      <c r="AD1200" s="77"/>
      <c r="AE1200" s="79"/>
    </row>
    <row r="1201" spans="1:31" x14ac:dyDescent="0.3">
      <c r="A1201" s="76"/>
      <c r="B1201" s="78" t="s">
        <v>1556</v>
      </c>
      <c r="C1201" s="78" t="s">
        <v>1489</v>
      </c>
      <c r="D1201" s="78" t="s">
        <v>142</v>
      </c>
      <c r="E1201" s="78" t="s">
        <v>1500</v>
      </c>
      <c r="F1201" s="78" t="s">
        <v>1501</v>
      </c>
      <c r="G1201" s="78" t="s">
        <v>1513</v>
      </c>
      <c r="H1201" s="77"/>
      <c r="I1201" s="226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77"/>
      <c r="AC1201" s="77"/>
      <c r="AD1201" s="77"/>
      <c r="AE1201" s="79"/>
    </row>
    <row r="1202" spans="1:31" x14ac:dyDescent="0.3">
      <c r="A1202" s="76"/>
      <c r="B1202" s="78" t="s">
        <v>1585</v>
      </c>
      <c r="C1202" s="78" t="s">
        <v>1496</v>
      </c>
      <c r="D1202" s="78" t="s">
        <v>171</v>
      </c>
      <c r="E1202" s="78" t="s">
        <v>1500</v>
      </c>
      <c r="F1202" s="78" t="s">
        <v>1501</v>
      </c>
      <c r="G1202" s="78" t="s">
        <v>1513</v>
      </c>
      <c r="H1202" s="77"/>
      <c r="I1202" s="226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77"/>
      <c r="AC1202" s="77"/>
      <c r="AD1202" s="77"/>
      <c r="AE1202" s="79"/>
    </row>
    <row r="1203" spans="1:31" x14ac:dyDescent="0.3">
      <c r="A1203" s="76"/>
      <c r="B1203" s="78" t="s">
        <v>1716</v>
      </c>
      <c r="C1203" s="78" t="s">
        <v>1489</v>
      </c>
      <c r="D1203" s="78" t="s">
        <v>27</v>
      </c>
      <c r="E1203" s="78" t="s">
        <v>1560</v>
      </c>
      <c r="F1203" s="78" t="s">
        <v>1619</v>
      </c>
      <c r="G1203" s="78" t="s">
        <v>1513</v>
      </c>
      <c r="H1203" s="77"/>
      <c r="I1203" s="226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9"/>
    </row>
    <row r="1204" spans="1:31" x14ac:dyDescent="0.3">
      <c r="A1204" s="76"/>
      <c r="B1204" s="78" t="s">
        <v>2080</v>
      </c>
      <c r="C1204" s="78" t="s">
        <v>1493</v>
      </c>
      <c r="D1204" s="78" t="s">
        <v>311</v>
      </c>
      <c r="E1204" s="78" t="s">
        <v>1545</v>
      </c>
      <c r="F1204" s="78" t="s">
        <v>1619</v>
      </c>
      <c r="G1204" s="78" t="s">
        <v>1513</v>
      </c>
      <c r="H1204" s="77"/>
      <c r="I1204" s="226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77"/>
      <c r="AC1204" s="77"/>
      <c r="AD1204" s="77"/>
      <c r="AE1204" s="79"/>
    </row>
    <row r="1205" spans="1:31" x14ac:dyDescent="0.3">
      <c r="A1205" s="76"/>
      <c r="B1205" s="78" t="s">
        <v>2081</v>
      </c>
      <c r="C1205" s="78" t="s">
        <v>1489</v>
      </c>
      <c r="D1205" s="78" t="s">
        <v>860</v>
      </c>
      <c r="E1205" s="78" t="s">
        <v>1508</v>
      </c>
      <c r="F1205" s="78" t="s">
        <v>1718</v>
      </c>
      <c r="G1205" s="78" t="s">
        <v>1513</v>
      </c>
      <c r="H1205" s="77"/>
      <c r="I1205" s="226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77"/>
      <c r="AC1205" s="77"/>
      <c r="AD1205" s="77"/>
      <c r="AE1205" s="79"/>
    </row>
    <row r="1206" spans="1:31" ht="15" thickBot="1" x14ac:dyDescent="0.35">
      <c r="A1206" s="81"/>
      <c r="B1206" s="82" t="s">
        <v>1616</v>
      </c>
      <c r="C1206" s="82" t="s">
        <v>1493</v>
      </c>
      <c r="D1206" s="82" t="s">
        <v>61</v>
      </c>
      <c r="E1206" s="82" t="s">
        <v>1605</v>
      </c>
      <c r="F1206" s="82" t="s">
        <v>1565</v>
      </c>
      <c r="G1206" s="82" t="s">
        <v>1513</v>
      </c>
      <c r="H1206" s="83"/>
      <c r="I1206" s="226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  <c r="X1206" s="83"/>
      <c r="Y1206" s="83"/>
      <c r="Z1206" s="83"/>
      <c r="AA1206" s="83"/>
      <c r="AB1206" s="83"/>
      <c r="AC1206" s="83"/>
      <c r="AD1206" s="83"/>
      <c r="AE1206" s="84"/>
    </row>
    <row r="1207" spans="1:31" x14ac:dyDescent="0.3">
      <c r="A1207" s="72" t="s">
        <v>849</v>
      </c>
      <c r="B1207" s="73" t="s">
        <v>2082</v>
      </c>
      <c r="C1207" s="74" t="s">
        <v>1479</v>
      </c>
      <c r="D1207" s="74" t="s">
        <v>850</v>
      </c>
      <c r="E1207" s="74" t="s">
        <v>1480</v>
      </c>
      <c r="F1207" s="74"/>
      <c r="G1207" s="74" t="s">
        <v>1481</v>
      </c>
      <c r="H1207" s="73" t="s">
        <v>1482</v>
      </c>
      <c r="I1207" s="226"/>
      <c r="J1207" s="73" t="s">
        <v>848</v>
      </c>
      <c r="K1207" s="73">
        <v>120</v>
      </c>
      <c r="L1207" s="73" t="s">
        <v>195</v>
      </c>
      <c r="M1207" s="73" t="s">
        <v>1483</v>
      </c>
      <c r="N1207" s="73" t="s">
        <v>1483</v>
      </c>
      <c r="O1207" s="73" t="s">
        <v>1483</v>
      </c>
      <c r="P1207" s="73" t="s">
        <v>1483</v>
      </c>
      <c r="Q1207" s="73" t="s">
        <v>1483</v>
      </c>
      <c r="R1207" s="73" t="s">
        <v>1483</v>
      </c>
      <c r="S1207" s="73" t="s">
        <v>1484</v>
      </c>
      <c r="T1207" s="73" t="s">
        <v>1484</v>
      </c>
      <c r="U1207" s="73" t="s">
        <v>1484</v>
      </c>
      <c r="V1207" s="73" t="s">
        <v>1484</v>
      </c>
      <c r="W1207" s="73" t="s">
        <v>1485</v>
      </c>
      <c r="X1207" s="73" t="s">
        <v>1484</v>
      </c>
      <c r="Y1207" s="73" t="s">
        <v>1484</v>
      </c>
      <c r="Z1207" s="73" t="s">
        <v>1485</v>
      </c>
      <c r="AA1207" s="73" t="s">
        <v>1485</v>
      </c>
      <c r="AB1207" s="73" t="s">
        <v>1484</v>
      </c>
      <c r="AC1207" s="73" t="s">
        <v>1486</v>
      </c>
      <c r="AD1207" s="73" t="s">
        <v>1487</v>
      </c>
      <c r="AE1207" s="75" t="s">
        <v>1488</v>
      </c>
    </row>
    <row r="1208" spans="1:31" x14ac:dyDescent="0.3">
      <c r="A1208" s="76"/>
      <c r="B1208" s="77"/>
      <c r="C1208" s="78" t="s">
        <v>1493</v>
      </c>
      <c r="D1208" s="78" t="s">
        <v>571</v>
      </c>
      <c r="E1208" s="78" t="s">
        <v>1503</v>
      </c>
      <c r="F1208" s="78" t="s">
        <v>1495</v>
      </c>
      <c r="G1208" s="78" t="s">
        <v>1492</v>
      </c>
      <c r="H1208" s="77"/>
      <c r="I1208" s="226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77"/>
      <c r="AC1208" s="77"/>
      <c r="AD1208" s="77"/>
      <c r="AE1208" s="79"/>
    </row>
    <row r="1209" spans="1:31" x14ac:dyDescent="0.3">
      <c r="A1209" s="76"/>
      <c r="B1209" s="77"/>
      <c r="C1209" s="78" t="s">
        <v>1496</v>
      </c>
      <c r="D1209" s="78" t="s">
        <v>93</v>
      </c>
      <c r="E1209" s="78" t="s">
        <v>1560</v>
      </c>
      <c r="F1209" s="78" t="s">
        <v>1631</v>
      </c>
      <c r="G1209" s="78" t="s">
        <v>1492</v>
      </c>
      <c r="H1209" s="77"/>
      <c r="I1209" s="226"/>
      <c r="J1209" s="77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77"/>
      <c r="AC1209" s="77"/>
      <c r="AD1209" s="77"/>
      <c r="AE1209" s="79"/>
    </row>
    <row r="1210" spans="1:31" x14ac:dyDescent="0.3">
      <c r="A1210" s="76"/>
      <c r="B1210" s="77"/>
      <c r="C1210" s="78" t="s">
        <v>1499</v>
      </c>
      <c r="D1210" s="78" t="s">
        <v>130</v>
      </c>
      <c r="E1210" s="78" t="s">
        <v>1500</v>
      </c>
      <c r="F1210" s="78" t="s">
        <v>1501</v>
      </c>
      <c r="G1210" s="78" t="s">
        <v>1492</v>
      </c>
      <c r="H1210" s="77"/>
      <c r="I1210" s="226"/>
      <c r="J1210" s="77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77"/>
      <c r="AC1210" s="77"/>
      <c r="AD1210" s="77"/>
      <c r="AE1210" s="79"/>
    </row>
    <row r="1211" spans="1:31" x14ac:dyDescent="0.3">
      <c r="A1211" s="76"/>
      <c r="B1211" s="77"/>
      <c r="C1211" s="78" t="s">
        <v>1502</v>
      </c>
      <c r="D1211" s="78" t="s">
        <v>158</v>
      </c>
      <c r="E1211" s="78" t="s">
        <v>1500</v>
      </c>
      <c r="F1211" s="78" t="s">
        <v>1501</v>
      </c>
      <c r="G1211" s="78" t="s">
        <v>1492</v>
      </c>
      <c r="H1211" s="77"/>
      <c r="I1211" s="226"/>
      <c r="J1211" s="77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77"/>
      <c r="AC1211" s="77"/>
      <c r="AD1211" s="77"/>
      <c r="AE1211" s="79"/>
    </row>
    <row r="1212" spans="1:31" ht="15" thickBot="1" x14ac:dyDescent="0.35">
      <c r="A1212" s="76"/>
      <c r="B1212" s="80"/>
      <c r="C1212" s="78" t="s">
        <v>1504</v>
      </c>
      <c r="D1212" s="78" t="s">
        <v>851</v>
      </c>
      <c r="E1212" s="78" t="s">
        <v>1497</v>
      </c>
      <c r="F1212" s="78" t="s">
        <v>1498</v>
      </c>
      <c r="G1212" s="78" t="s">
        <v>1492</v>
      </c>
      <c r="H1212" s="77"/>
      <c r="I1212" s="22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77"/>
      <c r="AC1212" s="77"/>
      <c r="AD1212" s="77"/>
      <c r="AE1212" s="79"/>
    </row>
    <row r="1213" spans="1:31" x14ac:dyDescent="0.3">
      <c r="A1213" s="76"/>
      <c r="B1213" s="78" t="s">
        <v>1485</v>
      </c>
      <c r="C1213" s="78" t="s">
        <v>1485</v>
      </c>
      <c r="D1213" s="78" t="s">
        <v>2083</v>
      </c>
      <c r="E1213" s="78" t="s">
        <v>1591</v>
      </c>
      <c r="F1213" s="78" t="s">
        <v>2084</v>
      </c>
      <c r="G1213" s="78" t="s">
        <v>1513</v>
      </c>
      <c r="H1213" s="77"/>
      <c r="I1213" s="225">
        <v>70</v>
      </c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77"/>
      <c r="AC1213" s="77"/>
      <c r="AD1213" s="77"/>
      <c r="AE1213" s="79"/>
    </row>
    <row r="1214" spans="1:31" x14ac:dyDescent="0.3">
      <c r="A1214" s="76"/>
      <c r="B1214" s="78" t="s">
        <v>1485</v>
      </c>
      <c r="C1214" s="78" t="s">
        <v>1485</v>
      </c>
      <c r="D1214" s="78" t="s">
        <v>2085</v>
      </c>
      <c r="E1214" s="78" t="s">
        <v>1534</v>
      </c>
      <c r="F1214" s="78" t="s">
        <v>1535</v>
      </c>
      <c r="G1214" s="78" t="s">
        <v>1513</v>
      </c>
      <c r="H1214" s="77"/>
      <c r="I1214" s="226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77"/>
      <c r="AC1214" s="77"/>
      <c r="AD1214" s="77"/>
      <c r="AE1214" s="79"/>
    </row>
    <row r="1215" spans="1:31" x14ac:dyDescent="0.3">
      <c r="A1215" s="76"/>
      <c r="B1215" s="78" t="s">
        <v>1485</v>
      </c>
      <c r="C1215" s="78" t="s">
        <v>1485</v>
      </c>
      <c r="D1215" s="78" t="s">
        <v>2086</v>
      </c>
      <c r="E1215" s="78" t="s">
        <v>1511</v>
      </c>
      <c r="F1215" s="78" t="s">
        <v>1512</v>
      </c>
      <c r="G1215" s="78" t="s">
        <v>1513</v>
      </c>
      <c r="H1215" s="77"/>
      <c r="I1215" s="226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77"/>
      <c r="AC1215" s="77"/>
      <c r="AD1215" s="77"/>
      <c r="AE1215" s="79"/>
    </row>
    <row r="1216" spans="1:31" x14ac:dyDescent="0.3">
      <c r="A1216" s="76"/>
      <c r="B1216" s="78" t="s">
        <v>1805</v>
      </c>
      <c r="C1216" s="78" t="s">
        <v>1496</v>
      </c>
      <c r="D1216" s="78" t="s">
        <v>247</v>
      </c>
      <c r="E1216" s="78" t="s">
        <v>1480</v>
      </c>
      <c r="F1216" s="78" t="s">
        <v>1518</v>
      </c>
      <c r="G1216" s="78" t="s">
        <v>1513</v>
      </c>
      <c r="H1216" s="77"/>
      <c r="I1216" s="226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77"/>
      <c r="AC1216" s="77"/>
      <c r="AD1216" s="77"/>
      <c r="AE1216" s="79"/>
    </row>
    <row r="1217" spans="1:31" x14ac:dyDescent="0.3">
      <c r="A1217" s="76"/>
      <c r="B1217" s="78" t="s">
        <v>1929</v>
      </c>
      <c r="C1217" s="78" t="s">
        <v>1499</v>
      </c>
      <c r="D1217" s="78" t="s">
        <v>571</v>
      </c>
      <c r="E1217" s="78" t="s">
        <v>1503</v>
      </c>
      <c r="F1217" s="78" t="s">
        <v>1495</v>
      </c>
      <c r="G1217" s="78" t="s">
        <v>1513</v>
      </c>
      <c r="H1217" s="77"/>
      <c r="I1217" s="226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9"/>
    </row>
    <row r="1218" spans="1:31" x14ac:dyDescent="0.3">
      <c r="A1218" s="76"/>
      <c r="B1218" s="78" t="s">
        <v>1570</v>
      </c>
      <c r="C1218" s="78" t="s">
        <v>1493</v>
      </c>
      <c r="D1218" s="78" t="s">
        <v>130</v>
      </c>
      <c r="E1218" s="78" t="s">
        <v>1500</v>
      </c>
      <c r="F1218" s="78" t="s">
        <v>1501</v>
      </c>
      <c r="G1218" s="78" t="s">
        <v>1513</v>
      </c>
      <c r="H1218" s="77"/>
      <c r="I1218" s="226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77"/>
      <c r="AC1218" s="77"/>
      <c r="AD1218" s="77"/>
      <c r="AE1218" s="79"/>
    </row>
    <row r="1219" spans="1:31" x14ac:dyDescent="0.3">
      <c r="A1219" s="76"/>
      <c r="B1219" s="78" t="s">
        <v>1636</v>
      </c>
      <c r="C1219" s="78" t="s">
        <v>1496</v>
      </c>
      <c r="D1219" s="78" t="s">
        <v>158</v>
      </c>
      <c r="E1219" s="78" t="s">
        <v>1500</v>
      </c>
      <c r="F1219" s="78" t="s">
        <v>1501</v>
      </c>
      <c r="G1219" s="78" t="s">
        <v>1513</v>
      </c>
      <c r="H1219" s="77"/>
      <c r="I1219" s="226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77"/>
      <c r="AC1219" s="77"/>
      <c r="AD1219" s="77"/>
      <c r="AE1219" s="79"/>
    </row>
    <row r="1220" spans="1:31" x14ac:dyDescent="0.3">
      <c r="A1220" s="76"/>
      <c r="B1220" s="78" t="s">
        <v>1604</v>
      </c>
      <c r="C1220" s="78" t="s">
        <v>1496</v>
      </c>
      <c r="D1220" s="78" t="s">
        <v>85</v>
      </c>
      <c r="E1220" s="78" t="s">
        <v>1605</v>
      </c>
      <c r="F1220" s="78" t="s">
        <v>1558</v>
      </c>
      <c r="G1220" s="78" t="s">
        <v>1513</v>
      </c>
      <c r="H1220" s="77"/>
      <c r="I1220" s="226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77"/>
      <c r="AC1220" s="77"/>
      <c r="AD1220" s="77"/>
      <c r="AE1220" s="79"/>
    </row>
    <row r="1221" spans="1:31" x14ac:dyDescent="0.3">
      <c r="A1221" s="76"/>
      <c r="B1221" s="78" t="s">
        <v>1657</v>
      </c>
      <c r="C1221" s="78" t="s">
        <v>1489</v>
      </c>
      <c r="D1221" s="78" t="s">
        <v>93</v>
      </c>
      <c r="E1221" s="78" t="s">
        <v>1560</v>
      </c>
      <c r="F1221" s="78" t="s">
        <v>1631</v>
      </c>
      <c r="G1221" s="78" t="s">
        <v>1513</v>
      </c>
      <c r="H1221" s="77"/>
      <c r="I1221" s="226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9"/>
    </row>
    <row r="1222" spans="1:31" ht="15" thickBot="1" x14ac:dyDescent="0.35">
      <c r="A1222" s="81"/>
      <c r="B1222" s="82" t="s">
        <v>2087</v>
      </c>
      <c r="C1222" s="82" t="s">
        <v>1489</v>
      </c>
      <c r="D1222" s="82" t="s">
        <v>853</v>
      </c>
      <c r="E1222" s="82" t="s">
        <v>1508</v>
      </c>
      <c r="F1222" s="82" t="s">
        <v>1718</v>
      </c>
      <c r="G1222" s="82" t="s">
        <v>1513</v>
      </c>
      <c r="H1222" s="83"/>
      <c r="I1222" s="226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  <c r="X1222" s="83"/>
      <c r="Y1222" s="83"/>
      <c r="Z1222" s="83"/>
      <c r="AA1222" s="83"/>
      <c r="AB1222" s="83"/>
      <c r="AC1222" s="83"/>
      <c r="AD1222" s="83"/>
      <c r="AE1222" s="84"/>
    </row>
    <row r="1223" spans="1:31" x14ac:dyDescent="0.3">
      <c r="A1223" s="72" t="s">
        <v>843</v>
      </c>
      <c r="B1223" s="73" t="s">
        <v>2088</v>
      </c>
      <c r="C1223" s="74" t="s">
        <v>1479</v>
      </c>
      <c r="D1223" s="74" t="s">
        <v>844</v>
      </c>
      <c r="E1223" s="74" t="s">
        <v>1480</v>
      </c>
      <c r="F1223" s="74"/>
      <c r="G1223" s="74" t="s">
        <v>1481</v>
      </c>
      <c r="H1223" s="73" t="s">
        <v>1482</v>
      </c>
      <c r="I1223" s="226"/>
      <c r="J1223" s="73" t="s">
        <v>842</v>
      </c>
      <c r="K1223" s="73">
        <v>119</v>
      </c>
      <c r="L1223" s="73" t="s">
        <v>195</v>
      </c>
      <c r="M1223" s="73" t="s">
        <v>1483</v>
      </c>
      <c r="N1223" s="73" t="s">
        <v>1483</v>
      </c>
      <c r="O1223" s="73" t="s">
        <v>1483</v>
      </c>
      <c r="P1223" s="73" t="s">
        <v>1483</v>
      </c>
      <c r="Q1223" s="73" t="s">
        <v>1483</v>
      </c>
      <c r="R1223" s="73" t="s">
        <v>1483</v>
      </c>
      <c r="S1223" s="73" t="s">
        <v>1484</v>
      </c>
      <c r="T1223" s="73" t="s">
        <v>1484</v>
      </c>
      <c r="U1223" s="73" t="s">
        <v>1484</v>
      </c>
      <c r="V1223" s="73" t="s">
        <v>1484</v>
      </c>
      <c r="W1223" s="73" t="s">
        <v>1485</v>
      </c>
      <c r="X1223" s="73" t="s">
        <v>1484</v>
      </c>
      <c r="Y1223" s="73" t="s">
        <v>1484</v>
      </c>
      <c r="Z1223" s="73" t="s">
        <v>1485</v>
      </c>
      <c r="AA1223" s="73" t="s">
        <v>1485</v>
      </c>
      <c r="AB1223" s="73" t="s">
        <v>1484</v>
      </c>
      <c r="AC1223" s="73" t="s">
        <v>1486</v>
      </c>
      <c r="AD1223" s="73" t="s">
        <v>1487</v>
      </c>
      <c r="AE1223" s="75" t="s">
        <v>1488</v>
      </c>
    </row>
    <row r="1224" spans="1:31" x14ac:dyDescent="0.3">
      <c r="A1224" s="76"/>
      <c r="B1224" s="77"/>
      <c r="C1224" s="78" t="s">
        <v>1493</v>
      </c>
      <c r="D1224" s="78" t="s">
        <v>591</v>
      </c>
      <c r="E1224" s="78" t="s">
        <v>1503</v>
      </c>
      <c r="F1224" s="78" t="s">
        <v>1495</v>
      </c>
      <c r="G1224" s="78" t="s">
        <v>1492</v>
      </c>
      <c r="H1224" s="77"/>
      <c r="I1224" s="226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77"/>
      <c r="AC1224" s="77"/>
      <c r="AD1224" s="77"/>
      <c r="AE1224" s="79"/>
    </row>
    <row r="1225" spans="1:31" x14ac:dyDescent="0.3">
      <c r="A1225" s="76"/>
      <c r="B1225" s="77"/>
      <c r="C1225" s="78" t="s">
        <v>1496</v>
      </c>
      <c r="D1225" s="78" t="s">
        <v>167</v>
      </c>
      <c r="E1225" s="78" t="s">
        <v>1560</v>
      </c>
      <c r="F1225" s="78" t="s">
        <v>1528</v>
      </c>
      <c r="G1225" s="78" t="s">
        <v>1492</v>
      </c>
      <c r="H1225" s="77"/>
      <c r="I1225" s="226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9"/>
    </row>
    <row r="1226" spans="1:31" x14ac:dyDescent="0.3">
      <c r="A1226" s="76"/>
      <c r="B1226" s="77"/>
      <c r="C1226" s="78" t="s">
        <v>1502</v>
      </c>
      <c r="D1226" s="78" t="s">
        <v>845</v>
      </c>
      <c r="E1226" s="78" t="s">
        <v>1497</v>
      </c>
      <c r="F1226" s="78" t="s">
        <v>1498</v>
      </c>
      <c r="G1226" s="78" t="s">
        <v>1492</v>
      </c>
      <c r="H1226" s="77"/>
      <c r="I1226" s="226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9"/>
    </row>
    <row r="1227" spans="1:31" x14ac:dyDescent="0.3">
      <c r="A1227" s="76"/>
      <c r="B1227" s="80"/>
      <c r="C1227" s="78" t="s">
        <v>1507</v>
      </c>
      <c r="D1227" s="78" t="s">
        <v>261</v>
      </c>
      <c r="E1227" s="78" t="s">
        <v>1545</v>
      </c>
      <c r="F1227" s="78" t="s">
        <v>1631</v>
      </c>
      <c r="G1227" s="78" t="s">
        <v>1492</v>
      </c>
      <c r="H1227" s="77"/>
      <c r="I1227" s="226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9"/>
    </row>
    <row r="1228" spans="1:31" ht="15" thickBot="1" x14ac:dyDescent="0.35">
      <c r="A1228" s="76"/>
      <c r="B1228" s="78" t="s">
        <v>1485</v>
      </c>
      <c r="C1228" s="78" t="s">
        <v>1485</v>
      </c>
      <c r="D1228" s="78" t="s">
        <v>2089</v>
      </c>
      <c r="E1228" s="78" t="s">
        <v>1511</v>
      </c>
      <c r="F1228" s="78" t="s">
        <v>1512</v>
      </c>
      <c r="G1228" s="78" t="s">
        <v>1513</v>
      </c>
      <c r="H1228" s="77"/>
      <c r="I1228" s="22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9"/>
    </row>
    <row r="1229" spans="1:31" x14ac:dyDescent="0.3">
      <c r="A1229" s="76"/>
      <c r="B1229" s="78" t="s">
        <v>1485</v>
      </c>
      <c r="C1229" s="78" t="s">
        <v>1485</v>
      </c>
      <c r="D1229" s="78" t="s">
        <v>2090</v>
      </c>
      <c r="E1229" s="78" t="s">
        <v>1534</v>
      </c>
      <c r="F1229" s="78" t="s">
        <v>1535</v>
      </c>
      <c r="G1229" s="78" t="s">
        <v>1513</v>
      </c>
      <c r="H1229" s="77"/>
      <c r="I1229" s="225">
        <v>69</v>
      </c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9"/>
    </row>
    <row r="1230" spans="1:31" x14ac:dyDescent="0.3">
      <c r="A1230" s="76"/>
      <c r="B1230" s="78" t="s">
        <v>1814</v>
      </c>
      <c r="C1230" s="78" t="s">
        <v>1496</v>
      </c>
      <c r="D1230" s="78" t="s">
        <v>152</v>
      </c>
      <c r="E1230" s="78" t="s">
        <v>1480</v>
      </c>
      <c r="F1230" s="78" t="s">
        <v>1518</v>
      </c>
      <c r="G1230" s="78" t="s">
        <v>1513</v>
      </c>
      <c r="H1230" s="77"/>
      <c r="I1230" s="226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9"/>
    </row>
    <row r="1231" spans="1:31" x14ac:dyDescent="0.3">
      <c r="A1231" s="76"/>
      <c r="B1231" s="78" t="s">
        <v>1934</v>
      </c>
      <c r="C1231" s="78" t="s">
        <v>1499</v>
      </c>
      <c r="D1231" s="78" t="s">
        <v>591</v>
      </c>
      <c r="E1231" s="78" t="s">
        <v>1503</v>
      </c>
      <c r="F1231" s="78" t="s">
        <v>1495</v>
      </c>
      <c r="G1231" s="78" t="s">
        <v>1513</v>
      </c>
      <c r="H1231" s="77"/>
      <c r="I1231" s="226"/>
      <c r="J1231" s="77"/>
      <c r="K1231" s="77"/>
      <c r="L1231" s="77"/>
      <c r="M1231" s="77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9"/>
    </row>
    <row r="1232" spans="1:31" x14ac:dyDescent="0.3">
      <c r="A1232" s="76"/>
      <c r="B1232" s="78" t="s">
        <v>1606</v>
      </c>
      <c r="C1232" s="78" t="s">
        <v>1504</v>
      </c>
      <c r="D1232" s="78" t="s">
        <v>167</v>
      </c>
      <c r="E1232" s="78" t="s">
        <v>1560</v>
      </c>
      <c r="F1232" s="78" t="s">
        <v>1528</v>
      </c>
      <c r="G1232" s="78" t="s">
        <v>1513</v>
      </c>
      <c r="H1232" s="77"/>
      <c r="I1232" s="226"/>
      <c r="J1232" s="77"/>
      <c r="K1232" s="77"/>
      <c r="L1232" s="77"/>
      <c r="M1232" s="77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9"/>
    </row>
    <row r="1233" spans="1:31" ht="15" thickBot="1" x14ac:dyDescent="0.35">
      <c r="A1233" s="81"/>
      <c r="B1233" s="82" t="s">
        <v>1697</v>
      </c>
      <c r="C1233" s="82" t="s">
        <v>1493</v>
      </c>
      <c r="D1233" s="82" t="s">
        <v>261</v>
      </c>
      <c r="E1233" s="82" t="s">
        <v>1545</v>
      </c>
      <c r="F1233" s="82" t="s">
        <v>1631</v>
      </c>
      <c r="G1233" s="82" t="s">
        <v>1513</v>
      </c>
      <c r="H1233" s="83"/>
      <c r="I1233" s="226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  <c r="X1233" s="83"/>
      <c r="Y1233" s="83"/>
      <c r="Z1233" s="83"/>
      <c r="AA1233" s="83"/>
      <c r="AB1233" s="83"/>
      <c r="AC1233" s="83"/>
      <c r="AD1233" s="83"/>
      <c r="AE1233" s="84"/>
    </row>
    <row r="1234" spans="1:31" x14ac:dyDescent="0.3">
      <c r="A1234" s="72" t="s">
        <v>437</v>
      </c>
      <c r="B1234" s="73" t="s">
        <v>2091</v>
      </c>
      <c r="C1234" s="74" t="s">
        <v>1479</v>
      </c>
      <c r="D1234" s="74" t="s">
        <v>438</v>
      </c>
      <c r="E1234" s="74" t="s">
        <v>1480</v>
      </c>
      <c r="F1234" s="74"/>
      <c r="G1234" s="74" t="s">
        <v>1481</v>
      </c>
      <c r="H1234" s="73" t="s">
        <v>1641</v>
      </c>
      <c r="I1234" s="226"/>
      <c r="J1234" s="73" t="s">
        <v>436</v>
      </c>
      <c r="K1234" s="73">
        <v>53</v>
      </c>
      <c r="L1234" s="73" t="s">
        <v>320</v>
      </c>
      <c r="M1234" s="73" t="s">
        <v>1483</v>
      </c>
      <c r="N1234" s="73" t="s">
        <v>1483</v>
      </c>
      <c r="O1234" s="73" t="s">
        <v>1483</v>
      </c>
      <c r="P1234" s="73" t="s">
        <v>1483</v>
      </c>
      <c r="Q1234" s="73" t="s">
        <v>1483</v>
      </c>
      <c r="R1234" s="73" t="s">
        <v>1483</v>
      </c>
      <c r="S1234" s="73" t="s">
        <v>1484</v>
      </c>
      <c r="T1234" s="73" t="s">
        <v>1484</v>
      </c>
      <c r="U1234" s="73" t="s">
        <v>1484</v>
      </c>
      <c r="V1234" s="73" t="s">
        <v>1484</v>
      </c>
      <c r="W1234" s="73" t="s">
        <v>1576</v>
      </c>
      <c r="X1234" s="73" t="s">
        <v>1484</v>
      </c>
      <c r="Y1234" s="73" t="s">
        <v>1484</v>
      </c>
      <c r="Z1234" s="73" t="s">
        <v>1484</v>
      </c>
      <c r="AA1234" s="73" t="s">
        <v>1485</v>
      </c>
      <c r="AB1234" s="73" t="s">
        <v>1484</v>
      </c>
      <c r="AC1234" s="73" t="s">
        <v>1486</v>
      </c>
      <c r="AD1234" s="73" t="s">
        <v>1960</v>
      </c>
      <c r="AE1234" s="75" t="s">
        <v>1644</v>
      </c>
    </row>
    <row r="1235" spans="1:31" x14ac:dyDescent="0.3">
      <c r="A1235" s="76"/>
      <c r="B1235" s="77"/>
      <c r="C1235" s="78" t="s">
        <v>1489</v>
      </c>
      <c r="D1235" s="78" t="s">
        <v>431</v>
      </c>
      <c r="E1235" s="78" t="s">
        <v>1749</v>
      </c>
      <c r="F1235" s="78" t="s">
        <v>2092</v>
      </c>
      <c r="G1235" s="78" t="s">
        <v>1492</v>
      </c>
      <c r="H1235" s="77"/>
      <c r="I1235" s="226"/>
      <c r="J1235" s="77"/>
      <c r="K1235" s="77"/>
      <c r="L1235" s="77"/>
      <c r="M1235" s="77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9"/>
    </row>
    <row r="1236" spans="1:31" x14ac:dyDescent="0.3">
      <c r="A1236" s="76"/>
      <c r="B1236" s="77"/>
      <c r="C1236" s="78" t="s">
        <v>1493</v>
      </c>
      <c r="D1236" s="78" t="s">
        <v>157</v>
      </c>
      <c r="E1236" s="78" t="s">
        <v>1494</v>
      </c>
      <c r="F1236" s="78" t="s">
        <v>1495</v>
      </c>
      <c r="G1236" s="78" t="s">
        <v>1492</v>
      </c>
      <c r="H1236" s="77"/>
      <c r="I1236" s="226"/>
      <c r="J1236" s="77"/>
      <c r="K1236" s="77"/>
      <c r="L1236" s="77"/>
      <c r="M1236" s="77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77"/>
      <c r="AC1236" s="77"/>
      <c r="AD1236" s="77"/>
      <c r="AE1236" s="79"/>
    </row>
    <row r="1237" spans="1:31" x14ac:dyDescent="0.3">
      <c r="A1237" s="76"/>
      <c r="B1237" s="77"/>
      <c r="C1237" s="78" t="s">
        <v>1496</v>
      </c>
      <c r="D1237" s="78" t="s">
        <v>114</v>
      </c>
      <c r="E1237" s="78" t="s">
        <v>1494</v>
      </c>
      <c r="F1237" s="78" t="s">
        <v>1495</v>
      </c>
      <c r="G1237" s="78" t="s">
        <v>1492</v>
      </c>
      <c r="H1237" s="77"/>
      <c r="I1237" s="226"/>
      <c r="J1237" s="77"/>
      <c r="K1237" s="77"/>
      <c r="L1237" s="77"/>
      <c r="M1237" s="77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77"/>
      <c r="AC1237" s="77"/>
      <c r="AD1237" s="77"/>
      <c r="AE1237" s="79"/>
    </row>
    <row r="1238" spans="1:31" x14ac:dyDescent="0.3">
      <c r="A1238" s="76"/>
      <c r="B1238" s="77"/>
      <c r="C1238" s="78" t="s">
        <v>1502</v>
      </c>
      <c r="D1238" s="78" t="s">
        <v>430</v>
      </c>
      <c r="E1238" s="78" t="s">
        <v>1749</v>
      </c>
      <c r="F1238" s="78" t="s">
        <v>2092</v>
      </c>
      <c r="G1238" s="78" t="s">
        <v>1492</v>
      </c>
      <c r="H1238" s="77"/>
      <c r="I1238" s="226"/>
      <c r="J1238" s="77"/>
      <c r="K1238" s="77"/>
      <c r="L1238" s="77"/>
      <c r="M1238" s="77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77"/>
      <c r="AC1238" s="77"/>
      <c r="AD1238" s="77"/>
      <c r="AE1238" s="79"/>
    </row>
    <row r="1239" spans="1:31" ht="15" thickBot="1" x14ac:dyDescent="0.35">
      <c r="A1239" s="76"/>
      <c r="B1239" s="77"/>
      <c r="C1239" s="78" t="s">
        <v>1504</v>
      </c>
      <c r="D1239" s="78" t="s">
        <v>439</v>
      </c>
      <c r="E1239" s="78" t="s">
        <v>1500</v>
      </c>
      <c r="F1239" s="78" t="s">
        <v>1501</v>
      </c>
      <c r="G1239" s="78" t="s">
        <v>1492</v>
      </c>
      <c r="H1239" s="77"/>
      <c r="I1239" s="227"/>
      <c r="J1239" s="77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9"/>
    </row>
    <row r="1240" spans="1:31" x14ac:dyDescent="0.3">
      <c r="A1240" s="76"/>
      <c r="B1240" s="80"/>
      <c r="C1240" s="78" t="s">
        <v>1507</v>
      </c>
      <c r="D1240" s="78" t="s">
        <v>324</v>
      </c>
      <c r="E1240" s="78" t="s">
        <v>1505</v>
      </c>
      <c r="F1240" s="78" t="s">
        <v>1528</v>
      </c>
      <c r="G1240" s="78" t="s">
        <v>1492</v>
      </c>
      <c r="H1240" s="77"/>
      <c r="I1240" s="225">
        <v>33</v>
      </c>
      <c r="J1240" s="77"/>
      <c r="K1240" s="77"/>
      <c r="L1240" s="77"/>
      <c r="M1240" s="77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77"/>
      <c r="AC1240" s="77"/>
      <c r="AD1240" s="77"/>
      <c r="AE1240" s="79"/>
    </row>
    <row r="1241" spans="1:31" x14ac:dyDescent="0.3">
      <c r="A1241" s="76"/>
      <c r="B1241" s="78" t="s">
        <v>1821</v>
      </c>
      <c r="C1241" s="78" t="s">
        <v>1496</v>
      </c>
      <c r="D1241" s="78" t="s">
        <v>220</v>
      </c>
      <c r="E1241" s="78" t="s">
        <v>1480</v>
      </c>
      <c r="F1241" s="78" t="s">
        <v>1518</v>
      </c>
      <c r="G1241" s="78" t="s">
        <v>1513</v>
      </c>
      <c r="H1241" s="77"/>
      <c r="I1241" s="226"/>
      <c r="J1241" s="77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77"/>
      <c r="AC1241" s="77"/>
      <c r="AD1241" s="77"/>
      <c r="AE1241" s="79"/>
    </row>
    <row r="1242" spans="1:31" x14ac:dyDescent="0.3">
      <c r="A1242" s="76"/>
      <c r="B1242" s="78" t="s">
        <v>1878</v>
      </c>
      <c r="C1242" s="78" t="s">
        <v>1499</v>
      </c>
      <c r="D1242" s="78" t="s">
        <v>114</v>
      </c>
      <c r="E1242" s="78" t="s">
        <v>1494</v>
      </c>
      <c r="F1242" s="78" t="s">
        <v>1495</v>
      </c>
      <c r="G1242" s="78" t="s">
        <v>1513</v>
      </c>
      <c r="H1242" s="77"/>
      <c r="I1242" s="226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77"/>
      <c r="AC1242" s="77"/>
      <c r="AD1242" s="77"/>
      <c r="AE1242" s="79"/>
    </row>
    <row r="1243" spans="1:31" x14ac:dyDescent="0.3">
      <c r="A1243" s="76"/>
      <c r="B1243" s="78" t="s">
        <v>2093</v>
      </c>
      <c r="C1243" s="78" t="s">
        <v>1493</v>
      </c>
      <c r="D1243" s="78" t="s">
        <v>157</v>
      </c>
      <c r="E1243" s="78" t="s">
        <v>1494</v>
      </c>
      <c r="F1243" s="78" t="s">
        <v>1495</v>
      </c>
      <c r="G1243" s="78" t="s">
        <v>1513</v>
      </c>
      <c r="H1243" s="77"/>
      <c r="I1243" s="226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77"/>
      <c r="AC1243" s="77"/>
      <c r="AD1243" s="77"/>
      <c r="AE1243" s="79"/>
    </row>
    <row r="1244" spans="1:31" x14ac:dyDescent="0.3">
      <c r="A1244" s="76"/>
      <c r="B1244" s="78" t="s">
        <v>1914</v>
      </c>
      <c r="C1244" s="78" t="s">
        <v>1499</v>
      </c>
      <c r="D1244" s="78" t="s">
        <v>439</v>
      </c>
      <c r="E1244" s="78" t="s">
        <v>1500</v>
      </c>
      <c r="F1244" s="78" t="s">
        <v>1501</v>
      </c>
      <c r="G1244" s="78" t="s">
        <v>1513</v>
      </c>
      <c r="H1244" s="77"/>
      <c r="I1244" s="226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77"/>
      <c r="AC1244" s="77"/>
      <c r="AD1244" s="77"/>
      <c r="AE1244" s="79"/>
    </row>
    <row r="1245" spans="1:31" x14ac:dyDescent="0.3">
      <c r="A1245" s="76"/>
      <c r="B1245" s="78" t="s">
        <v>1615</v>
      </c>
      <c r="C1245" s="78" t="s">
        <v>1502</v>
      </c>
      <c r="D1245" s="78" t="s">
        <v>324</v>
      </c>
      <c r="E1245" s="78" t="s">
        <v>1505</v>
      </c>
      <c r="F1245" s="78" t="s">
        <v>1528</v>
      </c>
      <c r="G1245" s="78" t="s">
        <v>1513</v>
      </c>
      <c r="H1245" s="77"/>
      <c r="I1245" s="226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77"/>
      <c r="AC1245" s="77"/>
      <c r="AD1245" s="77"/>
      <c r="AE1245" s="79"/>
    </row>
    <row r="1246" spans="1:31" x14ac:dyDescent="0.3">
      <c r="A1246" s="76"/>
      <c r="B1246" s="78" t="s">
        <v>1956</v>
      </c>
      <c r="C1246" s="78" t="s">
        <v>1493</v>
      </c>
      <c r="D1246" s="78" t="s">
        <v>440</v>
      </c>
      <c r="E1246" s="78" t="s">
        <v>1749</v>
      </c>
      <c r="F1246" s="78" t="s">
        <v>1957</v>
      </c>
      <c r="G1246" s="78" t="s">
        <v>1513</v>
      </c>
      <c r="H1246" s="77"/>
      <c r="I1246" s="226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77"/>
      <c r="AC1246" s="77"/>
      <c r="AD1246" s="77"/>
      <c r="AE1246" s="79"/>
    </row>
    <row r="1247" spans="1:31" ht="15" thickBot="1" x14ac:dyDescent="0.35">
      <c r="A1247" s="81"/>
      <c r="B1247" s="82" t="s">
        <v>2094</v>
      </c>
      <c r="C1247" s="82" t="s">
        <v>1489</v>
      </c>
      <c r="D1247" s="82" t="s">
        <v>441</v>
      </c>
      <c r="E1247" s="82" t="s">
        <v>1508</v>
      </c>
      <c r="F1247" s="82" t="s">
        <v>1718</v>
      </c>
      <c r="G1247" s="82" t="s">
        <v>1513</v>
      </c>
      <c r="H1247" s="83"/>
      <c r="I1247" s="226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  <c r="X1247" s="83"/>
      <c r="Y1247" s="83"/>
      <c r="Z1247" s="83"/>
      <c r="AA1247" s="83"/>
      <c r="AB1247" s="83"/>
      <c r="AC1247" s="83"/>
      <c r="AD1247" s="83"/>
      <c r="AE1247" s="84"/>
    </row>
    <row r="1248" spans="1:31" x14ac:dyDescent="0.3">
      <c r="A1248" s="72" t="s">
        <v>428</v>
      </c>
      <c r="B1248" s="73" t="s">
        <v>2095</v>
      </c>
      <c r="C1248" s="74" t="s">
        <v>1479</v>
      </c>
      <c r="D1248" s="74" t="s">
        <v>429</v>
      </c>
      <c r="E1248" s="74" t="s">
        <v>1480</v>
      </c>
      <c r="F1248" s="74"/>
      <c r="G1248" s="74" t="s">
        <v>1481</v>
      </c>
      <c r="H1248" s="73" t="s">
        <v>1641</v>
      </c>
      <c r="I1248" s="226"/>
      <c r="J1248" s="73" t="s">
        <v>427</v>
      </c>
      <c r="K1248" s="73">
        <v>52</v>
      </c>
      <c r="L1248" s="73" t="s">
        <v>320</v>
      </c>
      <c r="M1248" s="73" t="s">
        <v>1483</v>
      </c>
      <c r="N1248" s="73" t="s">
        <v>1483</v>
      </c>
      <c r="O1248" s="73" t="s">
        <v>1483</v>
      </c>
      <c r="P1248" s="73" t="s">
        <v>1483</v>
      </c>
      <c r="Q1248" s="73" t="s">
        <v>1483</v>
      </c>
      <c r="R1248" s="73" t="s">
        <v>1483</v>
      </c>
      <c r="S1248" s="73" t="s">
        <v>1484</v>
      </c>
      <c r="T1248" s="73" t="s">
        <v>1484</v>
      </c>
      <c r="U1248" s="73" t="s">
        <v>1484</v>
      </c>
      <c r="V1248" s="73" t="s">
        <v>1484</v>
      </c>
      <c r="W1248" s="73" t="s">
        <v>1576</v>
      </c>
      <c r="X1248" s="73" t="s">
        <v>1484</v>
      </c>
      <c r="Y1248" s="73" t="s">
        <v>1484</v>
      </c>
      <c r="Z1248" s="73" t="s">
        <v>1484</v>
      </c>
      <c r="AA1248" s="73" t="s">
        <v>1485</v>
      </c>
      <c r="AB1248" s="73" t="s">
        <v>1484</v>
      </c>
      <c r="AC1248" s="73" t="s">
        <v>1486</v>
      </c>
      <c r="AD1248" s="73" t="s">
        <v>1960</v>
      </c>
      <c r="AE1248" s="75" t="s">
        <v>1644</v>
      </c>
    </row>
    <row r="1249" spans="1:31" x14ac:dyDescent="0.3">
      <c r="A1249" s="76"/>
      <c r="B1249" s="77"/>
      <c r="C1249" s="78" t="s">
        <v>1489</v>
      </c>
      <c r="D1249" s="78" t="s">
        <v>430</v>
      </c>
      <c r="E1249" s="78" t="s">
        <v>1749</v>
      </c>
      <c r="F1249" s="78" t="s">
        <v>2092</v>
      </c>
      <c r="G1249" s="78" t="s">
        <v>1492</v>
      </c>
      <c r="H1249" s="77"/>
      <c r="I1249" s="226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77"/>
      <c r="AC1249" s="77"/>
      <c r="AD1249" s="77"/>
      <c r="AE1249" s="79"/>
    </row>
    <row r="1250" spans="1:31" x14ac:dyDescent="0.3">
      <c r="A1250" s="76"/>
      <c r="B1250" s="77"/>
      <c r="C1250" s="78" t="s">
        <v>1496</v>
      </c>
      <c r="D1250" s="78" t="s">
        <v>273</v>
      </c>
      <c r="E1250" s="78" t="s">
        <v>1503</v>
      </c>
      <c r="F1250" s="78" t="s">
        <v>1495</v>
      </c>
      <c r="G1250" s="78" t="s">
        <v>1492</v>
      </c>
      <c r="H1250" s="77"/>
      <c r="I1250" s="226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77"/>
      <c r="AC1250" s="77"/>
      <c r="AD1250" s="77"/>
      <c r="AE1250" s="79"/>
    </row>
    <row r="1251" spans="1:31" x14ac:dyDescent="0.3">
      <c r="A1251" s="76"/>
      <c r="B1251" s="77"/>
      <c r="C1251" s="78" t="s">
        <v>1502</v>
      </c>
      <c r="D1251" s="78" t="s">
        <v>431</v>
      </c>
      <c r="E1251" s="78" t="s">
        <v>1749</v>
      </c>
      <c r="F1251" s="78" t="s">
        <v>2092</v>
      </c>
      <c r="G1251" s="78" t="s">
        <v>1492</v>
      </c>
      <c r="H1251" s="77"/>
      <c r="I1251" s="226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77"/>
      <c r="AC1251" s="77"/>
      <c r="AD1251" s="77"/>
      <c r="AE1251" s="79"/>
    </row>
    <row r="1252" spans="1:31" x14ac:dyDescent="0.3">
      <c r="A1252" s="76"/>
      <c r="B1252" s="77"/>
      <c r="C1252" s="78" t="s">
        <v>1504</v>
      </c>
      <c r="D1252" s="78" t="s">
        <v>432</v>
      </c>
      <c r="E1252" s="78" t="s">
        <v>1500</v>
      </c>
      <c r="F1252" s="78" t="s">
        <v>1501</v>
      </c>
      <c r="G1252" s="78" t="s">
        <v>1492</v>
      </c>
      <c r="H1252" s="77"/>
      <c r="I1252" s="226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9"/>
    </row>
    <row r="1253" spans="1:31" x14ac:dyDescent="0.3">
      <c r="A1253" s="76"/>
      <c r="B1253" s="80"/>
      <c r="C1253" s="78" t="s">
        <v>1507</v>
      </c>
      <c r="D1253" s="78" t="s">
        <v>166</v>
      </c>
      <c r="E1253" s="78" t="s">
        <v>1505</v>
      </c>
      <c r="F1253" s="78" t="s">
        <v>1631</v>
      </c>
      <c r="G1253" s="78" t="s">
        <v>1492</v>
      </c>
      <c r="H1253" s="77"/>
      <c r="I1253" s="226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77"/>
      <c r="AC1253" s="77"/>
      <c r="AD1253" s="77"/>
      <c r="AE1253" s="79"/>
    </row>
    <row r="1254" spans="1:31" x14ac:dyDescent="0.3">
      <c r="A1254" s="76"/>
      <c r="B1254" s="78" t="s">
        <v>1485</v>
      </c>
      <c r="C1254" s="78" t="s">
        <v>1485</v>
      </c>
      <c r="D1254" s="78" t="s">
        <v>433</v>
      </c>
      <c r="E1254" s="78" t="s">
        <v>1580</v>
      </c>
      <c r="F1254" s="78" t="s">
        <v>1516</v>
      </c>
      <c r="G1254" s="78" t="s">
        <v>1513</v>
      </c>
      <c r="H1254" s="77"/>
      <c r="I1254" s="226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77"/>
      <c r="AC1254" s="77"/>
      <c r="AD1254" s="77"/>
      <c r="AE1254" s="79"/>
    </row>
    <row r="1255" spans="1:31" ht="15" thickBot="1" x14ac:dyDescent="0.35">
      <c r="A1255" s="76"/>
      <c r="B1255" s="78" t="s">
        <v>1828</v>
      </c>
      <c r="C1255" s="78" t="s">
        <v>1496</v>
      </c>
      <c r="D1255" s="78" t="s">
        <v>82</v>
      </c>
      <c r="E1255" s="78" t="s">
        <v>1480</v>
      </c>
      <c r="F1255" s="78" t="s">
        <v>1518</v>
      </c>
      <c r="G1255" s="78" t="s">
        <v>1513</v>
      </c>
      <c r="H1255" s="77"/>
      <c r="I1255" s="22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77"/>
      <c r="AC1255" s="77"/>
      <c r="AD1255" s="77"/>
      <c r="AE1255" s="79"/>
    </row>
    <row r="1256" spans="1:31" x14ac:dyDescent="0.3">
      <c r="A1256" s="76"/>
      <c r="B1256" s="78" t="s">
        <v>1625</v>
      </c>
      <c r="C1256" s="78" t="s">
        <v>1502</v>
      </c>
      <c r="D1256" s="78" t="s">
        <v>273</v>
      </c>
      <c r="E1256" s="78" t="s">
        <v>1503</v>
      </c>
      <c r="F1256" s="78" t="s">
        <v>1495</v>
      </c>
      <c r="G1256" s="78" t="s">
        <v>1513</v>
      </c>
      <c r="H1256" s="77"/>
      <c r="I1256" s="225">
        <v>32</v>
      </c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77"/>
      <c r="AC1256" s="77"/>
      <c r="AD1256" s="77"/>
      <c r="AE1256" s="79"/>
    </row>
    <row r="1257" spans="1:31" x14ac:dyDescent="0.3">
      <c r="A1257" s="76"/>
      <c r="B1257" s="78" t="s">
        <v>2000</v>
      </c>
      <c r="C1257" s="78" t="s">
        <v>1489</v>
      </c>
      <c r="D1257" s="78" t="s">
        <v>432</v>
      </c>
      <c r="E1257" s="78" t="s">
        <v>1500</v>
      </c>
      <c r="F1257" s="78" t="s">
        <v>1501</v>
      </c>
      <c r="G1257" s="78" t="s">
        <v>1513</v>
      </c>
      <c r="H1257" s="77"/>
      <c r="I1257" s="226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9"/>
    </row>
    <row r="1258" spans="1:31" x14ac:dyDescent="0.3">
      <c r="A1258" s="76"/>
      <c r="B1258" s="78" t="s">
        <v>1627</v>
      </c>
      <c r="C1258" s="78" t="s">
        <v>1489</v>
      </c>
      <c r="D1258" s="78" t="s">
        <v>268</v>
      </c>
      <c r="E1258" s="78" t="s">
        <v>1628</v>
      </c>
      <c r="F1258" s="78" t="s">
        <v>1558</v>
      </c>
      <c r="G1258" s="78" t="s">
        <v>1513</v>
      </c>
      <c r="H1258" s="77"/>
      <c r="I1258" s="226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77"/>
      <c r="AC1258" s="77"/>
      <c r="AD1258" s="77"/>
      <c r="AE1258" s="79"/>
    </row>
    <row r="1259" spans="1:31" x14ac:dyDescent="0.3">
      <c r="A1259" s="76"/>
      <c r="B1259" s="78" t="s">
        <v>1754</v>
      </c>
      <c r="C1259" s="78" t="s">
        <v>1507</v>
      </c>
      <c r="D1259" s="78" t="s">
        <v>166</v>
      </c>
      <c r="E1259" s="78" t="s">
        <v>1505</v>
      </c>
      <c r="F1259" s="78" t="s">
        <v>1631</v>
      </c>
      <c r="G1259" s="78" t="s">
        <v>1513</v>
      </c>
      <c r="H1259" s="77"/>
      <c r="I1259" s="226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s="79"/>
    </row>
    <row r="1260" spans="1:31" ht="15" thickBot="1" x14ac:dyDescent="0.35">
      <c r="A1260" s="76"/>
      <c r="B1260" s="78" t="s">
        <v>1952</v>
      </c>
      <c r="C1260" s="78" t="s">
        <v>1493</v>
      </c>
      <c r="D1260" s="78" t="s">
        <v>434</v>
      </c>
      <c r="E1260" s="78" t="s">
        <v>1749</v>
      </c>
      <c r="F1260" s="78" t="s">
        <v>1953</v>
      </c>
      <c r="G1260" s="78" t="s">
        <v>1513</v>
      </c>
      <c r="H1260" s="77"/>
      <c r="I1260" s="226"/>
      <c r="J1260" s="77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9"/>
    </row>
    <row r="1261" spans="1:31" x14ac:dyDescent="0.3">
      <c r="A1261" s="72" t="s">
        <v>419</v>
      </c>
      <c r="B1261" s="73" t="s">
        <v>2096</v>
      </c>
      <c r="C1261" s="74" t="s">
        <v>1479</v>
      </c>
      <c r="D1261" s="74" t="s">
        <v>420</v>
      </c>
      <c r="E1261" s="74" t="s">
        <v>1480</v>
      </c>
      <c r="F1261" s="74"/>
      <c r="G1261" s="74" t="s">
        <v>1481</v>
      </c>
      <c r="H1261" s="73" t="s">
        <v>1959</v>
      </c>
      <c r="I1261" s="226"/>
      <c r="J1261" s="73" t="s">
        <v>418</v>
      </c>
      <c r="K1261" s="73">
        <v>51</v>
      </c>
      <c r="L1261" s="73" t="s">
        <v>320</v>
      </c>
      <c r="M1261" s="73" t="s">
        <v>1483</v>
      </c>
      <c r="N1261" s="73" t="s">
        <v>1483</v>
      </c>
      <c r="O1261" s="73" t="s">
        <v>2655</v>
      </c>
      <c r="P1261" s="73" t="s">
        <v>2655</v>
      </c>
      <c r="Q1261" s="73" t="s">
        <v>2655</v>
      </c>
      <c r="R1261" s="73" t="s">
        <v>2655</v>
      </c>
      <c r="S1261" s="73" t="s">
        <v>1484</v>
      </c>
      <c r="T1261" s="73" t="s">
        <v>1484</v>
      </c>
      <c r="U1261" s="73" t="s">
        <v>1484</v>
      </c>
      <c r="V1261" s="73" t="s">
        <v>1484</v>
      </c>
      <c r="W1261" s="73" t="s">
        <v>1576</v>
      </c>
      <c r="X1261" s="73" t="s">
        <v>1484</v>
      </c>
      <c r="Y1261" s="73" t="s">
        <v>1484</v>
      </c>
      <c r="Z1261" s="73" t="s">
        <v>1484</v>
      </c>
      <c r="AA1261" s="73" t="s">
        <v>1485</v>
      </c>
      <c r="AB1261" s="73" t="s">
        <v>1484</v>
      </c>
      <c r="AC1261" s="73" t="s">
        <v>1486</v>
      </c>
      <c r="AD1261" s="73" t="s">
        <v>1960</v>
      </c>
      <c r="AE1261" s="75" t="s">
        <v>1644</v>
      </c>
    </row>
    <row r="1262" spans="1:31" x14ac:dyDescent="0.3">
      <c r="A1262" s="76"/>
      <c r="B1262" s="77"/>
      <c r="C1262" s="78" t="s">
        <v>1489</v>
      </c>
      <c r="D1262" s="78" t="s">
        <v>391</v>
      </c>
      <c r="E1262" s="78" t="s">
        <v>1749</v>
      </c>
      <c r="F1262" s="78" t="s">
        <v>1812</v>
      </c>
      <c r="G1262" s="78" t="s">
        <v>1492</v>
      </c>
      <c r="H1262" s="77"/>
      <c r="I1262" s="226"/>
      <c r="J1262" s="77"/>
      <c r="K1262" s="77"/>
      <c r="L1262" s="77"/>
      <c r="M1262" s="77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s="79"/>
    </row>
    <row r="1263" spans="1:31" x14ac:dyDescent="0.3">
      <c r="A1263" s="76"/>
      <c r="B1263" s="77"/>
      <c r="C1263" s="78" t="s">
        <v>1493</v>
      </c>
      <c r="D1263" s="78" t="s">
        <v>244</v>
      </c>
      <c r="E1263" s="78" t="s">
        <v>1628</v>
      </c>
      <c r="F1263" s="78" t="s">
        <v>1565</v>
      </c>
      <c r="G1263" s="78" t="s">
        <v>1492</v>
      </c>
      <c r="H1263" s="77"/>
      <c r="I1263" s="226"/>
      <c r="J1263" s="77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9"/>
    </row>
    <row r="1264" spans="1:31" x14ac:dyDescent="0.3">
      <c r="A1264" s="76"/>
      <c r="B1264" s="77"/>
      <c r="C1264" s="78" t="s">
        <v>1496</v>
      </c>
      <c r="D1264" s="78" t="s">
        <v>421</v>
      </c>
      <c r="E1264" s="78" t="s">
        <v>1595</v>
      </c>
      <c r="F1264" s="78" t="s">
        <v>1680</v>
      </c>
      <c r="G1264" s="78" t="s">
        <v>1492</v>
      </c>
      <c r="H1264" s="77"/>
      <c r="I1264" s="226"/>
      <c r="J1264" s="77"/>
      <c r="K1264" s="77"/>
      <c r="L1264" s="77"/>
      <c r="M1264" s="77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9"/>
    </row>
    <row r="1265" spans="1:31" x14ac:dyDescent="0.3">
      <c r="A1265" s="76"/>
      <c r="B1265" s="77"/>
      <c r="C1265" s="78" t="s">
        <v>1499</v>
      </c>
      <c r="D1265" s="78" t="s">
        <v>422</v>
      </c>
      <c r="E1265" s="78" t="s">
        <v>1505</v>
      </c>
      <c r="F1265" s="78" t="s">
        <v>1680</v>
      </c>
      <c r="G1265" s="78" t="s">
        <v>1492</v>
      </c>
      <c r="H1265" s="77"/>
      <c r="I1265" s="226"/>
      <c r="J1265" s="77"/>
      <c r="K1265" s="77"/>
      <c r="L1265" s="77"/>
      <c r="M1265" s="77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9"/>
    </row>
    <row r="1266" spans="1:31" x14ac:dyDescent="0.3">
      <c r="A1266" s="76"/>
      <c r="B1266" s="77"/>
      <c r="C1266" s="78" t="s">
        <v>1502</v>
      </c>
      <c r="D1266" s="78" t="s">
        <v>398</v>
      </c>
      <c r="E1266" s="78" t="s">
        <v>1749</v>
      </c>
      <c r="F1266" s="78" t="s">
        <v>1812</v>
      </c>
      <c r="G1266" s="78" t="s">
        <v>1492</v>
      </c>
      <c r="H1266" s="77"/>
      <c r="I1266" s="226"/>
      <c r="J1266" s="77"/>
      <c r="K1266" s="77"/>
      <c r="L1266" s="77"/>
      <c r="M1266" s="77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7"/>
      <c r="AE1266" s="79"/>
    </row>
    <row r="1267" spans="1:31" x14ac:dyDescent="0.3">
      <c r="A1267" s="76"/>
      <c r="B1267" s="77"/>
      <c r="C1267" s="78" t="s">
        <v>1504</v>
      </c>
      <c r="D1267" s="78" t="s">
        <v>423</v>
      </c>
      <c r="E1267" s="78" t="s">
        <v>1961</v>
      </c>
      <c r="F1267" s="78" t="s">
        <v>2097</v>
      </c>
      <c r="G1267" s="78" t="s">
        <v>1492</v>
      </c>
      <c r="H1267" s="77"/>
      <c r="I1267" s="226"/>
      <c r="J1267" s="77"/>
      <c r="K1267" s="77"/>
      <c r="L1267" s="77"/>
      <c r="M1267" s="77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7"/>
      <c r="AE1267" s="79"/>
    </row>
    <row r="1268" spans="1:31" x14ac:dyDescent="0.3">
      <c r="A1268" s="76"/>
      <c r="B1268" s="80"/>
      <c r="C1268" s="78" t="s">
        <v>1507</v>
      </c>
      <c r="D1268" s="78" t="s">
        <v>424</v>
      </c>
      <c r="E1268" s="78" t="s">
        <v>1963</v>
      </c>
      <c r="F1268" s="78" t="s">
        <v>1964</v>
      </c>
      <c r="G1268" s="78" t="s">
        <v>1492</v>
      </c>
      <c r="H1268" s="77"/>
      <c r="I1268" s="226"/>
      <c r="J1268" s="77"/>
      <c r="K1268" s="77"/>
      <c r="L1268" s="77"/>
      <c r="M1268" s="77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7"/>
      <c r="AE1268" s="79"/>
    </row>
    <row r="1269" spans="1:31" x14ac:dyDescent="0.3">
      <c r="A1269" s="76"/>
      <c r="B1269" s="78" t="s">
        <v>1485</v>
      </c>
      <c r="C1269" s="78" t="s">
        <v>1485</v>
      </c>
      <c r="D1269" s="78" t="s">
        <v>425</v>
      </c>
      <c r="E1269" s="78" t="s">
        <v>1580</v>
      </c>
      <c r="F1269" s="78" t="s">
        <v>1516</v>
      </c>
      <c r="G1269" s="78" t="s">
        <v>1513</v>
      </c>
      <c r="H1269" s="77"/>
      <c r="I1269" s="226"/>
      <c r="J1269" s="77"/>
      <c r="K1269" s="77"/>
      <c r="L1269" s="77"/>
      <c r="M1269" s="77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7"/>
      <c r="AE1269" s="79"/>
    </row>
    <row r="1270" spans="1:31" x14ac:dyDescent="0.3">
      <c r="A1270" s="76"/>
      <c r="B1270" s="78" t="s">
        <v>1837</v>
      </c>
      <c r="C1270" s="78" t="s">
        <v>1496</v>
      </c>
      <c r="D1270" s="78" t="s">
        <v>68</v>
      </c>
      <c r="E1270" s="78" t="s">
        <v>1480</v>
      </c>
      <c r="F1270" s="78" t="s">
        <v>1518</v>
      </c>
      <c r="G1270" s="78" t="s">
        <v>1513</v>
      </c>
      <c r="H1270" s="77"/>
      <c r="I1270" s="226"/>
      <c r="J1270" s="77"/>
      <c r="K1270" s="77"/>
      <c r="L1270" s="77"/>
      <c r="M1270" s="77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7"/>
      <c r="AE1270" s="79"/>
    </row>
    <row r="1271" spans="1:31" ht="15" thickBot="1" x14ac:dyDescent="0.35">
      <c r="A1271" s="76"/>
      <c r="B1271" s="78" t="s">
        <v>1695</v>
      </c>
      <c r="C1271" s="78" t="s">
        <v>1493</v>
      </c>
      <c r="D1271" s="78" t="s">
        <v>422</v>
      </c>
      <c r="E1271" s="78" t="s">
        <v>1505</v>
      </c>
      <c r="F1271" s="78" t="s">
        <v>1680</v>
      </c>
      <c r="G1271" s="78" t="s">
        <v>1513</v>
      </c>
      <c r="H1271" s="77"/>
      <c r="I1271" s="227"/>
      <c r="J1271" s="77"/>
      <c r="K1271" s="77"/>
      <c r="L1271" s="77"/>
      <c r="M1271" s="77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7"/>
      <c r="AE1271" s="79"/>
    </row>
    <row r="1272" spans="1:31" x14ac:dyDescent="0.3">
      <c r="A1272" s="76"/>
      <c r="B1272" s="78" t="s">
        <v>1865</v>
      </c>
      <c r="C1272" s="78" t="s">
        <v>1502</v>
      </c>
      <c r="D1272" s="78" t="s">
        <v>421</v>
      </c>
      <c r="E1272" s="78" t="s">
        <v>1595</v>
      </c>
      <c r="F1272" s="78" t="s">
        <v>1680</v>
      </c>
      <c r="G1272" s="78" t="s">
        <v>1513</v>
      </c>
      <c r="H1272" s="77"/>
      <c r="I1272" s="225">
        <v>31</v>
      </c>
      <c r="J1272" s="77"/>
      <c r="K1272" s="77"/>
      <c r="L1272" s="77"/>
      <c r="M1272" s="77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7"/>
      <c r="AE1272" s="79"/>
    </row>
    <row r="1273" spans="1:31" x14ac:dyDescent="0.3">
      <c r="A1273" s="76"/>
      <c r="B1273" s="78" t="s">
        <v>2098</v>
      </c>
      <c r="C1273" s="78" t="s">
        <v>1489</v>
      </c>
      <c r="D1273" s="78" t="s">
        <v>424</v>
      </c>
      <c r="E1273" s="78" t="s">
        <v>1963</v>
      </c>
      <c r="F1273" s="78" t="s">
        <v>1964</v>
      </c>
      <c r="G1273" s="78" t="s">
        <v>1513</v>
      </c>
      <c r="H1273" s="77"/>
      <c r="I1273" s="226"/>
      <c r="J1273" s="77"/>
      <c r="K1273" s="77"/>
      <c r="L1273" s="77"/>
      <c r="M1273" s="77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7"/>
      <c r="AE1273" s="79"/>
    </row>
    <row r="1274" spans="1:31" ht="15" thickBot="1" x14ac:dyDescent="0.35">
      <c r="A1274" s="81"/>
      <c r="B1274" s="82" t="s">
        <v>1639</v>
      </c>
      <c r="C1274" s="82" t="s">
        <v>1496</v>
      </c>
      <c r="D1274" s="82" t="s">
        <v>244</v>
      </c>
      <c r="E1274" s="82" t="s">
        <v>1628</v>
      </c>
      <c r="F1274" s="82" t="s">
        <v>1565</v>
      </c>
      <c r="G1274" s="82" t="s">
        <v>1513</v>
      </c>
      <c r="H1274" s="83"/>
      <c r="I1274" s="226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  <c r="X1274" s="83"/>
      <c r="Y1274" s="83"/>
      <c r="Z1274" s="83"/>
      <c r="AA1274" s="83"/>
      <c r="AB1274" s="83"/>
      <c r="AC1274" s="83"/>
      <c r="AD1274" s="83"/>
      <c r="AE1274" s="84"/>
    </row>
    <row r="1275" spans="1:31" x14ac:dyDescent="0.3">
      <c r="A1275" s="72" t="s">
        <v>491</v>
      </c>
      <c r="B1275" s="73" t="s">
        <v>2099</v>
      </c>
      <c r="C1275" s="74" t="s">
        <v>1479</v>
      </c>
      <c r="D1275" s="74" t="s">
        <v>492</v>
      </c>
      <c r="E1275" s="74" t="s">
        <v>1480</v>
      </c>
      <c r="F1275" s="74"/>
      <c r="G1275" s="74" t="s">
        <v>1481</v>
      </c>
      <c r="H1275" s="73" t="s">
        <v>1575</v>
      </c>
      <c r="I1275" s="226"/>
      <c r="J1275" s="73" t="s">
        <v>490</v>
      </c>
      <c r="K1275" s="73">
        <v>64</v>
      </c>
      <c r="L1275" s="73" t="s">
        <v>320</v>
      </c>
      <c r="M1275" s="73" t="s">
        <v>1483</v>
      </c>
      <c r="N1275" s="73" t="s">
        <v>1483</v>
      </c>
      <c r="O1275" s="73" t="s">
        <v>1483</v>
      </c>
      <c r="P1275" s="73" t="s">
        <v>1483</v>
      </c>
      <c r="Q1275" s="73" t="s">
        <v>1483</v>
      </c>
      <c r="R1275" s="73" t="s">
        <v>1483</v>
      </c>
      <c r="S1275" s="73" t="s">
        <v>1484</v>
      </c>
      <c r="T1275" s="73" t="s">
        <v>1484</v>
      </c>
      <c r="U1275" s="73" t="s">
        <v>1484</v>
      </c>
      <c r="V1275" s="73" t="s">
        <v>1484</v>
      </c>
      <c r="W1275" s="73" t="s">
        <v>1485</v>
      </c>
      <c r="X1275" s="73" t="s">
        <v>1484</v>
      </c>
      <c r="Y1275" s="73" t="s">
        <v>1484</v>
      </c>
      <c r="Z1275" s="73" t="s">
        <v>1484</v>
      </c>
      <c r="AA1275" s="73" t="s">
        <v>1485</v>
      </c>
      <c r="AB1275" s="73" t="s">
        <v>1484</v>
      </c>
      <c r="AC1275" s="73" t="s">
        <v>1486</v>
      </c>
      <c r="AD1275" s="73" t="s">
        <v>1487</v>
      </c>
      <c r="AE1275" s="75" t="s">
        <v>1579</v>
      </c>
    </row>
    <row r="1276" spans="1:31" x14ac:dyDescent="0.3">
      <c r="A1276" s="76"/>
      <c r="B1276" s="77"/>
      <c r="C1276" s="78" t="s">
        <v>1489</v>
      </c>
      <c r="D1276" s="78" t="s">
        <v>115</v>
      </c>
      <c r="E1276" s="78" t="s">
        <v>1595</v>
      </c>
      <c r="F1276" s="78" t="s">
        <v>1619</v>
      </c>
      <c r="G1276" s="78" t="s">
        <v>1492</v>
      </c>
      <c r="H1276" s="77"/>
      <c r="I1276" s="226"/>
      <c r="J1276" s="77"/>
      <c r="K1276" s="77"/>
      <c r="L1276" s="77"/>
      <c r="M1276" s="77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77"/>
      <c r="AC1276" s="77"/>
      <c r="AD1276" s="77"/>
      <c r="AE1276" s="79"/>
    </row>
    <row r="1277" spans="1:31" x14ac:dyDescent="0.3">
      <c r="A1277" s="76"/>
      <c r="B1277" s="77"/>
      <c r="C1277" s="78" t="s">
        <v>1493</v>
      </c>
      <c r="D1277" s="78" t="s">
        <v>493</v>
      </c>
      <c r="E1277" s="78" t="s">
        <v>1980</v>
      </c>
      <c r="F1277" s="78" t="s">
        <v>1982</v>
      </c>
      <c r="G1277" s="78" t="s">
        <v>1492</v>
      </c>
      <c r="H1277" s="77"/>
      <c r="I1277" s="226"/>
      <c r="J1277" s="77"/>
      <c r="K1277" s="77"/>
      <c r="L1277" s="77"/>
      <c r="M1277" s="77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77"/>
      <c r="AC1277" s="77"/>
      <c r="AD1277" s="77"/>
      <c r="AE1277" s="79"/>
    </row>
    <row r="1278" spans="1:31" x14ac:dyDescent="0.3">
      <c r="A1278" s="76"/>
      <c r="B1278" s="77"/>
      <c r="C1278" s="78" t="s">
        <v>1502</v>
      </c>
      <c r="D1278" s="78" t="s">
        <v>106</v>
      </c>
      <c r="E1278" s="78" t="s">
        <v>1500</v>
      </c>
      <c r="F1278" s="78" t="s">
        <v>1501</v>
      </c>
      <c r="G1278" s="78" t="s">
        <v>1492</v>
      </c>
      <c r="H1278" s="77"/>
      <c r="I1278" s="226"/>
      <c r="J1278" s="77"/>
      <c r="K1278" s="77"/>
      <c r="L1278" s="77"/>
      <c r="M1278" s="77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77"/>
      <c r="AC1278" s="77"/>
      <c r="AD1278" s="77"/>
      <c r="AE1278" s="79"/>
    </row>
    <row r="1279" spans="1:31" x14ac:dyDescent="0.3">
      <c r="A1279" s="76"/>
      <c r="B1279" s="77"/>
      <c r="C1279" s="78" t="s">
        <v>1504</v>
      </c>
      <c r="D1279" s="78" t="s">
        <v>494</v>
      </c>
      <c r="E1279" s="78" t="s">
        <v>1494</v>
      </c>
      <c r="F1279" s="78" t="s">
        <v>1495</v>
      </c>
      <c r="G1279" s="78" t="s">
        <v>1492</v>
      </c>
      <c r="H1279" s="77"/>
      <c r="I1279" s="226"/>
      <c r="J1279" s="77"/>
      <c r="K1279" s="77"/>
      <c r="L1279" s="77"/>
      <c r="M1279" s="77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77"/>
      <c r="AC1279" s="77"/>
      <c r="AD1279" s="77"/>
      <c r="AE1279" s="79"/>
    </row>
    <row r="1280" spans="1:31" x14ac:dyDescent="0.3">
      <c r="A1280" s="76"/>
      <c r="B1280" s="80"/>
      <c r="C1280" s="78" t="s">
        <v>1507</v>
      </c>
      <c r="D1280" s="78" t="s">
        <v>315</v>
      </c>
      <c r="E1280" s="78" t="s">
        <v>1500</v>
      </c>
      <c r="F1280" s="78" t="s">
        <v>1501</v>
      </c>
      <c r="G1280" s="78" t="s">
        <v>1492</v>
      </c>
      <c r="H1280" s="77"/>
      <c r="I1280" s="226"/>
      <c r="J1280" s="77"/>
      <c r="K1280" s="77"/>
      <c r="L1280" s="77"/>
      <c r="M1280" s="77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77"/>
      <c r="AC1280" s="77"/>
      <c r="AD1280" s="77"/>
      <c r="AE1280" s="79"/>
    </row>
    <row r="1281" spans="1:31" x14ac:dyDescent="0.3">
      <c r="A1281" s="76"/>
      <c r="B1281" s="78" t="s">
        <v>1843</v>
      </c>
      <c r="C1281" s="78" t="s">
        <v>1493</v>
      </c>
      <c r="D1281" s="78" t="s">
        <v>267</v>
      </c>
      <c r="E1281" s="78" t="s">
        <v>1480</v>
      </c>
      <c r="F1281" s="78" t="s">
        <v>1518</v>
      </c>
      <c r="G1281" s="78" t="s">
        <v>1513</v>
      </c>
      <c r="H1281" s="77"/>
      <c r="I1281" s="226"/>
      <c r="J1281" s="77"/>
      <c r="K1281" s="77"/>
      <c r="L1281" s="77"/>
      <c r="M1281" s="77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7"/>
      <c r="AE1281" s="79"/>
    </row>
    <row r="1282" spans="1:31" x14ac:dyDescent="0.3">
      <c r="A1282" s="76"/>
      <c r="B1282" s="78" t="s">
        <v>1648</v>
      </c>
      <c r="C1282" s="78" t="s">
        <v>1489</v>
      </c>
      <c r="D1282" s="78" t="s">
        <v>494</v>
      </c>
      <c r="E1282" s="78" t="s">
        <v>1494</v>
      </c>
      <c r="F1282" s="78" t="s">
        <v>1495</v>
      </c>
      <c r="G1282" s="78" t="s">
        <v>1513</v>
      </c>
      <c r="H1282" s="77"/>
      <c r="I1282" s="226"/>
      <c r="J1282" s="77"/>
      <c r="K1282" s="77"/>
      <c r="L1282" s="77"/>
      <c r="M1282" s="77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7"/>
      <c r="AE1282" s="79"/>
    </row>
    <row r="1283" spans="1:31" x14ac:dyDescent="0.3">
      <c r="A1283" s="76"/>
      <c r="B1283" s="78" t="s">
        <v>1656</v>
      </c>
      <c r="C1283" s="78" t="s">
        <v>1502</v>
      </c>
      <c r="D1283" s="78" t="s">
        <v>106</v>
      </c>
      <c r="E1283" s="78" t="s">
        <v>1500</v>
      </c>
      <c r="F1283" s="78" t="s">
        <v>1501</v>
      </c>
      <c r="G1283" s="78" t="s">
        <v>1513</v>
      </c>
      <c r="H1283" s="77"/>
      <c r="I1283" s="226"/>
      <c r="J1283" s="77"/>
      <c r="K1283" s="77"/>
      <c r="L1283" s="77"/>
      <c r="M1283" s="77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77"/>
      <c r="AC1283" s="77"/>
      <c r="AD1283" s="77"/>
      <c r="AE1283" s="79"/>
    </row>
    <row r="1284" spans="1:31" x14ac:dyDescent="0.3">
      <c r="A1284" s="76"/>
      <c r="B1284" s="78" t="s">
        <v>1945</v>
      </c>
      <c r="C1284" s="78" t="s">
        <v>1502</v>
      </c>
      <c r="D1284" s="78" t="s">
        <v>315</v>
      </c>
      <c r="E1284" s="78" t="s">
        <v>1500</v>
      </c>
      <c r="F1284" s="78" t="s">
        <v>1501</v>
      </c>
      <c r="G1284" s="78" t="s">
        <v>1513</v>
      </c>
      <c r="H1284" s="77"/>
      <c r="I1284" s="226"/>
      <c r="J1284" s="77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7"/>
      <c r="AE1284" s="79"/>
    </row>
    <row r="1285" spans="1:31" x14ac:dyDescent="0.3">
      <c r="A1285" s="76"/>
      <c r="B1285" s="78" t="s">
        <v>1693</v>
      </c>
      <c r="C1285" s="78" t="s">
        <v>1489</v>
      </c>
      <c r="D1285" s="78" t="s">
        <v>496</v>
      </c>
      <c r="E1285" s="78" t="s">
        <v>1694</v>
      </c>
      <c r="F1285" s="78" t="s">
        <v>1558</v>
      </c>
      <c r="G1285" s="78" t="s">
        <v>1513</v>
      </c>
      <c r="H1285" s="77"/>
      <c r="I1285" s="226"/>
      <c r="J1285" s="77"/>
      <c r="K1285" s="77"/>
      <c r="L1285" s="77"/>
      <c r="M1285" s="77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77"/>
      <c r="AC1285" s="77"/>
      <c r="AD1285" s="77"/>
      <c r="AE1285" s="79"/>
    </row>
    <row r="1286" spans="1:31" x14ac:dyDescent="0.3">
      <c r="A1286" s="76"/>
      <c r="B1286" s="78" t="s">
        <v>1987</v>
      </c>
      <c r="C1286" s="78" t="s">
        <v>1489</v>
      </c>
      <c r="D1286" s="78" t="s">
        <v>493</v>
      </c>
      <c r="E1286" s="78" t="s">
        <v>1980</v>
      </c>
      <c r="F1286" s="78" t="s">
        <v>1982</v>
      </c>
      <c r="G1286" s="78" t="s">
        <v>1513</v>
      </c>
      <c r="H1286" s="77"/>
      <c r="I1286" s="226"/>
      <c r="J1286" s="77"/>
      <c r="K1286" s="77"/>
      <c r="L1286" s="77"/>
      <c r="M1286" s="77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77"/>
      <c r="AC1286" s="77"/>
      <c r="AD1286" s="77"/>
      <c r="AE1286" s="79"/>
    </row>
    <row r="1287" spans="1:31" ht="15" thickBot="1" x14ac:dyDescent="0.35">
      <c r="A1287" s="76"/>
      <c r="B1287" s="78" t="s">
        <v>1711</v>
      </c>
      <c r="C1287" s="78" t="s">
        <v>1496</v>
      </c>
      <c r="D1287" s="78" t="s">
        <v>115</v>
      </c>
      <c r="E1287" s="78" t="s">
        <v>1595</v>
      </c>
      <c r="F1287" s="78" t="s">
        <v>1619</v>
      </c>
      <c r="G1287" s="78" t="s">
        <v>1513</v>
      </c>
      <c r="H1287" s="77"/>
      <c r="I1287" s="227"/>
      <c r="J1287" s="77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7"/>
      <c r="AE1287" s="79"/>
    </row>
    <row r="1288" spans="1:31" x14ac:dyDescent="0.3">
      <c r="A1288" s="76"/>
      <c r="B1288" s="78" t="s">
        <v>1951</v>
      </c>
      <c r="C1288" s="78" t="s">
        <v>1496</v>
      </c>
      <c r="D1288" s="78" t="s">
        <v>473</v>
      </c>
      <c r="E1288" s="78" t="s">
        <v>1749</v>
      </c>
      <c r="F1288" s="78" t="s">
        <v>1950</v>
      </c>
      <c r="G1288" s="78" t="s">
        <v>1513</v>
      </c>
      <c r="H1288" s="77"/>
      <c r="I1288" s="225">
        <v>42</v>
      </c>
      <c r="J1288" s="77"/>
      <c r="K1288" s="77"/>
      <c r="L1288" s="77"/>
      <c r="M1288" s="77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77"/>
      <c r="AC1288" s="77"/>
      <c r="AD1288" s="77"/>
      <c r="AE1288" s="79"/>
    </row>
    <row r="1289" spans="1:31" ht="15" thickBot="1" x14ac:dyDescent="0.35">
      <c r="A1289" s="81"/>
      <c r="B1289" s="82" t="s">
        <v>2027</v>
      </c>
      <c r="C1289" s="82" t="s">
        <v>1489</v>
      </c>
      <c r="D1289" s="82" t="s">
        <v>495</v>
      </c>
      <c r="E1289" s="82" t="s">
        <v>1749</v>
      </c>
      <c r="F1289" s="82" t="s">
        <v>2028</v>
      </c>
      <c r="G1289" s="82" t="s">
        <v>1513</v>
      </c>
      <c r="H1289" s="83"/>
      <c r="I1289" s="226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  <c r="X1289" s="83"/>
      <c r="Y1289" s="83"/>
      <c r="Z1289" s="83"/>
      <c r="AA1289" s="83"/>
      <c r="AB1289" s="83"/>
      <c r="AC1289" s="83"/>
      <c r="AD1289" s="83"/>
      <c r="AE1289" s="84"/>
    </row>
    <row r="1290" spans="1:31" x14ac:dyDescent="0.3">
      <c r="A1290" s="72" t="s">
        <v>482</v>
      </c>
      <c r="B1290" s="73" t="s">
        <v>2100</v>
      </c>
      <c r="C1290" s="74" t="s">
        <v>1479</v>
      </c>
      <c r="D1290" s="74" t="s">
        <v>483</v>
      </c>
      <c r="E1290" s="74" t="s">
        <v>1480</v>
      </c>
      <c r="F1290" s="74"/>
      <c r="G1290" s="74" t="s">
        <v>1481</v>
      </c>
      <c r="H1290" s="73" t="s">
        <v>1575</v>
      </c>
      <c r="I1290" s="226"/>
      <c r="J1290" s="73" t="s">
        <v>481</v>
      </c>
      <c r="K1290" s="73">
        <v>63</v>
      </c>
      <c r="L1290" s="73" t="s">
        <v>320</v>
      </c>
      <c r="M1290" s="73" t="s">
        <v>1483</v>
      </c>
      <c r="N1290" s="73" t="s">
        <v>1483</v>
      </c>
      <c r="O1290" s="73" t="s">
        <v>1483</v>
      </c>
      <c r="P1290" s="73" t="s">
        <v>1483</v>
      </c>
      <c r="Q1290" s="73" t="s">
        <v>1483</v>
      </c>
      <c r="R1290" s="73" t="s">
        <v>1483</v>
      </c>
      <c r="S1290" s="73" t="s">
        <v>1484</v>
      </c>
      <c r="T1290" s="73" t="s">
        <v>1484</v>
      </c>
      <c r="U1290" s="73" t="s">
        <v>1484</v>
      </c>
      <c r="V1290" s="73" t="s">
        <v>1484</v>
      </c>
      <c r="W1290" s="73" t="s">
        <v>1485</v>
      </c>
      <c r="X1290" s="73" t="s">
        <v>1484</v>
      </c>
      <c r="Y1290" s="73" t="s">
        <v>1484</v>
      </c>
      <c r="Z1290" s="73" t="s">
        <v>1484</v>
      </c>
      <c r="AA1290" s="73" t="s">
        <v>1485</v>
      </c>
      <c r="AB1290" s="73" t="s">
        <v>1484</v>
      </c>
      <c r="AC1290" s="73" t="s">
        <v>1486</v>
      </c>
      <c r="AD1290" s="73" t="s">
        <v>1487</v>
      </c>
      <c r="AE1290" s="75" t="s">
        <v>1579</v>
      </c>
    </row>
    <row r="1291" spans="1:31" x14ac:dyDescent="0.3">
      <c r="A1291" s="76"/>
      <c r="B1291" s="77"/>
      <c r="C1291" s="78" t="s">
        <v>1493</v>
      </c>
      <c r="D1291" s="78" t="s">
        <v>484</v>
      </c>
      <c r="E1291" s="78" t="s">
        <v>1980</v>
      </c>
      <c r="F1291" s="78" t="s">
        <v>1989</v>
      </c>
      <c r="G1291" s="78" t="s">
        <v>1492</v>
      </c>
      <c r="H1291" s="77"/>
      <c r="I1291" s="226"/>
      <c r="J1291" s="77"/>
      <c r="K1291" s="77"/>
      <c r="L1291" s="77"/>
      <c r="M1291" s="77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77"/>
      <c r="AC1291" s="77"/>
      <c r="AD1291" s="77"/>
      <c r="AE1291" s="79"/>
    </row>
    <row r="1292" spans="1:31" x14ac:dyDescent="0.3">
      <c r="A1292" s="76"/>
      <c r="B1292" s="77"/>
      <c r="C1292" s="78" t="s">
        <v>1496</v>
      </c>
      <c r="D1292" s="78" t="s">
        <v>92</v>
      </c>
      <c r="E1292" s="78" t="s">
        <v>1500</v>
      </c>
      <c r="F1292" s="78" t="s">
        <v>1501</v>
      </c>
      <c r="G1292" s="78" t="s">
        <v>1492</v>
      </c>
      <c r="H1292" s="77"/>
      <c r="I1292" s="226"/>
      <c r="J1292" s="77"/>
      <c r="K1292" s="77"/>
      <c r="L1292" s="77"/>
      <c r="M1292" s="77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77"/>
      <c r="AC1292" s="77"/>
      <c r="AD1292" s="77"/>
      <c r="AE1292" s="79"/>
    </row>
    <row r="1293" spans="1:31" x14ac:dyDescent="0.3">
      <c r="A1293" s="76"/>
      <c r="B1293" s="77"/>
      <c r="C1293" s="78" t="s">
        <v>1499</v>
      </c>
      <c r="D1293" s="78" t="s">
        <v>485</v>
      </c>
      <c r="E1293" s="78" t="s">
        <v>1694</v>
      </c>
      <c r="F1293" s="78" t="s">
        <v>1565</v>
      </c>
      <c r="G1293" s="78" t="s">
        <v>1492</v>
      </c>
      <c r="H1293" s="77"/>
      <c r="I1293" s="226"/>
      <c r="J1293" s="77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7"/>
      <c r="AE1293" s="79"/>
    </row>
    <row r="1294" spans="1:31" x14ac:dyDescent="0.3">
      <c r="A1294" s="76"/>
      <c r="B1294" s="77"/>
      <c r="C1294" s="78" t="s">
        <v>1504</v>
      </c>
      <c r="D1294" s="78" t="s">
        <v>486</v>
      </c>
      <c r="E1294" s="78" t="s">
        <v>1494</v>
      </c>
      <c r="F1294" s="78" t="s">
        <v>1495</v>
      </c>
      <c r="G1294" s="78" t="s">
        <v>1492</v>
      </c>
      <c r="H1294" s="77"/>
      <c r="I1294" s="226"/>
      <c r="J1294" s="77"/>
      <c r="K1294" s="77"/>
      <c r="L1294" s="77"/>
      <c r="M1294" s="77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77"/>
      <c r="AC1294" s="77"/>
      <c r="AD1294" s="77"/>
      <c r="AE1294" s="79"/>
    </row>
    <row r="1295" spans="1:31" x14ac:dyDescent="0.3">
      <c r="A1295" s="76"/>
      <c r="B1295" s="80"/>
      <c r="C1295" s="78" t="s">
        <v>1507</v>
      </c>
      <c r="D1295" s="78" t="s">
        <v>301</v>
      </c>
      <c r="E1295" s="78" t="s">
        <v>1500</v>
      </c>
      <c r="F1295" s="78" t="s">
        <v>1501</v>
      </c>
      <c r="G1295" s="78" t="s">
        <v>1492</v>
      </c>
      <c r="H1295" s="77"/>
      <c r="I1295" s="226"/>
      <c r="J1295" s="77"/>
      <c r="K1295" s="77"/>
      <c r="L1295" s="77"/>
      <c r="M1295" s="77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77"/>
      <c r="AC1295" s="77"/>
      <c r="AD1295" s="77"/>
      <c r="AE1295" s="79"/>
    </row>
    <row r="1296" spans="1:31" x14ac:dyDescent="0.3">
      <c r="A1296" s="76"/>
      <c r="B1296" s="78" t="s">
        <v>1851</v>
      </c>
      <c r="C1296" s="78" t="s">
        <v>1493</v>
      </c>
      <c r="D1296" s="78" t="s">
        <v>488</v>
      </c>
      <c r="E1296" s="78" t="s">
        <v>1480</v>
      </c>
      <c r="F1296" s="78" t="s">
        <v>1518</v>
      </c>
      <c r="G1296" s="78" t="s">
        <v>1513</v>
      </c>
      <c r="H1296" s="77"/>
      <c r="I1296" s="226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77"/>
      <c r="AC1296" s="77"/>
      <c r="AD1296" s="77"/>
      <c r="AE1296" s="79"/>
    </row>
    <row r="1297" spans="1:31" x14ac:dyDescent="0.3">
      <c r="A1297" s="76"/>
      <c r="B1297" s="78" t="s">
        <v>1654</v>
      </c>
      <c r="C1297" s="78" t="s">
        <v>1493</v>
      </c>
      <c r="D1297" s="78" t="s">
        <v>486</v>
      </c>
      <c r="E1297" s="78" t="s">
        <v>1494</v>
      </c>
      <c r="F1297" s="78" t="s">
        <v>1495</v>
      </c>
      <c r="G1297" s="78" t="s">
        <v>1513</v>
      </c>
      <c r="H1297" s="77"/>
      <c r="I1297" s="226"/>
      <c r="J1297" s="77"/>
      <c r="K1297" s="77"/>
      <c r="L1297" s="77"/>
      <c r="M1297" s="77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77"/>
      <c r="AC1297" s="77"/>
      <c r="AD1297" s="77"/>
      <c r="AE1297" s="79"/>
    </row>
    <row r="1298" spans="1:31" x14ac:dyDescent="0.3">
      <c r="A1298" s="76"/>
      <c r="B1298" s="78" t="s">
        <v>1649</v>
      </c>
      <c r="C1298" s="78" t="s">
        <v>1502</v>
      </c>
      <c r="D1298" s="78" t="s">
        <v>92</v>
      </c>
      <c r="E1298" s="78" t="s">
        <v>1500</v>
      </c>
      <c r="F1298" s="78" t="s">
        <v>1501</v>
      </c>
      <c r="G1298" s="78" t="s">
        <v>1513</v>
      </c>
      <c r="H1298" s="77"/>
      <c r="I1298" s="226"/>
      <c r="J1298" s="77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7"/>
      <c r="AE1298" s="79"/>
    </row>
    <row r="1299" spans="1:31" x14ac:dyDescent="0.3">
      <c r="A1299" s="76"/>
      <c r="B1299" s="78" t="s">
        <v>1941</v>
      </c>
      <c r="C1299" s="78" t="s">
        <v>1499</v>
      </c>
      <c r="D1299" s="78" t="s">
        <v>301</v>
      </c>
      <c r="E1299" s="78" t="s">
        <v>1500</v>
      </c>
      <c r="F1299" s="78" t="s">
        <v>1501</v>
      </c>
      <c r="G1299" s="78" t="s">
        <v>1513</v>
      </c>
      <c r="H1299" s="77"/>
      <c r="I1299" s="226"/>
      <c r="J1299" s="77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7"/>
      <c r="AE1299" s="79"/>
    </row>
    <row r="1300" spans="1:31" x14ac:dyDescent="0.3">
      <c r="A1300" s="76"/>
      <c r="B1300" s="78" t="s">
        <v>1992</v>
      </c>
      <c r="C1300" s="78" t="s">
        <v>1493</v>
      </c>
      <c r="D1300" s="78" t="s">
        <v>484</v>
      </c>
      <c r="E1300" s="78" t="s">
        <v>1980</v>
      </c>
      <c r="F1300" s="78" t="s">
        <v>1989</v>
      </c>
      <c r="G1300" s="78" t="s">
        <v>1513</v>
      </c>
      <c r="H1300" s="77"/>
      <c r="I1300" s="226"/>
      <c r="J1300" s="77"/>
      <c r="K1300" s="77"/>
      <c r="L1300" s="77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77"/>
      <c r="AC1300" s="77"/>
      <c r="AD1300" s="77"/>
      <c r="AE1300" s="79"/>
    </row>
    <row r="1301" spans="1:31" x14ac:dyDescent="0.3">
      <c r="A1301" s="76"/>
      <c r="B1301" s="78" t="s">
        <v>1949</v>
      </c>
      <c r="C1301" s="78" t="s">
        <v>1496</v>
      </c>
      <c r="D1301" s="78" t="s">
        <v>474</v>
      </c>
      <c r="E1301" s="78" t="s">
        <v>1749</v>
      </c>
      <c r="F1301" s="78" t="s">
        <v>1950</v>
      </c>
      <c r="G1301" s="78" t="s">
        <v>1513</v>
      </c>
      <c r="H1301" s="77"/>
      <c r="I1301" s="226"/>
      <c r="J1301" s="77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7"/>
      <c r="AE1301" s="79"/>
    </row>
    <row r="1302" spans="1:31" x14ac:dyDescent="0.3">
      <c r="A1302" s="76"/>
      <c r="B1302" s="78" t="s">
        <v>2033</v>
      </c>
      <c r="C1302" s="78" t="s">
        <v>1489</v>
      </c>
      <c r="D1302" s="78" t="s">
        <v>487</v>
      </c>
      <c r="E1302" s="78" t="s">
        <v>1749</v>
      </c>
      <c r="F1302" s="78" t="s">
        <v>2028</v>
      </c>
      <c r="G1302" s="78" t="s">
        <v>1513</v>
      </c>
      <c r="H1302" s="77"/>
      <c r="I1302" s="226"/>
      <c r="J1302" s="77"/>
      <c r="K1302" s="77"/>
      <c r="L1302" s="77"/>
      <c r="M1302" s="77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7"/>
      <c r="AE1302" s="79"/>
    </row>
    <row r="1303" spans="1:31" ht="15" thickBot="1" x14ac:dyDescent="0.35">
      <c r="A1303" s="81"/>
      <c r="B1303" s="82" t="s">
        <v>1706</v>
      </c>
      <c r="C1303" s="82" t="s">
        <v>1493</v>
      </c>
      <c r="D1303" s="82" t="s">
        <v>485</v>
      </c>
      <c r="E1303" s="82" t="s">
        <v>1694</v>
      </c>
      <c r="F1303" s="82" t="s">
        <v>1565</v>
      </c>
      <c r="G1303" s="82" t="s">
        <v>1513</v>
      </c>
      <c r="H1303" s="83"/>
      <c r="I1303" s="227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  <c r="X1303" s="83"/>
      <c r="Y1303" s="83"/>
      <c r="Z1303" s="83"/>
      <c r="AA1303" s="83"/>
      <c r="AB1303" s="83"/>
      <c r="AC1303" s="83"/>
      <c r="AD1303" s="83"/>
      <c r="AE1303" s="84"/>
    </row>
    <row r="1304" spans="1:31" x14ac:dyDescent="0.3">
      <c r="A1304" s="72" t="s">
        <v>459</v>
      </c>
      <c r="B1304" s="73" t="s">
        <v>2101</v>
      </c>
      <c r="C1304" s="74" t="s">
        <v>1479</v>
      </c>
      <c r="D1304" s="74" t="s">
        <v>460</v>
      </c>
      <c r="E1304" s="74" t="s">
        <v>1480</v>
      </c>
      <c r="F1304" s="74"/>
      <c r="G1304" s="74" t="s">
        <v>1481</v>
      </c>
      <c r="H1304" s="73" t="s">
        <v>1959</v>
      </c>
      <c r="I1304" s="225">
        <v>41</v>
      </c>
      <c r="J1304" s="73" t="s">
        <v>458</v>
      </c>
      <c r="K1304" s="73">
        <v>56</v>
      </c>
      <c r="L1304" s="73" t="s">
        <v>320</v>
      </c>
      <c r="M1304" s="73" t="s">
        <v>1483</v>
      </c>
      <c r="N1304" s="73" t="s">
        <v>1483</v>
      </c>
      <c r="O1304" s="73" t="s">
        <v>2655</v>
      </c>
      <c r="P1304" s="73" t="s">
        <v>2655</v>
      </c>
      <c r="Q1304" s="73" t="s">
        <v>2655</v>
      </c>
      <c r="R1304" s="73" t="s">
        <v>2655</v>
      </c>
      <c r="S1304" s="73" t="s">
        <v>1484</v>
      </c>
      <c r="T1304" s="73" t="s">
        <v>1484</v>
      </c>
      <c r="U1304" s="73" t="s">
        <v>1484</v>
      </c>
      <c r="V1304" s="73" t="s">
        <v>1484</v>
      </c>
      <c r="W1304" s="73" t="s">
        <v>1576</v>
      </c>
      <c r="X1304" s="73" t="s">
        <v>1484</v>
      </c>
      <c r="Y1304" s="73" t="s">
        <v>1484</v>
      </c>
      <c r="Z1304" s="73" t="s">
        <v>1484</v>
      </c>
      <c r="AA1304" s="73" t="s">
        <v>1485</v>
      </c>
      <c r="AB1304" s="73" t="s">
        <v>1484</v>
      </c>
      <c r="AC1304" s="73" t="s">
        <v>1486</v>
      </c>
      <c r="AD1304" s="73" t="s">
        <v>1960</v>
      </c>
      <c r="AE1304" s="75" t="s">
        <v>1644</v>
      </c>
    </row>
    <row r="1305" spans="1:31" x14ac:dyDescent="0.3">
      <c r="A1305" s="76"/>
      <c r="B1305" s="77"/>
      <c r="C1305" s="78" t="s">
        <v>1489</v>
      </c>
      <c r="D1305" s="78" t="s">
        <v>430</v>
      </c>
      <c r="E1305" s="78" t="s">
        <v>1749</v>
      </c>
      <c r="F1305" s="78" t="s">
        <v>2092</v>
      </c>
      <c r="G1305" s="78" t="s">
        <v>1492</v>
      </c>
      <c r="H1305" s="77"/>
      <c r="I1305" s="226"/>
      <c r="J1305" s="77"/>
      <c r="K1305" s="77"/>
      <c r="L1305" s="77"/>
      <c r="M1305" s="77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7"/>
      <c r="AE1305" s="79"/>
    </row>
    <row r="1306" spans="1:31" x14ac:dyDescent="0.3">
      <c r="A1306" s="76"/>
      <c r="B1306" s="77"/>
      <c r="C1306" s="78" t="s">
        <v>1493</v>
      </c>
      <c r="D1306" s="78" t="s">
        <v>116</v>
      </c>
      <c r="E1306" s="78" t="s">
        <v>1494</v>
      </c>
      <c r="F1306" s="78" t="s">
        <v>1495</v>
      </c>
      <c r="G1306" s="78" t="s">
        <v>1492</v>
      </c>
      <c r="H1306" s="77"/>
      <c r="I1306" s="226"/>
      <c r="J1306" s="77"/>
      <c r="K1306" s="77"/>
      <c r="L1306" s="77"/>
      <c r="M1306" s="77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7"/>
      <c r="AE1306" s="79"/>
    </row>
    <row r="1307" spans="1:31" x14ac:dyDescent="0.3">
      <c r="A1307" s="76"/>
      <c r="B1307" s="77"/>
      <c r="C1307" s="78" t="s">
        <v>1496</v>
      </c>
      <c r="D1307" s="78" t="s">
        <v>235</v>
      </c>
      <c r="E1307" s="78" t="s">
        <v>1503</v>
      </c>
      <c r="F1307" s="78" t="s">
        <v>1495</v>
      </c>
      <c r="G1307" s="78" t="s">
        <v>1492</v>
      </c>
      <c r="H1307" s="77"/>
      <c r="I1307" s="226"/>
      <c r="J1307" s="77"/>
      <c r="K1307" s="77"/>
      <c r="L1307" s="77"/>
      <c r="M1307" s="77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7"/>
      <c r="AE1307" s="79"/>
    </row>
    <row r="1308" spans="1:31" x14ac:dyDescent="0.3">
      <c r="A1308" s="76"/>
      <c r="B1308" s="77"/>
      <c r="C1308" s="78" t="s">
        <v>1499</v>
      </c>
      <c r="D1308" s="78" t="s">
        <v>461</v>
      </c>
      <c r="E1308" s="78" t="s">
        <v>1961</v>
      </c>
      <c r="F1308" s="78" t="s">
        <v>2097</v>
      </c>
      <c r="G1308" s="78" t="s">
        <v>1492</v>
      </c>
      <c r="H1308" s="77"/>
      <c r="I1308" s="226"/>
      <c r="J1308" s="77"/>
      <c r="K1308" s="77"/>
      <c r="L1308" s="77"/>
      <c r="M1308" s="77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7"/>
      <c r="AE1308" s="79"/>
    </row>
    <row r="1309" spans="1:31" x14ac:dyDescent="0.3">
      <c r="A1309" s="76"/>
      <c r="B1309" s="77"/>
      <c r="C1309" s="78" t="s">
        <v>1502</v>
      </c>
      <c r="D1309" s="78" t="s">
        <v>289</v>
      </c>
      <c r="E1309" s="78" t="s">
        <v>1505</v>
      </c>
      <c r="F1309" s="78" t="s">
        <v>1546</v>
      </c>
      <c r="G1309" s="78" t="s">
        <v>1492</v>
      </c>
      <c r="H1309" s="77"/>
      <c r="I1309" s="226"/>
      <c r="J1309" s="77"/>
      <c r="K1309" s="77"/>
      <c r="L1309" s="77"/>
      <c r="M1309" s="77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7"/>
      <c r="AE1309" s="79"/>
    </row>
    <row r="1310" spans="1:31" x14ac:dyDescent="0.3">
      <c r="A1310" s="76"/>
      <c r="B1310" s="77"/>
      <c r="C1310" s="78" t="s">
        <v>1504</v>
      </c>
      <c r="D1310" s="78" t="s">
        <v>333</v>
      </c>
      <c r="E1310" s="78" t="s">
        <v>1591</v>
      </c>
      <c r="F1310" s="78" t="s">
        <v>1819</v>
      </c>
      <c r="G1310" s="78" t="s">
        <v>1492</v>
      </c>
      <c r="H1310" s="77"/>
      <c r="I1310" s="226"/>
      <c r="J1310" s="77"/>
      <c r="K1310" s="77"/>
      <c r="L1310" s="77"/>
      <c r="M1310" s="77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7"/>
      <c r="AE1310" s="79"/>
    </row>
    <row r="1311" spans="1:31" x14ac:dyDescent="0.3">
      <c r="A1311" s="76"/>
      <c r="B1311" s="80"/>
      <c r="C1311" s="78" t="s">
        <v>1507</v>
      </c>
      <c r="D1311" s="78" t="s">
        <v>462</v>
      </c>
      <c r="E1311" s="78" t="s">
        <v>1963</v>
      </c>
      <c r="F1311" s="78" t="s">
        <v>2102</v>
      </c>
      <c r="G1311" s="78" t="s">
        <v>1492</v>
      </c>
      <c r="H1311" s="77"/>
      <c r="I1311" s="226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9"/>
    </row>
    <row r="1312" spans="1:31" x14ac:dyDescent="0.3">
      <c r="A1312" s="76"/>
      <c r="B1312" s="78" t="s">
        <v>1860</v>
      </c>
      <c r="C1312" s="78" t="s">
        <v>1493</v>
      </c>
      <c r="D1312" s="78" t="s">
        <v>463</v>
      </c>
      <c r="E1312" s="78" t="s">
        <v>1480</v>
      </c>
      <c r="F1312" s="78" t="s">
        <v>1518</v>
      </c>
      <c r="G1312" s="78" t="s">
        <v>1513</v>
      </c>
      <c r="H1312" s="77"/>
      <c r="I1312" s="226"/>
      <c r="J1312" s="77"/>
      <c r="K1312" s="77"/>
      <c r="L1312" s="77"/>
      <c r="M1312" s="77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77"/>
      <c r="AC1312" s="77"/>
      <c r="AD1312" s="77"/>
      <c r="AE1312" s="79"/>
    </row>
    <row r="1313" spans="1:31" x14ac:dyDescent="0.3">
      <c r="A1313" s="76"/>
      <c r="B1313" s="78" t="s">
        <v>1976</v>
      </c>
      <c r="C1313" s="78" t="s">
        <v>1496</v>
      </c>
      <c r="D1313" s="78" t="s">
        <v>116</v>
      </c>
      <c r="E1313" s="78" t="s">
        <v>1494</v>
      </c>
      <c r="F1313" s="78" t="s">
        <v>1495</v>
      </c>
      <c r="G1313" s="78" t="s">
        <v>1513</v>
      </c>
      <c r="H1313" s="77"/>
      <c r="I1313" s="226"/>
      <c r="J1313" s="77"/>
      <c r="K1313" s="77"/>
      <c r="L1313" s="77"/>
      <c r="M1313" s="77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77"/>
      <c r="AC1313" s="77"/>
      <c r="AD1313" s="77"/>
      <c r="AE1313" s="79"/>
    </row>
    <row r="1314" spans="1:31" x14ac:dyDescent="0.3">
      <c r="A1314" s="76"/>
      <c r="B1314" s="78" t="s">
        <v>1756</v>
      </c>
      <c r="C1314" s="78" t="s">
        <v>1493</v>
      </c>
      <c r="D1314" s="78" t="s">
        <v>235</v>
      </c>
      <c r="E1314" s="78" t="s">
        <v>1503</v>
      </c>
      <c r="F1314" s="78" t="s">
        <v>1495</v>
      </c>
      <c r="G1314" s="78" t="s">
        <v>1513</v>
      </c>
      <c r="H1314" s="77"/>
      <c r="I1314" s="226"/>
      <c r="J1314" s="77"/>
      <c r="K1314" s="77"/>
      <c r="L1314" s="77"/>
      <c r="M1314" s="77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77"/>
      <c r="AC1314" s="77"/>
      <c r="AD1314" s="77"/>
      <c r="AE1314" s="79"/>
    </row>
    <row r="1315" spans="1:31" x14ac:dyDescent="0.3">
      <c r="A1315" s="76"/>
      <c r="B1315" s="78" t="s">
        <v>2002</v>
      </c>
      <c r="C1315" s="78" t="s">
        <v>1499</v>
      </c>
      <c r="D1315" s="78" t="s">
        <v>289</v>
      </c>
      <c r="E1315" s="78" t="s">
        <v>1505</v>
      </c>
      <c r="F1315" s="78" t="s">
        <v>1546</v>
      </c>
      <c r="G1315" s="78" t="s">
        <v>1513</v>
      </c>
      <c r="H1315" s="77"/>
      <c r="I1315" s="226"/>
      <c r="J1315" s="77"/>
      <c r="K1315" s="77"/>
      <c r="L1315" s="77"/>
      <c r="M1315" s="77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77"/>
      <c r="AC1315" s="77"/>
      <c r="AD1315" s="77"/>
      <c r="AE1315" s="79"/>
    </row>
    <row r="1316" spans="1:31" x14ac:dyDescent="0.3">
      <c r="A1316" s="76"/>
      <c r="B1316" s="78" t="s">
        <v>1956</v>
      </c>
      <c r="C1316" s="78" t="s">
        <v>1489</v>
      </c>
      <c r="D1316" s="78" t="s">
        <v>440</v>
      </c>
      <c r="E1316" s="78" t="s">
        <v>1749</v>
      </c>
      <c r="F1316" s="78" t="s">
        <v>1957</v>
      </c>
      <c r="G1316" s="78" t="s">
        <v>1513</v>
      </c>
      <c r="H1316" s="77"/>
      <c r="I1316" s="226"/>
      <c r="J1316" s="77"/>
      <c r="K1316" s="77"/>
      <c r="L1316" s="77"/>
      <c r="M1316" s="77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77"/>
      <c r="AC1316" s="77"/>
      <c r="AD1316" s="77"/>
      <c r="AE1316" s="79"/>
    </row>
    <row r="1317" spans="1:31" ht="15" thickBot="1" x14ac:dyDescent="0.35">
      <c r="A1317" s="81"/>
      <c r="B1317" s="82" t="s">
        <v>2103</v>
      </c>
      <c r="C1317" s="82" t="s">
        <v>1489</v>
      </c>
      <c r="D1317" s="82" t="s">
        <v>462</v>
      </c>
      <c r="E1317" s="82" t="s">
        <v>1963</v>
      </c>
      <c r="F1317" s="82" t="s">
        <v>2102</v>
      </c>
      <c r="G1317" s="82" t="s">
        <v>1513</v>
      </c>
      <c r="H1317" s="83"/>
      <c r="I1317" s="226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  <c r="X1317" s="83"/>
      <c r="Y1317" s="83"/>
      <c r="Z1317" s="83"/>
      <c r="AA1317" s="83"/>
      <c r="AB1317" s="83"/>
      <c r="AC1317" s="83"/>
      <c r="AD1317" s="83"/>
      <c r="AE1317" s="84"/>
    </row>
    <row r="1318" spans="1:31" ht="15" thickBot="1" x14ac:dyDescent="0.35">
      <c r="A1318" s="72" t="s">
        <v>452</v>
      </c>
      <c r="B1318" s="73" t="s">
        <v>2104</v>
      </c>
      <c r="C1318" s="74" t="s">
        <v>1479</v>
      </c>
      <c r="D1318" s="74" t="s">
        <v>453</v>
      </c>
      <c r="E1318" s="74" t="s">
        <v>1480</v>
      </c>
      <c r="F1318" s="74"/>
      <c r="G1318" s="74" t="s">
        <v>1481</v>
      </c>
      <c r="H1318" s="73" t="s">
        <v>1959</v>
      </c>
      <c r="I1318" s="227"/>
      <c r="J1318" s="73" t="s">
        <v>451</v>
      </c>
      <c r="K1318" s="73">
        <v>55</v>
      </c>
      <c r="L1318" s="73" t="s">
        <v>320</v>
      </c>
      <c r="M1318" s="73" t="s">
        <v>1483</v>
      </c>
      <c r="N1318" s="73" t="s">
        <v>1483</v>
      </c>
      <c r="O1318" s="73" t="s">
        <v>2655</v>
      </c>
      <c r="P1318" s="73" t="s">
        <v>2655</v>
      </c>
      <c r="Q1318" s="73" t="s">
        <v>2655</v>
      </c>
      <c r="R1318" s="73" t="s">
        <v>2655</v>
      </c>
      <c r="S1318" s="73" t="s">
        <v>1484</v>
      </c>
      <c r="T1318" s="73" t="s">
        <v>1484</v>
      </c>
      <c r="U1318" s="73" t="s">
        <v>1484</v>
      </c>
      <c r="V1318" s="73" t="s">
        <v>1484</v>
      </c>
      <c r="W1318" s="73" t="s">
        <v>1576</v>
      </c>
      <c r="X1318" s="73" t="s">
        <v>1484</v>
      </c>
      <c r="Y1318" s="73" t="s">
        <v>1484</v>
      </c>
      <c r="Z1318" s="73" t="s">
        <v>1484</v>
      </c>
      <c r="AA1318" s="73" t="s">
        <v>1485</v>
      </c>
      <c r="AB1318" s="73" t="s">
        <v>1484</v>
      </c>
      <c r="AC1318" s="73" t="s">
        <v>1486</v>
      </c>
      <c r="AD1318" s="73" t="s">
        <v>1960</v>
      </c>
      <c r="AE1318" s="75" t="s">
        <v>1644</v>
      </c>
    </row>
    <row r="1319" spans="1:31" x14ac:dyDescent="0.3">
      <c r="A1319" s="76"/>
      <c r="B1319" s="77"/>
      <c r="C1319" s="78" t="s">
        <v>1489</v>
      </c>
      <c r="D1319" s="78" t="s">
        <v>431</v>
      </c>
      <c r="E1319" s="78" t="s">
        <v>1749</v>
      </c>
      <c r="F1319" s="78" t="s">
        <v>2092</v>
      </c>
      <c r="G1319" s="78" t="s">
        <v>1492</v>
      </c>
      <c r="H1319" s="77"/>
      <c r="I1319" s="225">
        <v>36</v>
      </c>
      <c r="J1319" s="77"/>
      <c r="K1319" s="77"/>
      <c r="L1319" s="77"/>
      <c r="M1319" s="77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77"/>
      <c r="AC1319" s="77"/>
      <c r="AD1319" s="77"/>
      <c r="AE1319" s="79"/>
    </row>
    <row r="1320" spans="1:31" x14ac:dyDescent="0.3">
      <c r="A1320" s="76"/>
      <c r="B1320" s="77"/>
      <c r="C1320" s="78" t="s">
        <v>1493</v>
      </c>
      <c r="D1320" s="78" t="s">
        <v>105</v>
      </c>
      <c r="E1320" s="78" t="s">
        <v>1494</v>
      </c>
      <c r="F1320" s="78" t="s">
        <v>1495</v>
      </c>
      <c r="G1320" s="78" t="s">
        <v>1492</v>
      </c>
      <c r="H1320" s="77"/>
      <c r="I1320" s="226"/>
      <c r="J1320" s="77"/>
      <c r="K1320" s="77"/>
      <c r="L1320" s="77"/>
      <c r="M1320" s="77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7"/>
      <c r="AE1320" s="79"/>
    </row>
    <row r="1321" spans="1:31" x14ac:dyDescent="0.3">
      <c r="A1321" s="76"/>
      <c r="B1321" s="77"/>
      <c r="C1321" s="78" t="s">
        <v>1496</v>
      </c>
      <c r="D1321" s="78" t="s">
        <v>314</v>
      </c>
      <c r="E1321" s="78" t="s">
        <v>1749</v>
      </c>
      <c r="F1321" s="78" t="s">
        <v>2105</v>
      </c>
      <c r="G1321" s="78" t="s">
        <v>1492</v>
      </c>
      <c r="H1321" s="77"/>
      <c r="I1321" s="226"/>
      <c r="J1321" s="77"/>
      <c r="K1321" s="77"/>
      <c r="L1321" s="77"/>
      <c r="M1321" s="77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7"/>
      <c r="AE1321" s="79"/>
    </row>
    <row r="1322" spans="1:31" x14ac:dyDescent="0.3">
      <c r="A1322" s="76"/>
      <c r="B1322" s="77"/>
      <c r="C1322" s="78" t="s">
        <v>1499</v>
      </c>
      <c r="D1322" s="78" t="s">
        <v>454</v>
      </c>
      <c r="E1322" s="78" t="s">
        <v>1961</v>
      </c>
      <c r="F1322" s="78" t="s">
        <v>2097</v>
      </c>
      <c r="G1322" s="78" t="s">
        <v>1492</v>
      </c>
      <c r="H1322" s="77"/>
      <c r="I1322" s="226"/>
      <c r="J1322" s="77"/>
      <c r="K1322" s="77"/>
      <c r="L1322" s="77"/>
      <c r="M1322" s="77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7"/>
      <c r="AE1322" s="79"/>
    </row>
    <row r="1323" spans="1:31" x14ac:dyDescent="0.3">
      <c r="A1323" s="76"/>
      <c r="B1323" s="77"/>
      <c r="C1323" s="78" t="s">
        <v>1504</v>
      </c>
      <c r="D1323" s="78" t="s">
        <v>299</v>
      </c>
      <c r="E1323" s="78" t="s">
        <v>1505</v>
      </c>
      <c r="F1323" s="78" t="s">
        <v>1564</v>
      </c>
      <c r="G1323" s="78" t="s">
        <v>1492</v>
      </c>
      <c r="H1323" s="77"/>
      <c r="I1323" s="226"/>
      <c r="J1323" s="77"/>
      <c r="K1323" s="77"/>
      <c r="L1323" s="77"/>
      <c r="M1323" s="77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7"/>
      <c r="AE1323" s="79"/>
    </row>
    <row r="1324" spans="1:31" x14ac:dyDescent="0.3">
      <c r="A1324" s="76"/>
      <c r="B1324" s="80"/>
      <c r="C1324" s="78" t="s">
        <v>1507</v>
      </c>
      <c r="D1324" s="78" t="s">
        <v>455</v>
      </c>
      <c r="E1324" s="78" t="s">
        <v>1963</v>
      </c>
      <c r="F1324" s="78" t="s">
        <v>1964</v>
      </c>
      <c r="G1324" s="78" t="s">
        <v>1492</v>
      </c>
      <c r="H1324" s="77"/>
      <c r="I1324" s="226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9"/>
    </row>
    <row r="1325" spans="1:31" x14ac:dyDescent="0.3">
      <c r="A1325" s="76"/>
      <c r="B1325" s="78" t="s">
        <v>1870</v>
      </c>
      <c r="C1325" s="78" t="s">
        <v>1493</v>
      </c>
      <c r="D1325" s="78" t="s">
        <v>456</v>
      </c>
      <c r="E1325" s="78" t="s">
        <v>1480</v>
      </c>
      <c r="F1325" s="78" t="s">
        <v>1518</v>
      </c>
      <c r="G1325" s="78" t="s">
        <v>1513</v>
      </c>
      <c r="H1325" s="77"/>
      <c r="I1325" s="226"/>
      <c r="J1325" s="77"/>
      <c r="K1325" s="77"/>
      <c r="L1325" s="77"/>
      <c r="M1325" s="77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7"/>
      <c r="AE1325" s="79"/>
    </row>
    <row r="1326" spans="1:31" x14ac:dyDescent="0.3">
      <c r="A1326" s="76"/>
      <c r="B1326" s="78" t="s">
        <v>1519</v>
      </c>
      <c r="C1326" s="78" t="s">
        <v>1496</v>
      </c>
      <c r="D1326" s="78" t="s">
        <v>105</v>
      </c>
      <c r="E1326" s="78" t="s">
        <v>1494</v>
      </c>
      <c r="F1326" s="78" t="s">
        <v>1495</v>
      </c>
      <c r="G1326" s="78" t="s">
        <v>1513</v>
      </c>
      <c r="H1326" s="77"/>
      <c r="I1326" s="226"/>
      <c r="J1326" s="77"/>
      <c r="K1326" s="77"/>
      <c r="L1326" s="77"/>
      <c r="M1326" s="77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7"/>
      <c r="AE1326" s="79"/>
    </row>
    <row r="1327" spans="1:31" x14ac:dyDescent="0.3">
      <c r="A1327" s="76"/>
      <c r="B1327" s="78" t="s">
        <v>1996</v>
      </c>
      <c r="C1327" s="78" t="s">
        <v>1502</v>
      </c>
      <c r="D1327" s="78" t="s">
        <v>299</v>
      </c>
      <c r="E1327" s="78" t="s">
        <v>1505</v>
      </c>
      <c r="F1327" s="78" t="s">
        <v>1564</v>
      </c>
      <c r="G1327" s="78" t="s">
        <v>1513</v>
      </c>
      <c r="H1327" s="77"/>
      <c r="I1327" s="226"/>
      <c r="J1327" s="77"/>
      <c r="K1327" s="77"/>
      <c r="L1327" s="77"/>
      <c r="M1327" s="77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7"/>
      <c r="AE1327" s="79"/>
    </row>
    <row r="1328" spans="1:31" x14ac:dyDescent="0.3">
      <c r="A1328" s="76"/>
      <c r="B1328" s="78" t="s">
        <v>1952</v>
      </c>
      <c r="C1328" s="78" t="s">
        <v>1489</v>
      </c>
      <c r="D1328" s="78" t="s">
        <v>434</v>
      </c>
      <c r="E1328" s="78" t="s">
        <v>1749</v>
      </c>
      <c r="F1328" s="78" t="s">
        <v>1953</v>
      </c>
      <c r="G1328" s="78" t="s">
        <v>1513</v>
      </c>
      <c r="H1328" s="77"/>
      <c r="I1328" s="226"/>
      <c r="J1328" s="77"/>
      <c r="K1328" s="77"/>
      <c r="L1328" s="77"/>
      <c r="M1328" s="77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7"/>
      <c r="AE1328" s="79"/>
    </row>
    <row r="1329" spans="1:31" x14ac:dyDescent="0.3">
      <c r="A1329" s="76"/>
      <c r="B1329" s="78" t="s">
        <v>2106</v>
      </c>
      <c r="C1329" s="78" t="s">
        <v>1489</v>
      </c>
      <c r="D1329" s="78" t="s">
        <v>455</v>
      </c>
      <c r="E1329" s="78" t="s">
        <v>1963</v>
      </c>
      <c r="F1329" s="78" t="s">
        <v>1964</v>
      </c>
      <c r="G1329" s="78" t="s">
        <v>1513</v>
      </c>
      <c r="H1329" s="77"/>
      <c r="I1329" s="226"/>
      <c r="J1329" s="77"/>
      <c r="K1329" s="77"/>
      <c r="L1329" s="77"/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9"/>
    </row>
    <row r="1330" spans="1:31" ht="15" thickBot="1" x14ac:dyDescent="0.35">
      <c r="A1330" s="81"/>
      <c r="B1330" s="82" t="s">
        <v>2107</v>
      </c>
      <c r="C1330" s="82" t="s">
        <v>1489</v>
      </c>
      <c r="D1330" s="82" t="s">
        <v>305</v>
      </c>
      <c r="E1330" s="82" t="s">
        <v>1628</v>
      </c>
      <c r="F1330" s="82" t="s">
        <v>1526</v>
      </c>
      <c r="G1330" s="82" t="s">
        <v>1513</v>
      </c>
      <c r="H1330" s="83"/>
      <c r="I1330" s="226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  <c r="AA1330" s="83"/>
      <c r="AB1330" s="83"/>
      <c r="AC1330" s="83"/>
      <c r="AD1330" s="83"/>
      <c r="AE1330" s="84"/>
    </row>
    <row r="1331" spans="1:31" x14ac:dyDescent="0.3">
      <c r="A1331" s="72" t="s">
        <v>444</v>
      </c>
      <c r="B1331" s="73" t="s">
        <v>2108</v>
      </c>
      <c r="C1331" s="74" t="s">
        <v>1479</v>
      </c>
      <c r="D1331" s="74" t="s">
        <v>445</v>
      </c>
      <c r="E1331" s="74" t="s">
        <v>1480</v>
      </c>
      <c r="F1331" s="74"/>
      <c r="G1331" s="74" t="s">
        <v>1481</v>
      </c>
      <c r="H1331" s="73" t="s">
        <v>1959</v>
      </c>
      <c r="I1331" s="226"/>
      <c r="J1331" s="73" t="s">
        <v>443</v>
      </c>
      <c r="K1331" s="73">
        <v>54</v>
      </c>
      <c r="L1331" s="73" t="s">
        <v>320</v>
      </c>
      <c r="M1331" s="73" t="s">
        <v>1483</v>
      </c>
      <c r="N1331" s="73" t="s">
        <v>1483</v>
      </c>
      <c r="O1331" s="73" t="s">
        <v>2655</v>
      </c>
      <c r="P1331" s="73" t="s">
        <v>2655</v>
      </c>
      <c r="Q1331" s="73" t="s">
        <v>2655</v>
      </c>
      <c r="R1331" s="73" t="s">
        <v>2655</v>
      </c>
      <c r="S1331" s="73" t="s">
        <v>1484</v>
      </c>
      <c r="T1331" s="73" t="s">
        <v>1484</v>
      </c>
      <c r="U1331" s="73" t="s">
        <v>1484</v>
      </c>
      <c r="V1331" s="73" t="s">
        <v>1484</v>
      </c>
      <c r="W1331" s="73" t="s">
        <v>1576</v>
      </c>
      <c r="X1331" s="73" t="s">
        <v>1484</v>
      </c>
      <c r="Y1331" s="73" t="s">
        <v>1484</v>
      </c>
      <c r="Z1331" s="73" t="s">
        <v>1484</v>
      </c>
      <c r="AA1331" s="73" t="s">
        <v>1485</v>
      </c>
      <c r="AB1331" s="73" t="s">
        <v>1484</v>
      </c>
      <c r="AC1331" s="73" t="s">
        <v>1486</v>
      </c>
      <c r="AD1331" s="73" t="s">
        <v>1960</v>
      </c>
      <c r="AE1331" s="75" t="s">
        <v>1644</v>
      </c>
    </row>
    <row r="1332" spans="1:31" x14ac:dyDescent="0.3">
      <c r="A1332" s="76"/>
      <c r="B1332" s="77"/>
      <c r="C1332" s="78" t="s">
        <v>1493</v>
      </c>
      <c r="D1332" s="78" t="s">
        <v>169</v>
      </c>
      <c r="E1332" s="78" t="s">
        <v>1494</v>
      </c>
      <c r="F1332" s="78" t="s">
        <v>1495</v>
      </c>
      <c r="G1332" s="78" t="s">
        <v>1492</v>
      </c>
      <c r="H1332" s="77"/>
      <c r="I1332" s="226"/>
      <c r="J1332" s="77"/>
      <c r="K1332" s="77"/>
      <c r="L1332" s="77"/>
      <c r="M1332" s="77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7"/>
      <c r="AE1332" s="79"/>
    </row>
    <row r="1333" spans="1:31" ht="15" thickBot="1" x14ac:dyDescent="0.35">
      <c r="A1333" s="76"/>
      <c r="B1333" s="77"/>
      <c r="C1333" s="78" t="s">
        <v>1496</v>
      </c>
      <c r="D1333" s="78" t="s">
        <v>226</v>
      </c>
      <c r="E1333" s="78" t="s">
        <v>1628</v>
      </c>
      <c r="F1333" s="78" t="s">
        <v>1529</v>
      </c>
      <c r="G1333" s="78" t="s">
        <v>1492</v>
      </c>
      <c r="H1333" s="77"/>
      <c r="I1333" s="227"/>
      <c r="J1333" s="77"/>
      <c r="K1333" s="77"/>
      <c r="L1333" s="77"/>
      <c r="M1333" s="77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7"/>
      <c r="AE1333" s="79"/>
    </row>
    <row r="1334" spans="1:31" x14ac:dyDescent="0.3">
      <c r="A1334" s="76"/>
      <c r="B1334" s="77"/>
      <c r="C1334" s="78" t="s">
        <v>1499</v>
      </c>
      <c r="D1334" s="78" t="s">
        <v>446</v>
      </c>
      <c r="E1334" s="78" t="s">
        <v>1961</v>
      </c>
      <c r="F1334" s="78" t="s">
        <v>2097</v>
      </c>
      <c r="G1334" s="78" t="s">
        <v>1492</v>
      </c>
      <c r="H1334" s="77"/>
      <c r="I1334" s="225">
        <v>35</v>
      </c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77"/>
      <c r="AC1334" s="77"/>
      <c r="AD1334" s="77"/>
      <c r="AE1334" s="79"/>
    </row>
    <row r="1335" spans="1:31" x14ac:dyDescent="0.3">
      <c r="A1335" s="76"/>
      <c r="B1335" s="77"/>
      <c r="C1335" s="78" t="s">
        <v>1502</v>
      </c>
      <c r="D1335" s="78" t="s">
        <v>314</v>
      </c>
      <c r="E1335" s="78" t="s">
        <v>1749</v>
      </c>
      <c r="F1335" s="78" t="s">
        <v>2105</v>
      </c>
      <c r="G1335" s="78" t="s">
        <v>1492</v>
      </c>
      <c r="H1335" s="77"/>
      <c r="I1335" s="226"/>
      <c r="J1335" s="77"/>
      <c r="K1335" s="77"/>
      <c r="L1335" s="77"/>
      <c r="M1335" s="77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77"/>
      <c r="AC1335" s="77"/>
      <c r="AD1335" s="77"/>
      <c r="AE1335" s="79"/>
    </row>
    <row r="1336" spans="1:31" x14ac:dyDescent="0.3">
      <c r="A1336" s="76"/>
      <c r="B1336" s="77"/>
      <c r="C1336" s="78" t="s">
        <v>1504</v>
      </c>
      <c r="D1336" s="78" t="s">
        <v>280</v>
      </c>
      <c r="E1336" s="78" t="s">
        <v>1505</v>
      </c>
      <c r="F1336" s="78" t="s">
        <v>1619</v>
      </c>
      <c r="G1336" s="78" t="s">
        <v>1492</v>
      </c>
      <c r="H1336" s="77"/>
      <c r="I1336" s="226"/>
      <c r="J1336" s="77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7"/>
      <c r="AE1336" s="79"/>
    </row>
    <row r="1337" spans="1:31" x14ac:dyDescent="0.3">
      <c r="A1337" s="76"/>
      <c r="B1337" s="80"/>
      <c r="C1337" s="78" t="s">
        <v>1507</v>
      </c>
      <c r="D1337" s="78" t="s">
        <v>447</v>
      </c>
      <c r="E1337" s="78" t="s">
        <v>1963</v>
      </c>
      <c r="F1337" s="78" t="s">
        <v>1964</v>
      </c>
      <c r="G1337" s="78" t="s">
        <v>1492</v>
      </c>
      <c r="H1337" s="77"/>
      <c r="I1337" s="226"/>
      <c r="J1337" s="77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7"/>
      <c r="AE1337" s="79"/>
    </row>
    <row r="1338" spans="1:31" x14ac:dyDescent="0.3">
      <c r="A1338" s="76"/>
      <c r="B1338" s="78" t="s">
        <v>1877</v>
      </c>
      <c r="C1338" s="78" t="s">
        <v>1493</v>
      </c>
      <c r="D1338" s="78" t="s">
        <v>448</v>
      </c>
      <c r="E1338" s="78" t="s">
        <v>1480</v>
      </c>
      <c r="F1338" s="78" t="s">
        <v>1518</v>
      </c>
      <c r="G1338" s="78" t="s">
        <v>1513</v>
      </c>
      <c r="H1338" s="77"/>
      <c r="I1338" s="226"/>
      <c r="J1338" s="77"/>
      <c r="K1338" s="77"/>
      <c r="L1338" s="77"/>
      <c r="M1338" s="77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77"/>
      <c r="AC1338" s="77"/>
      <c r="AD1338" s="77"/>
      <c r="AE1338" s="79"/>
    </row>
    <row r="1339" spans="1:31" x14ac:dyDescent="0.3">
      <c r="A1339" s="76"/>
      <c r="B1339" s="78" t="s">
        <v>2109</v>
      </c>
      <c r="C1339" s="78" t="s">
        <v>1489</v>
      </c>
      <c r="D1339" s="78" t="s">
        <v>169</v>
      </c>
      <c r="E1339" s="78" t="s">
        <v>1494</v>
      </c>
      <c r="F1339" s="78" t="s">
        <v>1495</v>
      </c>
      <c r="G1339" s="78" t="s">
        <v>1513</v>
      </c>
      <c r="H1339" s="77"/>
      <c r="I1339" s="226"/>
      <c r="J1339" s="77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7"/>
      <c r="AE1339" s="79"/>
    </row>
    <row r="1340" spans="1:31" x14ac:dyDescent="0.3">
      <c r="A1340" s="76"/>
      <c r="B1340" s="78" t="s">
        <v>1979</v>
      </c>
      <c r="C1340" s="78" t="s">
        <v>1489</v>
      </c>
      <c r="D1340" s="78" t="s">
        <v>449</v>
      </c>
      <c r="E1340" s="78" t="s">
        <v>1980</v>
      </c>
      <c r="F1340" s="78" t="s">
        <v>1855</v>
      </c>
      <c r="G1340" s="78" t="s">
        <v>1513</v>
      </c>
      <c r="H1340" s="77"/>
      <c r="I1340" s="226"/>
      <c r="J1340" s="77"/>
      <c r="K1340" s="77"/>
      <c r="L1340" s="77"/>
      <c r="M1340" s="77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7"/>
      <c r="AE1340" s="79"/>
    </row>
    <row r="1341" spans="1:31" x14ac:dyDescent="0.3">
      <c r="A1341" s="76"/>
      <c r="B1341" s="78" t="s">
        <v>1767</v>
      </c>
      <c r="C1341" s="78" t="s">
        <v>1502</v>
      </c>
      <c r="D1341" s="78" t="s">
        <v>280</v>
      </c>
      <c r="E1341" s="78" t="s">
        <v>1505</v>
      </c>
      <c r="F1341" s="78" t="s">
        <v>1619</v>
      </c>
      <c r="G1341" s="78" t="s">
        <v>1513</v>
      </c>
      <c r="H1341" s="77"/>
      <c r="I1341" s="226"/>
      <c r="J1341" s="77"/>
      <c r="K1341" s="77"/>
      <c r="L1341" s="77"/>
      <c r="M1341" s="77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7"/>
      <c r="AE1341" s="79"/>
    </row>
    <row r="1342" spans="1:31" x14ac:dyDescent="0.3">
      <c r="A1342" s="76"/>
      <c r="B1342" s="78" t="s">
        <v>1952</v>
      </c>
      <c r="C1342" s="78" t="s">
        <v>1496</v>
      </c>
      <c r="D1342" s="78" t="s">
        <v>434</v>
      </c>
      <c r="E1342" s="78" t="s">
        <v>1749</v>
      </c>
      <c r="F1342" s="78" t="s">
        <v>1953</v>
      </c>
      <c r="G1342" s="78" t="s">
        <v>1513</v>
      </c>
      <c r="H1342" s="77"/>
      <c r="I1342" s="226"/>
      <c r="J1342" s="77"/>
      <c r="K1342" s="77"/>
      <c r="L1342" s="77"/>
      <c r="M1342" s="77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7"/>
      <c r="AE1342" s="79"/>
    </row>
    <row r="1343" spans="1:31" ht="15" thickBot="1" x14ac:dyDescent="0.35">
      <c r="A1343" s="81"/>
      <c r="B1343" s="82" t="s">
        <v>2110</v>
      </c>
      <c r="C1343" s="82" t="s">
        <v>1489</v>
      </c>
      <c r="D1343" s="82" t="s">
        <v>447</v>
      </c>
      <c r="E1343" s="82" t="s">
        <v>1963</v>
      </c>
      <c r="F1343" s="82" t="s">
        <v>1964</v>
      </c>
      <c r="G1343" s="82" t="s">
        <v>1513</v>
      </c>
      <c r="H1343" s="83"/>
      <c r="I1343" s="226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  <c r="X1343" s="83"/>
      <c r="Y1343" s="83"/>
      <c r="Z1343" s="83"/>
      <c r="AA1343" s="83"/>
      <c r="AB1343" s="83"/>
      <c r="AC1343" s="83"/>
      <c r="AD1343" s="83"/>
      <c r="AE1343" s="84"/>
    </row>
    <row r="1344" spans="1:31" x14ac:dyDescent="0.3">
      <c r="A1344" s="72" t="s">
        <v>338</v>
      </c>
      <c r="B1344" s="73" t="s">
        <v>2111</v>
      </c>
      <c r="C1344" s="74" t="s">
        <v>1479</v>
      </c>
      <c r="D1344" s="74" t="s">
        <v>339</v>
      </c>
      <c r="E1344" s="74" t="s">
        <v>1480</v>
      </c>
      <c r="F1344" s="74"/>
      <c r="G1344" s="74" t="s">
        <v>1481</v>
      </c>
      <c r="H1344" s="73" t="s">
        <v>1575</v>
      </c>
      <c r="I1344" s="226"/>
      <c r="J1344" s="73" t="s">
        <v>337</v>
      </c>
      <c r="K1344" s="73">
        <v>41</v>
      </c>
      <c r="L1344" s="73" t="s">
        <v>320</v>
      </c>
      <c r="M1344" s="73" t="s">
        <v>1483</v>
      </c>
      <c r="N1344" s="73" t="s">
        <v>1483</v>
      </c>
      <c r="O1344" s="73" t="s">
        <v>1483</v>
      </c>
      <c r="P1344" s="73" t="s">
        <v>1483</v>
      </c>
      <c r="Q1344" s="73" t="s">
        <v>1483</v>
      </c>
      <c r="R1344" s="73" t="s">
        <v>1483</v>
      </c>
      <c r="S1344" s="73" t="s">
        <v>1484</v>
      </c>
      <c r="T1344" s="73" t="s">
        <v>1484</v>
      </c>
      <c r="U1344" s="73" t="s">
        <v>1484</v>
      </c>
      <c r="V1344" s="73" t="s">
        <v>1484</v>
      </c>
      <c r="W1344" s="73" t="s">
        <v>1485</v>
      </c>
      <c r="X1344" s="73" t="s">
        <v>1484</v>
      </c>
      <c r="Y1344" s="73" t="s">
        <v>1484</v>
      </c>
      <c r="Z1344" s="73" t="s">
        <v>1484</v>
      </c>
      <c r="AA1344" s="73" t="s">
        <v>1485</v>
      </c>
      <c r="AB1344" s="73" t="s">
        <v>1484</v>
      </c>
      <c r="AC1344" s="73" t="s">
        <v>1486</v>
      </c>
      <c r="AD1344" s="73" t="s">
        <v>1487</v>
      </c>
      <c r="AE1344" s="75" t="s">
        <v>1579</v>
      </c>
    </row>
    <row r="1345" spans="1:31" x14ac:dyDescent="0.3">
      <c r="A1345" s="76"/>
      <c r="B1345" s="77"/>
      <c r="C1345" s="78" t="s">
        <v>1489</v>
      </c>
      <c r="D1345" s="78" t="s">
        <v>340</v>
      </c>
      <c r="E1345" s="78" t="s">
        <v>1545</v>
      </c>
      <c r="F1345" s="78" t="s">
        <v>1546</v>
      </c>
      <c r="G1345" s="78" t="s">
        <v>1492</v>
      </c>
      <c r="H1345" s="77"/>
      <c r="I1345" s="226"/>
      <c r="J1345" s="77"/>
      <c r="K1345" s="77"/>
      <c r="L1345" s="77"/>
      <c r="M1345" s="77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7"/>
      <c r="AE1345" s="79"/>
    </row>
    <row r="1346" spans="1:31" x14ac:dyDescent="0.3">
      <c r="A1346" s="76"/>
      <c r="B1346" s="77"/>
      <c r="C1346" s="78" t="s">
        <v>1493</v>
      </c>
      <c r="D1346" s="78" t="s">
        <v>140</v>
      </c>
      <c r="E1346" s="78" t="s">
        <v>1494</v>
      </c>
      <c r="F1346" s="78" t="s">
        <v>1495</v>
      </c>
      <c r="G1346" s="78" t="s">
        <v>1492</v>
      </c>
      <c r="H1346" s="77"/>
      <c r="I1346" s="226"/>
      <c r="J1346" s="77"/>
      <c r="K1346" s="77"/>
      <c r="L1346" s="77"/>
      <c r="M1346" s="77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7"/>
      <c r="AE1346" s="79"/>
    </row>
    <row r="1347" spans="1:31" x14ac:dyDescent="0.3">
      <c r="A1347" s="76"/>
      <c r="B1347" s="77"/>
      <c r="C1347" s="78" t="s">
        <v>1496</v>
      </c>
      <c r="D1347" s="78" t="s">
        <v>158</v>
      </c>
      <c r="E1347" s="78" t="s">
        <v>1500</v>
      </c>
      <c r="F1347" s="78" t="s">
        <v>1501</v>
      </c>
      <c r="G1347" s="78" t="s">
        <v>1492</v>
      </c>
      <c r="H1347" s="77"/>
      <c r="I1347" s="226"/>
      <c r="J1347" s="77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9"/>
    </row>
    <row r="1348" spans="1:31" x14ac:dyDescent="0.3">
      <c r="A1348" s="76"/>
      <c r="B1348" s="77"/>
      <c r="C1348" s="78" t="s">
        <v>1499</v>
      </c>
      <c r="D1348" s="78" t="s">
        <v>341</v>
      </c>
      <c r="E1348" s="78" t="s">
        <v>1771</v>
      </c>
      <c r="F1348" s="78" t="s">
        <v>1982</v>
      </c>
      <c r="G1348" s="78" t="s">
        <v>1492</v>
      </c>
      <c r="H1348" s="77"/>
      <c r="I1348" s="226"/>
      <c r="J1348" s="77"/>
      <c r="K1348" s="77"/>
      <c r="L1348" s="77"/>
      <c r="M1348" s="77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7"/>
      <c r="AE1348" s="79"/>
    </row>
    <row r="1349" spans="1:31" ht="15" thickBot="1" x14ac:dyDescent="0.35">
      <c r="A1349" s="76"/>
      <c r="B1349" s="77"/>
      <c r="C1349" s="78" t="s">
        <v>1502</v>
      </c>
      <c r="D1349" s="78" t="s">
        <v>217</v>
      </c>
      <c r="E1349" s="78" t="s">
        <v>1749</v>
      </c>
      <c r="F1349" s="78" t="s">
        <v>1750</v>
      </c>
      <c r="G1349" s="78" t="s">
        <v>1492</v>
      </c>
      <c r="H1349" s="77"/>
      <c r="I1349" s="227"/>
      <c r="J1349" s="77"/>
      <c r="K1349" s="77"/>
      <c r="L1349" s="77"/>
      <c r="M1349" s="77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7"/>
      <c r="AE1349" s="79"/>
    </row>
    <row r="1350" spans="1:31" x14ac:dyDescent="0.3">
      <c r="A1350" s="76"/>
      <c r="B1350" s="80"/>
      <c r="C1350" s="78" t="s">
        <v>1504</v>
      </c>
      <c r="D1350" s="78" t="s">
        <v>342</v>
      </c>
      <c r="E1350" s="78" t="s">
        <v>2112</v>
      </c>
      <c r="F1350" s="78" t="s">
        <v>1793</v>
      </c>
      <c r="G1350" s="78" t="s">
        <v>1492</v>
      </c>
      <c r="H1350" s="77"/>
      <c r="I1350" s="225">
        <v>34</v>
      </c>
      <c r="J1350" s="77"/>
      <c r="K1350" s="77"/>
      <c r="L1350" s="77"/>
      <c r="M1350" s="77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77"/>
      <c r="AC1350" s="77"/>
      <c r="AD1350" s="77"/>
      <c r="AE1350" s="79"/>
    </row>
    <row r="1351" spans="1:31" x14ac:dyDescent="0.3">
      <c r="A1351" s="76"/>
      <c r="B1351" s="78" t="s">
        <v>1485</v>
      </c>
      <c r="C1351" s="78" t="s">
        <v>1485</v>
      </c>
      <c r="D1351" s="78" t="s">
        <v>343</v>
      </c>
      <c r="E1351" s="78" t="s">
        <v>1534</v>
      </c>
      <c r="F1351" s="78" t="s">
        <v>1535</v>
      </c>
      <c r="G1351" s="78" t="s">
        <v>1513</v>
      </c>
      <c r="H1351" s="77"/>
      <c r="I1351" s="226"/>
      <c r="J1351" s="77"/>
      <c r="K1351" s="77"/>
      <c r="L1351" s="77"/>
      <c r="M1351" s="77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77"/>
      <c r="AC1351" s="77"/>
      <c r="AD1351" s="77"/>
      <c r="AE1351" s="79"/>
    </row>
    <row r="1352" spans="1:31" x14ac:dyDescent="0.3">
      <c r="A1352" s="76"/>
      <c r="B1352" s="78" t="s">
        <v>1885</v>
      </c>
      <c r="C1352" s="78" t="s">
        <v>1493</v>
      </c>
      <c r="D1352" s="78" t="s">
        <v>344</v>
      </c>
      <c r="E1352" s="78" t="s">
        <v>1480</v>
      </c>
      <c r="F1352" s="78" t="s">
        <v>1518</v>
      </c>
      <c r="G1352" s="78" t="s">
        <v>1513</v>
      </c>
      <c r="H1352" s="77"/>
      <c r="I1352" s="226"/>
      <c r="J1352" s="77"/>
      <c r="K1352" s="77"/>
      <c r="L1352" s="77"/>
      <c r="M1352" s="77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77"/>
      <c r="AC1352" s="77"/>
      <c r="AD1352" s="77"/>
      <c r="AE1352" s="79"/>
    </row>
    <row r="1353" spans="1:31" x14ac:dyDescent="0.3">
      <c r="A1353" s="76"/>
      <c r="B1353" s="78" t="s">
        <v>2113</v>
      </c>
      <c r="C1353" s="78" t="s">
        <v>1489</v>
      </c>
      <c r="D1353" s="78" t="s">
        <v>140</v>
      </c>
      <c r="E1353" s="78" t="s">
        <v>1494</v>
      </c>
      <c r="F1353" s="78" t="s">
        <v>1495</v>
      </c>
      <c r="G1353" s="78" t="s">
        <v>1513</v>
      </c>
      <c r="H1353" s="77"/>
      <c r="I1353" s="226"/>
      <c r="J1353" s="77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7"/>
      <c r="AE1353" s="79"/>
    </row>
    <row r="1354" spans="1:31" x14ac:dyDescent="0.3">
      <c r="A1354" s="76"/>
      <c r="B1354" s="78" t="s">
        <v>1758</v>
      </c>
      <c r="C1354" s="78" t="s">
        <v>1493</v>
      </c>
      <c r="D1354" s="78" t="s">
        <v>217</v>
      </c>
      <c r="E1354" s="78" t="s">
        <v>1749</v>
      </c>
      <c r="F1354" s="78" t="s">
        <v>1750</v>
      </c>
      <c r="G1354" s="78" t="s">
        <v>1513</v>
      </c>
      <c r="H1354" s="77"/>
      <c r="I1354" s="226"/>
      <c r="J1354" s="77"/>
      <c r="K1354" s="77"/>
      <c r="L1354" s="77"/>
      <c r="M1354" s="77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77"/>
      <c r="AC1354" s="77"/>
      <c r="AD1354" s="77"/>
      <c r="AE1354" s="79"/>
    </row>
    <row r="1355" spans="1:31" x14ac:dyDescent="0.3">
      <c r="A1355" s="76"/>
      <c r="B1355" s="78" t="s">
        <v>1636</v>
      </c>
      <c r="C1355" s="78" t="s">
        <v>1507</v>
      </c>
      <c r="D1355" s="78" t="s">
        <v>158</v>
      </c>
      <c r="E1355" s="78" t="s">
        <v>1500</v>
      </c>
      <c r="F1355" s="78" t="s">
        <v>1501</v>
      </c>
      <c r="G1355" s="78" t="s">
        <v>1513</v>
      </c>
      <c r="H1355" s="77"/>
      <c r="I1355" s="226"/>
      <c r="J1355" s="77"/>
      <c r="K1355" s="77"/>
      <c r="L1355" s="77"/>
      <c r="M1355" s="77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77"/>
      <c r="AC1355" s="77"/>
      <c r="AD1355" s="77"/>
      <c r="AE1355" s="79"/>
    </row>
    <row r="1356" spans="1:31" x14ac:dyDescent="0.3">
      <c r="A1356" s="76"/>
      <c r="B1356" s="78" t="s">
        <v>1722</v>
      </c>
      <c r="C1356" s="78" t="s">
        <v>1496</v>
      </c>
      <c r="D1356" s="78" t="s">
        <v>44</v>
      </c>
      <c r="E1356" s="78" t="s">
        <v>1609</v>
      </c>
      <c r="F1356" s="78" t="s">
        <v>1558</v>
      </c>
      <c r="G1356" s="78" t="s">
        <v>1513</v>
      </c>
      <c r="H1356" s="77"/>
      <c r="I1356" s="226"/>
      <c r="J1356" s="77"/>
      <c r="K1356" s="77"/>
      <c r="L1356" s="77"/>
      <c r="M1356" s="77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77"/>
      <c r="AC1356" s="77"/>
      <c r="AD1356" s="77"/>
      <c r="AE1356" s="79"/>
    </row>
    <row r="1357" spans="1:31" x14ac:dyDescent="0.3">
      <c r="A1357" s="76"/>
      <c r="B1357" s="78" t="s">
        <v>2001</v>
      </c>
      <c r="C1357" s="78" t="s">
        <v>1493</v>
      </c>
      <c r="D1357" s="78" t="s">
        <v>341</v>
      </c>
      <c r="E1357" s="78" t="s">
        <v>1771</v>
      </c>
      <c r="F1357" s="78" t="s">
        <v>1982</v>
      </c>
      <c r="G1357" s="78" t="s">
        <v>1513</v>
      </c>
      <c r="H1357" s="77"/>
      <c r="I1357" s="226"/>
      <c r="J1357" s="77"/>
      <c r="K1357" s="77"/>
      <c r="L1357" s="77"/>
      <c r="M1357" s="77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77"/>
      <c r="AC1357" s="77"/>
      <c r="AD1357" s="77"/>
      <c r="AE1357" s="79"/>
    </row>
    <row r="1358" spans="1:31" x14ac:dyDescent="0.3">
      <c r="A1358" s="76"/>
      <c r="B1358" s="78" t="s">
        <v>1561</v>
      </c>
      <c r="C1358" s="78" t="s">
        <v>1489</v>
      </c>
      <c r="D1358" s="78" t="s">
        <v>340</v>
      </c>
      <c r="E1358" s="78" t="s">
        <v>1545</v>
      </c>
      <c r="F1358" s="78" t="s">
        <v>1546</v>
      </c>
      <c r="G1358" s="78" t="s">
        <v>1513</v>
      </c>
      <c r="H1358" s="77"/>
      <c r="I1358" s="226"/>
      <c r="J1358" s="77"/>
      <c r="K1358" s="77"/>
      <c r="L1358" s="77"/>
      <c r="M1358" s="77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77"/>
      <c r="AC1358" s="77"/>
      <c r="AD1358" s="77"/>
      <c r="AE1358" s="79"/>
    </row>
    <row r="1359" spans="1:31" ht="15" thickBot="1" x14ac:dyDescent="0.35">
      <c r="A1359" s="81"/>
      <c r="B1359" s="82" t="s">
        <v>2114</v>
      </c>
      <c r="C1359" s="82" t="s">
        <v>1489</v>
      </c>
      <c r="D1359" s="82" t="s">
        <v>342</v>
      </c>
      <c r="E1359" s="82" t="s">
        <v>2112</v>
      </c>
      <c r="F1359" s="82" t="s">
        <v>1793</v>
      </c>
      <c r="G1359" s="82" t="s">
        <v>1513</v>
      </c>
      <c r="H1359" s="83"/>
      <c r="I1359" s="226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  <c r="X1359" s="83"/>
      <c r="Y1359" s="83"/>
      <c r="Z1359" s="83"/>
      <c r="AA1359" s="83"/>
      <c r="AB1359" s="83"/>
      <c r="AC1359" s="83"/>
      <c r="AD1359" s="83"/>
      <c r="AE1359" s="84"/>
    </row>
    <row r="1360" spans="1:31" x14ac:dyDescent="0.3">
      <c r="A1360" s="72" t="s">
        <v>328</v>
      </c>
      <c r="B1360" s="73" t="s">
        <v>2115</v>
      </c>
      <c r="C1360" s="74" t="s">
        <v>1479</v>
      </c>
      <c r="D1360" s="74" t="s">
        <v>329</v>
      </c>
      <c r="E1360" s="74" t="s">
        <v>1480</v>
      </c>
      <c r="F1360" s="74"/>
      <c r="G1360" s="74" t="s">
        <v>1481</v>
      </c>
      <c r="H1360" s="73" t="s">
        <v>1575</v>
      </c>
      <c r="I1360" s="226"/>
      <c r="J1360" s="73" t="s">
        <v>327</v>
      </c>
      <c r="K1360" s="73">
        <v>40</v>
      </c>
      <c r="L1360" s="73" t="s">
        <v>320</v>
      </c>
      <c r="M1360" s="73" t="s">
        <v>1483</v>
      </c>
      <c r="N1360" s="73" t="s">
        <v>1483</v>
      </c>
      <c r="O1360" s="73" t="s">
        <v>1483</v>
      </c>
      <c r="P1360" s="73" t="s">
        <v>1483</v>
      </c>
      <c r="Q1360" s="73" t="s">
        <v>1483</v>
      </c>
      <c r="R1360" s="73" t="s">
        <v>1483</v>
      </c>
      <c r="S1360" s="73" t="s">
        <v>1484</v>
      </c>
      <c r="T1360" s="73" t="s">
        <v>1484</v>
      </c>
      <c r="U1360" s="73" t="s">
        <v>1484</v>
      </c>
      <c r="V1360" s="73" t="s">
        <v>1484</v>
      </c>
      <c r="W1360" s="73" t="s">
        <v>1485</v>
      </c>
      <c r="X1360" s="73" t="s">
        <v>1484</v>
      </c>
      <c r="Y1360" s="73" t="s">
        <v>1484</v>
      </c>
      <c r="Z1360" s="73" t="s">
        <v>1484</v>
      </c>
      <c r="AA1360" s="73" t="s">
        <v>1485</v>
      </c>
      <c r="AB1360" s="73" t="s">
        <v>1484</v>
      </c>
      <c r="AC1360" s="73" t="s">
        <v>1486</v>
      </c>
      <c r="AD1360" s="73" t="s">
        <v>1487</v>
      </c>
      <c r="AE1360" s="75" t="s">
        <v>1579</v>
      </c>
    </row>
    <row r="1361" spans="1:31" x14ac:dyDescent="0.3">
      <c r="A1361" s="76"/>
      <c r="B1361" s="77"/>
      <c r="C1361" s="78" t="s">
        <v>1489</v>
      </c>
      <c r="D1361" s="78" t="s">
        <v>330</v>
      </c>
      <c r="E1361" s="78" t="s">
        <v>1545</v>
      </c>
      <c r="F1361" s="78" t="s">
        <v>1564</v>
      </c>
      <c r="G1361" s="78" t="s">
        <v>1492</v>
      </c>
      <c r="H1361" s="77"/>
      <c r="I1361" s="226"/>
      <c r="J1361" s="77"/>
      <c r="K1361" s="77"/>
      <c r="L1361" s="77"/>
      <c r="M1361" s="77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77"/>
      <c r="AC1361" s="77"/>
      <c r="AD1361" s="77"/>
      <c r="AE1361" s="79"/>
    </row>
    <row r="1362" spans="1:31" x14ac:dyDescent="0.3">
      <c r="A1362" s="76"/>
      <c r="B1362" s="77"/>
      <c r="C1362" s="78" t="s">
        <v>1493</v>
      </c>
      <c r="D1362" s="78" t="s">
        <v>129</v>
      </c>
      <c r="E1362" s="78" t="s">
        <v>1494</v>
      </c>
      <c r="F1362" s="78" t="s">
        <v>1495</v>
      </c>
      <c r="G1362" s="78" t="s">
        <v>1492</v>
      </c>
      <c r="H1362" s="77"/>
      <c r="I1362" s="226"/>
      <c r="J1362" s="77"/>
      <c r="K1362" s="77"/>
      <c r="L1362" s="77"/>
      <c r="M1362" s="77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77"/>
      <c r="AC1362" s="77"/>
      <c r="AD1362" s="77"/>
      <c r="AE1362" s="79"/>
    </row>
    <row r="1363" spans="1:31" x14ac:dyDescent="0.3">
      <c r="A1363" s="76"/>
      <c r="B1363" s="77"/>
      <c r="C1363" s="78" t="s">
        <v>1496</v>
      </c>
      <c r="D1363" s="78" t="s">
        <v>26</v>
      </c>
      <c r="E1363" s="78" t="s">
        <v>1609</v>
      </c>
      <c r="F1363" s="78" t="s">
        <v>1565</v>
      </c>
      <c r="G1363" s="78" t="s">
        <v>1492</v>
      </c>
      <c r="H1363" s="77"/>
      <c r="I1363" s="226"/>
      <c r="J1363" s="77"/>
      <c r="K1363" s="77"/>
      <c r="L1363" s="77"/>
      <c r="M1363" s="77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77"/>
      <c r="AD1363" s="77"/>
      <c r="AE1363" s="79"/>
    </row>
    <row r="1364" spans="1:31" ht="15" thickBot="1" x14ac:dyDescent="0.35">
      <c r="A1364" s="76"/>
      <c r="B1364" s="77"/>
      <c r="C1364" s="78" t="s">
        <v>1499</v>
      </c>
      <c r="D1364" s="78" t="s">
        <v>331</v>
      </c>
      <c r="E1364" s="78" t="s">
        <v>1771</v>
      </c>
      <c r="F1364" s="78" t="s">
        <v>1989</v>
      </c>
      <c r="G1364" s="78" t="s">
        <v>1492</v>
      </c>
      <c r="H1364" s="77"/>
      <c r="I1364" s="227"/>
      <c r="J1364" s="77"/>
      <c r="K1364" s="77"/>
      <c r="L1364" s="77"/>
      <c r="M1364" s="77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77"/>
      <c r="AD1364" s="77"/>
      <c r="AE1364" s="79"/>
    </row>
    <row r="1365" spans="1:31" x14ac:dyDescent="0.3">
      <c r="A1365" s="76"/>
      <c r="B1365" s="77"/>
      <c r="C1365" s="78" t="s">
        <v>1502</v>
      </c>
      <c r="D1365" s="78" t="s">
        <v>227</v>
      </c>
      <c r="E1365" s="78" t="s">
        <v>1749</v>
      </c>
      <c r="F1365" s="78" t="s">
        <v>1750</v>
      </c>
      <c r="G1365" s="78" t="s">
        <v>1492</v>
      </c>
      <c r="H1365" s="77"/>
      <c r="I1365" s="225" t="s">
        <v>1485</v>
      </c>
      <c r="J1365" s="77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7"/>
      <c r="AE1365" s="79"/>
    </row>
    <row r="1366" spans="1:31" x14ac:dyDescent="0.3">
      <c r="A1366" s="76"/>
      <c r="B1366" s="77"/>
      <c r="C1366" s="78" t="s">
        <v>1504</v>
      </c>
      <c r="D1366" s="200" t="s">
        <v>2651</v>
      </c>
      <c r="E1366" s="78" t="s">
        <v>1580</v>
      </c>
      <c r="F1366" s="78" t="s">
        <v>1652</v>
      </c>
      <c r="G1366" s="78" t="s">
        <v>1492</v>
      </c>
      <c r="H1366" s="77"/>
      <c r="I1366" s="226"/>
      <c r="J1366" s="77"/>
      <c r="K1366" s="77"/>
      <c r="L1366" s="77"/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77"/>
      <c r="AD1366" s="77"/>
      <c r="AE1366" s="79"/>
    </row>
    <row r="1367" spans="1:31" x14ac:dyDescent="0.3">
      <c r="A1367" s="76"/>
      <c r="B1367" s="80"/>
      <c r="C1367" s="78" t="s">
        <v>1507</v>
      </c>
      <c r="D1367" s="78" t="s">
        <v>333</v>
      </c>
      <c r="E1367" s="78" t="s">
        <v>1591</v>
      </c>
      <c r="F1367" s="78" t="s">
        <v>1819</v>
      </c>
      <c r="G1367" s="78" t="s">
        <v>1492</v>
      </c>
      <c r="H1367" s="77"/>
      <c r="I1367" s="226"/>
      <c r="J1367" s="77"/>
      <c r="K1367" s="77"/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77"/>
      <c r="AD1367" s="77"/>
      <c r="AE1367" s="79"/>
    </row>
    <row r="1368" spans="1:31" x14ac:dyDescent="0.3">
      <c r="A1368" s="76"/>
      <c r="B1368" s="78" t="s">
        <v>1891</v>
      </c>
      <c r="C1368" s="78" t="s">
        <v>1496</v>
      </c>
      <c r="D1368" s="78" t="s">
        <v>334</v>
      </c>
      <c r="E1368" s="78" t="s">
        <v>1480</v>
      </c>
      <c r="F1368" s="78" t="s">
        <v>1518</v>
      </c>
      <c r="G1368" s="78" t="s">
        <v>1513</v>
      </c>
      <c r="H1368" s="77"/>
      <c r="I1368" s="226"/>
      <c r="J1368" s="77"/>
      <c r="K1368" s="77"/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77"/>
      <c r="AD1368" s="77"/>
      <c r="AE1368" s="79"/>
    </row>
    <row r="1369" spans="1:31" x14ac:dyDescent="0.3">
      <c r="A1369" s="76"/>
      <c r="B1369" s="78" t="s">
        <v>2116</v>
      </c>
      <c r="C1369" s="78" t="s">
        <v>1489</v>
      </c>
      <c r="D1369" s="78" t="s">
        <v>129</v>
      </c>
      <c r="E1369" s="78" t="s">
        <v>1494</v>
      </c>
      <c r="F1369" s="78" t="s">
        <v>1495</v>
      </c>
      <c r="G1369" s="78" t="s">
        <v>1513</v>
      </c>
      <c r="H1369" s="77"/>
      <c r="I1369" s="226"/>
      <c r="J1369" s="77"/>
      <c r="K1369" s="77"/>
      <c r="L1369" s="77"/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77"/>
      <c r="AD1369" s="77"/>
      <c r="AE1369" s="79"/>
    </row>
    <row r="1370" spans="1:31" x14ac:dyDescent="0.3">
      <c r="A1370" s="76"/>
      <c r="B1370" s="78" t="s">
        <v>1753</v>
      </c>
      <c r="C1370" s="78" t="s">
        <v>1493</v>
      </c>
      <c r="D1370" s="78" t="s">
        <v>227</v>
      </c>
      <c r="E1370" s="78" t="s">
        <v>1749</v>
      </c>
      <c r="F1370" s="78" t="s">
        <v>1750</v>
      </c>
      <c r="G1370" s="78" t="s">
        <v>1513</v>
      </c>
      <c r="H1370" s="77"/>
      <c r="I1370" s="226"/>
      <c r="J1370" s="77"/>
      <c r="K1370" s="77"/>
      <c r="L1370" s="77"/>
      <c r="M1370" s="77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77"/>
      <c r="AC1370" s="77"/>
      <c r="AD1370" s="77"/>
      <c r="AE1370" s="79"/>
    </row>
    <row r="1371" spans="1:31" x14ac:dyDescent="0.3">
      <c r="A1371" s="76"/>
      <c r="B1371" s="78" t="s">
        <v>1995</v>
      </c>
      <c r="C1371" s="78" t="s">
        <v>1493</v>
      </c>
      <c r="D1371" s="78" t="s">
        <v>331</v>
      </c>
      <c r="E1371" s="78" t="s">
        <v>1771</v>
      </c>
      <c r="F1371" s="78" t="s">
        <v>1989</v>
      </c>
      <c r="G1371" s="78" t="s">
        <v>1513</v>
      </c>
      <c r="H1371" s="77"/>
      <c r="I1371" s="226"/>
      <c r="J1371" s="77"/>
      <c r="K1371" s="77"/>
      <c r="L1371" s="77"/>
      <c r="M1371" s="77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77"/>
      <c r="AC1371" s="77"/>
      <c r="AD1371" s="77"/>
      <c r="AE1371" s="79"/>
    </row>
    <row r="1372" spans="1:31" x14ac:dyDescent="0.3">
      <c r="A1372" s="76"/>
      <c r="B1372" s="78" t="s">
        <v>1572</v>
      </c>
      <c r="C1372" s="78" t="s">
        <v>1489</v>
      </c>
      <c r="D1372" s="78" t="s">
        <v>330</v>
      </c>
      <c r="E1372" s="78" t="s">
        <v>1545</v>
      </c>
      <c r="F1372" s="78" t="s">
        <v>1564</v>
      </c>
      <c r="G1372" s="78" t="s">
        <v>1513</v>
      </c>
      <c r="H1372" s="77"/>
      <c r="I1372" s="226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77"/>
      <c r="AC1372" s="77"/>
      <c r="AD1372" s="77"/>
      <c r="AE1372" s="79"/>
    </row>
    <row r="1373" spans="1:31" x14ac:dyDescent="0.3">
      <c r="A1373" s="76"/>
      <c r="B1373" s="78" t="s">
        <v>2117</v>
      </c>
      <c r="C1373" s="78" t="s">
        <v>1489</v>
      </c>
      <c r="D1373" s="78" t="s">
        <v>335</v>
      </c>
      <c r="E1373" s="78" t="s">
        <v>2112</v>
      </c>
      <c r="F1373" s="78" t="s">
        <v>1808</v>
      </c>
      <c r="G1373" s="78" t="s">
        <v>1513</v>
      </c>
      <c r="H1373" s="77"/>
      <c r="I1373" s="226"/>
      <c r="J1373" s="77"/>
      <c r="K1373" s="77"/>
      <c r="L1373" s="77"/>
      <c r="M1373" s="77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77"/>
      <c r="AC1373" s="77"/>
      <c r="AD1373" s="77"/>
      <c r="AE1373" s="79"/>
    </row>
    <row r="1374" spans="1:31" ht="15" thickBot="1" x14ac:dyDescent="0.35">
      <c r="A1374" s="81"/>
      <c r="B1374" s="82" t="s">
        <v>1719</v>
      </c>
      <c r="C1374" s="82" t="s">
        <v>1496</v>
      </c>
      <c r="D1374" s="82" t="s">
        <v>26</v>
      </c>
      <c r="E1374" s="82" t="s">
        <v>1609</v>
      </c>
      <c r="F1374" s="82" t="s">
        <v>1565</v>
      </c>
      <c r="G1374" s="82" t="s">
        <v>1513</v>
      </c>
      <c r="H1374" s="83"/>
      <c r="I1374" s="226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  <c r="X1374" s="83"/>
      <c r="Y1374" s="83"/>
      <c r="Z1374" s="83"/>
      <c r="AA1374" s="83"/>
      <c r="AB1374" s="83"/>
      <c r="AC1374" s="83"/>
      <c r="AD1374" s="83"/>
      <c r="AE1374" s="84"/>
    </row>
    <row r="1375" spans="1:31" x14ac:dyDescent="0.3">
      <c r="A1375" s="72" t="s">
        <v>295</v>
      </c>
      <c r="B1375" s="73" t="s">
        <v>2118</v>
      </c>
      <c r="C1375" s="74" t="s">
        <v>1479</v>
      </c>
      <c r="D1375" s="74" t="s">
        <v>296</v>
      </c>
      <c r="E1375" s="74" t="s">
        <v>1480</v>
      </c>
      <c r="F1375" s="74"/>
      <c r="G1375" s="74" t="s">
        <v>1481</v>
      </c>
      <c r="H1375" s="73" t="s">
        <v>1575</v>
      </c>
      <c r="I1375" s="226"/>
      <c r="J1375" s="73" t="s">
        <v>294</v>
      </c>
      <c r="K1375" s="73">
        <v>35</v>
      </c>
      <c r="L1375" s="73" t="s">
        <v>320</v>
      </c>
      <c r="M1375" s="73" t="s">
        <v>1483</v>
      </c>
      <c r="N1375" s="73" t="s">
        <v>1483</v>
      </c>
      <c r="O1375" s="73" t="s">
        <v>1483</v>
      </c>
      <c r="P1375" s="73" t="s">
        <v>1483</v>
      </c>
      <c r="Q1375" s="73" t="s">
        <v>1483</v>
      </c>
      <c r="R1375" s="73" t="s">
        <v>1483</v>
      </c>
      <c r="S1375" s="73" t="s">
        <v>1484</v>
      </c>
      <c r="T1375" s="73" t="s">
        <v>1484</v>
      </c>
      <c r="U1375" s="73" t="s">
        <v>1484</v>
      </c>
      <c r="V1375" s="73" t="s">
        <v>1484</v>
      </c>
      <c r="W1375" s="73" t="s">
        <v>1485</v>
      </c>
      <c r="X1375" s="73" t="s">
        <v>1484</v>
      </c>
      <c r="Y1375" s="73" t="s">
        <v>1484</v>
      </c>
      <c r="Z1375" s="73" t="s">
        <v>1484</v>
      </c>
      <c r="AA1375" s="73" t="s">
        <v>1485</v>
      </c>
      <c r="AB1375" s="73" t="s">
        <v>1484</v>
      </c>
      <c r="AC1375" s="73" t="s">
        <v>1486</v>
      </c>
      <c r="AD1375" s="73" t="s">
        <v>1487</v>
      </c>
      <c r="AE1375" s="75" t="s">
        <v>1579</v>
      </c>
    </row>
    <row r="1376" spans="1:31" x14ac:dyDescent="0.3">
      <c r="A1376" s="76"/>
      <c r="B1376" s="77"/>
      <c r="C1376" s="78" t="s">
        <v>1489</v>
      </c>
      <c r="D1376" s="78" t="s">
        <v>171</v>
      </c>
      <c r="E1376" s="78" t="s">
        <v>1500</v>
      </c>
      <c r="F1376" s="78" t="s">
        <v>1501</v>
      </c>
      <c r="G1376" s="78" t="s">
        <v>1492</v>
      </c>
      <c r="H1376" s="77"/>
      <c r="I1376" s="226"/>
      <c r="J1376" s="77"/>
      <c r="K1376" s="77"/>
      <c r="L1376" s="77"/>
      <c r="M1376" s="77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77"/>
      <c r="AC1376" s="77"/>
      <c r="AD1376" s="77"/>
      <c r="AE1376" s="79"/>
    </row>
    <row r="1377" spans="1:31" x14ac:dyDescent="0.3">
      <c r="A1377" s="76"/>
      <c r="B1377" s="77"/>
      <c r="C1377" s="78" t="s">
        <v>1493</v>
      </c>
      <c r="D1377" s="78" t="s">
        <v>297</v>
      </c>
      <c r="E1377" s="78" t="s">
        <v>1494</v>
      </c>
      <c r="F1377" s="78" t="s">
        <v>1495</v>
      </c>
      <c r="G1377" s="78" t="s">
        <v>1492</v>
      </c>
      <c r="H1377" s="77"/>
      <c r="I1377" s="226"/>
      <c r="J1377" s="77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7"/>
      <c r="AE1377" s="79"/>
    </row>
    <row r="1378" spans="1:31" x14ac:dyDescent="0.3">
      <c r="A1378" s="76"/>
      <c r="B1378" s="77"/>
      <c r="C1378" s="78" t="s">
        <v>1496</v>
      </c>
      <c r="D1378" s="78" t="s">
        <v>298</v>
      </c>
      <c r="E1378" s="78" t="s">
        <v>1503</v>
      </c>
      <c r="F1378" s="78" t="s">
        <v>1495</v>
      </c>
      <c r="G1378" s="78" t="s">
        <v>1492</v>
      </c>
      <c r="H1378" s="77"/>
      <c r="I1378" s="226"/>
      <c r="J1378" s="77"/>
      <c r="K1378" s="77"/>
      <c r="L1378" s="77"/>
      <c r="M1378" s="77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7"/>
      <c r="AE1378" s="79"/>
    </row>
    <row r="1379" spans="1:31" x14ac:dyDescent="0.3">
      <c r="A1379" s="76"/>
      <c r="B1379" s="77"/>
      <c r="C1379" s="78" t="s">
        <v>1499</v>
      </c>
      <c r="D1379" s="78" t="s">
        <v>299</v>
      </c>
      <c r="E1379" s="78" t="s">
        <v>1505</v>
      </c>
      <c r="F1379" s="78" t="s">
        <v>1564</v>
      </c>
      <c r="G1379" s="78" t="s">
        <v>1492</v>
      </c>
      <c r="H1379" s="77"/>
      <c r="I1379" s="226"/>
      <c r="J1379" s="77"/>
      <c r="K1379" s="77"/>
      <c r="L1379" s="77"/>
      <c r="M1379" s="77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7"/>
      <c r="AE1379" s="79"/>
    </row>
    <row r="1380" spans="1:31" ht="15" thickBot="1" x14ac:dyDescent="0.35">
      <c r="A1380" s="76"/>
      <c r="B1380" s="77"/>
      <c r="C1380" s="78" t="s">
        <v>1502</v>
      </c>
      <c r="D1380" s="78" t="s">
        <v>265</v>
      </c>
      <c r="E1380" s="78" t="s">
        <v>1749</v>
      </c>
      <c r="F1380" s="78" t="s">
        <v>1750</v>
      </c>
      <c r="G1380" s="78" t="s">
        <v>1492</v>
      </c>
      <c r="H1380" s="77"/>
      <c r="I1380" s="227"/>
      <c r="J1380" s="77"/>
      <c r="K1380" s="77"/>
      <c r="L1380" s="77"/>
      <c r="M1380" s="77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7"/>
      <c r="AE1380" s="79"/>
    </row>
    <row r="1381" spans="1:31" x14ac:dyDescent="0.3">
      <c r="A1381" s="76"/>
      <c r="B1381" s="77"/>
      <c r="C1381" s="78" t="s">
        <v>1504</v>
      </c>
      <c r="D1381" s="78" t="s">
        <v>300</v>
      </c>
      <c r="E1381" s="78" t="s">
        <v>2112</v>
      </c>
      <c r="F1381" s="78" t="s">
        <v>2019</v>
      </c>
      <c r="G1381" s="78" t="s">
        <v>1492</v>
      </c>
      <c r="H1381" s="77"/>
      <c r="I1381" s="225" t="s">
        <v>1485</v>
      </c>
      <c r="J1381" s="77"/>
      <c r="K1381" s="77"/>
      <c r="L1381" s="77"/>
      <c r="M1381" s="77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7"/>
      <c r="AE1381" s="79"/>
    </row>
    <row r="1382" spans="1:31" x14ac:dyDescent="0.3">
      <c r="A1382" s="76"/>
      <c r="B1382" s="80"/>
      <c r="C1382" s="78" t="s">
        <v>1507</v>
      </c>
      <c r="D1382" s="78" t="s">
        <v>301</v>
      </c>
      <c r="E1382" s="78" t="s">
        <v>1500</v>
      </c>
      <c r="F1382" s="78" t="s">
        <v>1501</v>
      </c>
      <c r="G1382" s="78" t="s">
        <v>1492</v>
      </c>
      <c r="H1382" s="77"/>
      <c r="I1382" s="226"/>
      <c r="J1382" s="77"/>
      <c r="K1382" s="77"/>
      <c r="L1382" s="77"/>
      <c r="M1382" s="77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7"/>
      <c r="AE1382" s="79"/>
    </row>
    <row r="1383" spans="1:31" x14ac:dyDescent="0.3">
      <c r="A1383" s="76"/>
      <c r="B1383" s="78" t="s">
        <v>1485</v>
      </c>
      <c r="C1383" s="78" t="s">
        <v>1485</v>
      </c>
      <c r="D1383" s="78" t="s">
        <v>302</v>
      </c>
      <c r="E1383" s="78" t="s">
        <v>1580</v>
      </c>
      <c r="F1383" s="78" t="s">
        <v>1516</v>
      </c>
      <c r="G1383" s="78" t="s">
        <v>1513</v>
      </c>
      <c r="H1383" s="77"/>
      <c r="I1383" s="226"/>
      <c r="J1383" s="77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9"/>
    </row>
    <row r="1384" spans="1:31" x14ac:dyDescent="0.3">
      <c r="A1384" s="76"/>
      <c r="B1384" s="78" t="s">
        <v>1955</v>
      </c>
      <c r="C1384" s="78" t="s">
        <v>1489</v>
      </c>
      <c r="D1384" s="78" t="s">
        <v>303</v>
      </c>
      <c r="E1384" s="78" t="s">
        <v>1948</v>
      </c>
      <c r="F1384" s="78" t="s">
        <v>1600</v>
      </c>
      <c r="G1384" s="78" t="s">
        <v>1513</v>
      </c>
      <c r="H1384" s="85"/>
      <c r="I1384" s="226"/>
      <c r="J1384" s="77"/>
      <c r="K1384" s="77"/>
      <c r="L1384" s="77"/>
      <c r="M1384" s="77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7"/>
      <c r="AE1384" s="79"/>
    </row>
    <row r="1385" spans="1:31" x14ac:dyDescent="0.3">
      <c r="A1385" s="76"/>
      <c r="B1385" s="78" t="s">
        <v>1896</v>
      </c>
      <c r="C1385" s="78" t="s">
        <v>1493</v>
      </c>
      <c r="D1385" s="78" t="s">
        <v>304</v>
      </c>
      <c r="E1385" s="78" t="s">
        <v>1480</v>
      </c>
      <c r="F1385" s="78" t="s">
        <v>1518</v>
      </c>
      <c r="G1385" s="78" t="s">
        <v>1513</v>
      </c>
      <c r="H1385" s="85"/>
      <c r="I1385" s="226"/>
      <c r="J1385" s="77"/>
      <c r="K1385" s="77"/>
      <c r="L1385" s="77"/>
      <c r="M1385" s="77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7"/>
      <c r="AE1385" s="79"/>
    </row>
    <row r="1386" spans="1:31" x14ac:dyDescent="0.3">
      <c r="A1386" s="76"/>
      <c r="B1386" s="78" t="s">
        <v>1861</v>
      </c>
      <c r="C1386" s="78" t="s">
        <v>1493</v>
      </c>
      <c r="D1386" s="78" t="s">
        <v>297</v>
      </c>
      <c r="E1386" s="78" t="s">
        <v>1494</v>
      </c>
      <c r="F1386" s="78" t="s">
        <v>1495</v>
      </c>
      <c r="G1386" s="78" t="s">
        <v>1513</v>
      </c>
      <c r="H1386" s="77"/>
      <c r="I1386" s="226"/>
      <c r="J1386" s="77"/>
      <c r="K1386" s="77"/>
      <c r="L1386" s="77"/>
      <c r="M1386" s="77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7"/>
      <c r="AE1386" s="79"/>
    </row>
    <row r="1387" spans="1:31" x14ac:dyDescent="0.3">
      <c r="A1387" s="76"/>
      <c r="B1387" s="78" t="s">
        <v>1769</v>
      </c>
      <c r="C1387" s="78" t="s">
        <v>1504</v>
      </c>
      <c r="D1387" s="78" t="s">
        <v>298</v>
      </c>
      <c r="E1387" s="78" t="s">
        <v>1503</v>
      </c>
      <c r="F1387" s="78" t="s">
        <v>1495</v>
      </c>
      <c r="G1387" s="78" t="s">
        <v>1513</v>
      </c>
      <c r="H1387" s="77"/>
      <c r="I1387" s="226"/>
      <c r="J1387" s="77"/>
      <c r="K1387" s="77"/>
      <c r="L1387" s="77"/>
      <c r="M1387" s="77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7"/>
      <c r="AE1387" s="79"/>
    </row>
    <row r="1388" spans="1:31" x14ac:dyDescent="0.3">
      <c r="A1388" s="76"/>
      <c r="B1388" s="78" t="s">
        <v>1764</v>
      </c>
      <c r="C1388" s="78" t="s">
        <v>1493</v>
      </c>
      <c r="D1388" s="78" t="s">
        <v>265</v>
      </c>
      <c r="E1388" s="78" t="s">
        <v>1749</v>
      </c>
      <c r="F1388" s="78" t="s">
        <v>1750</v>
      </c>
      <c r="G1388" s="78" t="s">
        <v>1513</v>
      </c>
      <c r="H1388" s="77"/>
      <c r="I1388" s="226"/>
      <c r="J1388" s="77"/>
      <c r="K1388" s="77"/>
      <c r="L1388" s="77"/>
      <c r="M1388" s="77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77"/>
      <c r="AC1388" s="77"/>
      <c r="AD1388" s="77"/>
      <c r="AE1388" s="79"/>
    </row>
    <row r="1389" spans="1:31" x14ac:dyDescent="0.3">
      <c r="A1389" s="76"/>
      <c r="B1389" s="78" t="s">
        <v>1585</v>
      </c>
      <c r="C1389" s="78" t="s">
        <v>1507</v>
      </c>
      <c r="D1389" s="78" t="s">
        <v>171</v>
      </c>
      <c r="E1389" s="78" t="s">
        <v>1500</v>
      </c>
      <c r="F1389" s="78" t="s">
        <v>1501</v>
      </c>
      <c r="G1389" s="78" t="s">
        <v>1513</v>
      </c>
      <c r="H1389" s="77"/>
      <c r="I1389" s="226"/>
      <c r="J1389" s="77"/>
      <c r="K1389" s="77"/>
      <c r="L1389" s="77"/>
      <c r="M1389" s="77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77"/>
      <c r="AC1389" s="77"/>
      <c r="AD1389" s="77"/>
      <c r="AE1389" s="79"/>
    </row>
    <row r="1390" spans="1:31" x14ac:dyDescent="0.3">
      <c r="A1390" s="76"/>
      <c r="B1390" s="78" t="s">
        <v>1941</v>
      </c>
      <c r="C1390" s="78" t="s">
        <v>1489</v>
      </c>
      <c r="D1390" s="78" t="s">
        <v>301</v>
      </c>
      <c r="E1390" s="78" t="s">
        <v>1500</v>
      </c>
      <c r="F1390" s="78" t="s">
        <v>1501</v>
      </c>
      <c r="G1390" s="78" t="s">
        <v>1513</v>
      </c>
      <c r="H1390" s="77"/>
      <c r="I1390" s="226"/>
      <c r="J1390" s="77"/>
      <c r="K1390" s="77"/>
      <c r="L1390" s="77"/>
      <c r="M1390" s="77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77"/>
      <c r="AC1390" s="77"/>
      <c r="AD1390" s="77"/>
      <c r="AE1390" s="79"/>
    </row>
    <row r="1391" spans="1:31" x14ac:dyDescent="0.3">
      <c r="A1391" s="76"/>
      <c r="B1391" s="78" t="s">
        <v>1863</v>
      </c>
      <c r="C1391" s="78" t="s">
        <v>1493</v>
      </c>
      <c r="D1391" s="78" t="s">
        <v>306</v>
      </c>
      <c r="E1391" s="78" t="s">
        <v>1864</v>
      </c>
      <c r="F1391" s="78" t="s">
        <v>1558</v>
      </c>
      <c r="G1391" s="78" t="s">
        <v>1513</v>
      </c>
      <c r="H1391" s="77"/>
      <c r="I1391" s="226"/>
      <c r="J1391" s="77"/>
      <c r="K1391" s="77"/>
      <c r="L1391" s="77"/>
      <c r="M1391" s="77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77"/>
      <c r="AC1391" s="77"/>
      <c r="AD1391" s="77"/>
      <c r="AE1391" s="79"/>
    </row>
    <row r="1392" spans="1:31" x14ac:dyDescent="0.3">
      <c r="A1392" s="76"/>
      <c r="B1392" s="78" t="s">
        <v>1996</v>
      </c>
      <c r="C1392" s="78" t="s">
        <v>1496</v>
      </c>
      <c r="D1392" s="78" t="s">
        <v>299</v>
      </c>
      <c r="E1392" s="78" t="s">
        <v>1505</v>
      </c>
      <c r="F1392" s="78" t="s">
        <v>1564</v>
      </c>
      <c r="G1392" s="78" t="s">
        <v>1513</v>
      </c>
      <c r="H1392" s="77"/>
      <c r="I1392" s="226"/>
      <c r="J1392" s="77"/>
      <c r="K1392" s="77"/>
      <c r="L1392" s="77"/>
      <c r="M1392" s="77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77"/>
      <c r="AC1392" s="77"/>
      <c r="AD1392" s="77"/>
      <c r="AE1392" s="79"/>
    </row>
    <row r="1393" spans="1:31" x14ac:dyDescent="0.3">
      <c r="A1393" s="76"/>
      <c r="B1393" s="78" t="s">
        <v>2119</v>
      </c>
      <c r="C1393" s="78" t="s">
        <v>1489</v>
      </c>
      <c r="D1393" s="78" t="s">
        <v>300</v>
      </c>
      <c r="E1393" s="78" t="s">
        <v>2112</v>
      </c>
      <c r="F1393" s="78" t="s">
        <v>2019</v>
      </c>
      <c r="G1393" s="78" t="s">
        <v>1513</v>
      </c>
      <c r="H1393" s="77"/>
      <c r="I1393" s="226"/>
      <c r="J1393" s="77"/>
      <c r="K1393" s="77"/>
      <c r="L1393" s="77"/>
      <c r="M1393" s="77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77"/>
      <c r="AC1393" s="77"/>
      <c r="AD1393" s="77"/>
      <c r="AE1393" s="79"/>
    </row>
    <row r="1394" spans="1:31" ht="15" thickBot="1" x14ac:dyDescent="0.35">
      <c r="A1394" s="81"/>
      <c r="B1394" s="82" t="s">
        <v>2107</v>
      </c>
      <c r="C1394" s="82" t="s">
        <v>1493</v>
      </c>
      <c r="D1394" s="82" t="s">
        <v>305</v>
      </c>
      <c r="E1394" s="82" t="s">
        <v>1628</v>
      </c>
      <c r="F1394" s="82" t="s">
        <v>1526</v>
      </c>
      <c r="G1394" s="82" t="s">
        <v>1513</v>
      </c>
      <c r="H1394" s="83"/>
      <c r="I1394" s="226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83"/>
      <c r="AD1394" s="83"/>
      <c r="AE1394" s="84"/>
    </row>
    <row r="1395" spans="1:31" ht="15" thickBot="1" x14ac:dyDescent="0.35">
      <c r="A1395" s="72" t="s">
        <v>286</v>
      </c>
      <c r="B1395" s="73" t="s">
        <v>2120</v>
      </c>
      <c r="C1395" s="74" t="s">
        <v>1479</v>
      </c>
      <c r="D1395" s="74" t="s">
        <v>287</v>
      </c>
      <c r="E1395" s="74" t="s">
        <v>1480</v>
      </c>
      <c r="F1395" s="74"/>
      <c r="G1395" s="74" t="s">
        <v>1481</v>
      </c>
      <c r="H1395" s="73" t="s">
        <v>1482</v>
      </c>
      <c r="I1395" s="227"/>
      <c r="J1395" s="73" t="s">
        <v>285</v>
      </c>
      <c r="K1395" s="73">
        <v>34</v>
      </c>
      <c r="L1395" s="73" t="s">
        <v>320</v>
      </c>
      <c r="M1395" s="73" t="s">
        <v>1483</v>
      </c>
      <c r="N1395" s="73" t="s">
        <v>1483</v>
      </c>
      <c r="O1395" s="73" t="s">
        <v>1483</v>
      </c>
      <c r="P1395" s="73" t="s">
        <v>1483</v>
      </c>
      <c r="Q1395" s="73" t="s">
        <v>1483</v>
      </c>
      <c r="R1395" s="73" t="s">
        <v>1483</v>
      </c>
      <c r="S1395" s="73" t="s">
        <v>1484</v>
      </c>
      <c r="T1395" s="73" t="s">
        <v>1484</v>
      </c>
      <c r="U1395" s="73" t="s">
        <v>1484</v>
      </c>
      <c r="V1395" s="73" t="s">
        <v>1484</v>
      </c>
      <c r="W1395" s="73" t="s">
        <v>1485</v>
      </c>
      <c r="X1395" s="73" t="s">
        <v>1484</v>
      </c>
      <c r="Y1395" s="73" t="s">
        <v>1484</v>
      </c>
      <c r="Z1395" s="73" t="s">
        <v>1485</v>
      </c>
      <c r="AA1395" s="73" t="s">
        <v>1485</v>
      </c>
      <c r="AB1395" s="73" t="s">
        <v>1484</v>
      </c>
      <c r="AC1395" s="73" t="s">
        <v>1486</v>
      </c>
      <c r="AD1395" s="73" t="s">
        <v>1487</v>
      </c>
      <c r="AE1395" s="75" t="s">
        <v>1488</v>
      </c>
    </row>
    <row r="1396" spans="1:31" x14ac:dyDescent="0.3">
      <c r="A1396" s="76"/>
      <c r="B1396" s="77"/>
      <c r="C1396" s="78" t="s">
        <v>1493</v>
      </c>
      <c r="D1396" s="78" t="s">
        <v>128</v>
      </c>
      <c r="E1396" s="78" t="s">
        <v>1494</v>
      </c>
      <c r="F1396" s="78" t="s">
        <v>1495</v>
      </c>
      <c r="G1396" s="78" t="s">
        <v>1492</v>
      </c>
      <c r="H1396" s="77"/>
      <c r="I1396" s="225">
        <v>22</v>
      </c>
      <c r="J1396" s="77"/>
      <c r="K1396" s="77"/>
      <c r="L1396" s="77"/>
      <c r="M1396" s="77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77"/>
      <c r="AC1396" s="77"/>
      <c r="AD1396" s="77"/>
      <c r="AE1396" s="79"/>
    </row>
    <row r="1397" spans="1:31" x14ac:dyDescent="0.3">
      <c r="A1397" s="76"/>
      <c r="B1397" s="77"/>
      <c r="C1397" s="78" t="s">
        <v>1496</v>
      </c>
      <c r="D1397" s="78" t="s">
        <v>288</v>
      </c>
      <c r="E1397" s="78" t="s">
        <v>1749</v>
      </c>
      <c r="F1397" s="78" t="s">
        <v>1813</v>
      </c>
      <c r="G1397" s="78" t="s">
        <v>1492</v>
      </c>
      <c r="H1397" s="77"/>
      <c r="I1397" s="226"/>
      <c r="J1397" s="77"/>
      <c r="K1397" s="77"/>
      <c r="L1397" s="77"/>
      <c r="M1397" s="77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77"/>
      <c r="AC1397" s="77"/>
      <c r="AD1397" s="77"/>
      <c r="AE1397" s="79"/>
    </row>
    <row r="1398" spans="1:31" x14ac:dyDescent="0.3">
      <c r="A1398" s="76"/>
      <c r="B1398" s="77"/>
      <c r="C1398" s="78" t="s">
        <v>1499</v>
      </c>
      <c r="D1398" s="78" t="s">
        <v>289</v>
      </c>
      <c r="E1398" s="78" t="s">
        <v>1505</v>
      </c>
      <c r="F1398" s="78" t="s">
        <v>1546</v>
      </c>
      <c r="G1398" s="78" t="s">
        <v>1492</v>
      </c>
      <c r="H1398" s="77"/>
      <c r="I1398" s="226"/>
      <c r="J1398" s="77"/>
      <c r="K1398" s="77"/>
      <c r="L1398" s="77"/>
      <c r="M1398" s="77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77"/>
      <c r="AC1398" s="77"/>
      <c r="AD1398" s="77"/>
      <c r="AE1398" s="79"/>
    </row>
    <row r="1399" spans="1:31" x14ac:dyDescent="0.3">
      <c r="A1399" s="76"/>
      <c r="B1399" s="77"/>
      <c r="C1399" s="78" t="s">
        <v>1502</v>
      </c>
      <c r="D1399" s="78" t="s">
        <v>290</v>
      </c>
      <c r="E1399" s="78" t="s">
        <v>1503</v>
      </c>
      <c r="F1399" s="78" t="s">
        <v>1495</v>
      </c>
      <c r="G1399" s="78" t="s">
        <v>1492</v>
      </c>
      <c r="H1399" s="77"/>
      <c r="I1399" s="226"/>
      <c r="J1399" s="77"/>
      <c r="K1399" s="77"/>
      <c r="L1399" s="77"/>
      <c r="M1399" s="77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77"/>
      <c r="AC1399" s="77"/>
      <c r="AD1399" s="77"/>
      <c r="AE1399" s="79"/>
    </row>
    <row r="1400" spans="1:31" x14ac:dyDescent="0.3">
      <c r="A1400" s="76"/>
      <c r="B1400" s="77"/>
      <c r="C1400" s="78" t="s">
        <v>1504</v>
      </c>
      <c r="D1400" s="78" t="s">
        <v>226</v>
      </c>
      <c r="E1400" s="78" t="s">
        <v>1628</v>
      </c>
      <c r="F1400" s="78" t="s">
        <v>1529</v>
      </c>
      <c r="G1400" s="78" t="s">
        <v>1492</v>
      </c>
      <c r="H1400" s="77"/>
      <c r="I1400" s="226"/>
      <c r="J1400" s="77"/>
      <c r="K1400" s="77"/>
      <c r="L1400" s="77"/>
      <c r="M1400" s="77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77"/>
      <c r="AC1400" s="77"/>
      <c r="AD1400" s="77"/>
      <c r="AE1400" s="79"/>
    </row>
    <row r="1401" spans="1:31" x14ac:dyDescent="0.3">
      <c r="A1401" s="76"/>
      <c r="B1401" s="80"/>
      <c r="C1401" s="78" t="s">
        <v>1507</v>
      </c>
      <c r="D1401" s="78" t="s">
        <v>291</v>
      </c>
      <c r="E1401" s="78" t="s">
        <v>1864</v>
      </c>
      <c r="F1401" s="78" t="s">
        <v>1565</v>
      </c>
      <c r="G1401" s="78" t="s">
        <v>1492</v>
      </c>
      <c r="H1401" s="77"/>
      <c r="I1401" s="226"/>
      <c r="J1401" s="77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7"/>
      <c r="AE1401" s="79"/>
    </row>
    <row r="1402" spans="1:31" x14ac:dyDescent="0.3">
      <c r="A1402" s="76"/>
      <c r="B1402" s="78" t="s">
        <v>1485</v>
      </c>
      <c r="C1402" s="78" t="s">
        <v>1485</v>
      </c>
      <c r="D1402" s="78" t="s">
        <v>292</v>
      </c>
      <c r="E1402" s="78" t="s">
        <v>1580</v>
      </c>
      <c r="F1402" s="78" t="s">
        <v>1516</v>
      </c>
      <c r="G1402" s="78" t="s">
        <v>1513</v>
      </c>
      <c r="H1402" s="77"/>
      <c r="I1402" s="226"/>
      <c r="J1402" s="77"/>
      <c r="K1402" s="77"/>
      <c r="L1402" s="77"/>
      <c r="M1402" s="77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77"/>
      <c r="AC1402" s="77"/>
      <c r="AD1402" s="77"/>
      <c r="AE1402" s="79"/>
    </row>
    <row r="1403" spans="1:31" x14ac:dyDescent="0.3">
      <c r="A1403" s="76"/>
      <c r="B1403" s="78" t="s">
        <v>1871</v>
      </c>
      <c r="C1403" s="78" t="s">
        <v>1496</v>
      </c>
      <c r="D1403" s="78" t="s">
        <v>128</v>
      </c>
      <c r="E1403" s="78" t="s">
        <v>1494</v>
      </c>
      <c r="F1403" s="78" t="s">
        <v>1495</v>
      </c>
      <c r="G1403" s="78" t="s">
        <v>1513</v>
      </c>
      <c r="H1403" s="77"/>
      <c r="I1403" s="226"/>
      <c r="J1403" s="77"/>
      <c r="K1403" s="77"/>
      <c r="L1403" s="77"/>
      <c r="M1403" s="77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77"/>
      <c r="AC1403" s="77"/>
      <c r="AD1403" s="77"/>
      <c r="AE1403" s="79"/>
    </row>
    <row r="1404" spans="1:31" x14ac:dyDescent="0.3">
      <c r="A1404" s="76"/>
      <c r="B1404" s="78" t="s">
        <v>1829</v>
      </c>
      <c r="C1404" s="78" t="s">
        <v>1507</v>
      </c>
      <c r="D1404" s="78" t="s">
        <v>290</v>
      </c>
      <c r="E1404" s="78" t="s">
        <v>1503</v>
      </c>
      <c r="F1404" s="78" t="s">
        <v>1495</v>
      </c>
      <c r="G1404" s="78" t="s">
        <v>1513</v>
      </c>
      <c r="H1404" s="77"/>
      <c r="I1404" s="226"/>
      <c r="J1404" s="77"/>
      <c r="K1404" s="77"/>
      <c r="L1404" s="77"/>
      <c r="M1404" s="77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77"/>
      <c r="AC1404" s="77"/>
      <c r="AD1404" s="77"/>
      <c r="AE1404" s="79"/>
    </row>
    <row r="1405" spans="1:31" x14ac:dyDescent="0.3">
      <c r="A1405" s="76"/>
      <c r="B1405" s="78" t="s">
        <v>2002</v>
      </c>
      <c r="C1405" s="78" t="s">
        <v>1496</v>
      </c>
      <c r="D1405" s="78" t="s">
        <v>289</v>
      </c>
      <c r="E1405" s="78" t="s">
        <v>1505</v>
      </c>
      <c r="F1405" s="78" t="s">
        <v>1546</v>
      </c>
      <c r="G1405" s="78" t="s">
        <v>1513</v>
      </c>
      <c r="H1405" s="77"/>
      <c r="I1405" s="226"/>
      <c r="J1405" s="77"/>
      <c r="K1405" s="77"/>
      <c r="L1405" s="77"/>
      <c r="M1405" s="77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77"/>
      <c r="AC1405" s="77"/>
      <c r="AD1405" s="77"/>
      <c r="AE1405" s="79"/>
    </row>
    <row r="1406" spans="1:31" x14ac:dyDescent="0.3">
      <c r="A1406" s="76"/>
      <c r="B1406" s="78" t="s">
        <v>1816</v>
      </c>
      <c r="C1406" s="78" t="s">
        <v>1493</v>
      </c>
      <c r="D1406" s="78" t="s">
        <v>288</v>
      </c>
      <c r="E1406" s="78" t="s">
        <v>1749</v>
      </c>
      <c r="F1406" s="78" t="s">
        <v>1813</v>
      </c>
      <c r="G1406" s="78" t="s">
        <v>1513</v>
      </c>
      <c r="H1406" s="77"/>
      <c r="I1406" s="226"/>
      <c r="J1406" s="77"/>
      <c r="K1406" s="77"/>
      <c r="L1406" s="77"/>
      <c r="M1406" s="77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77"/>
      <c r="AC1406" s="77"/>
      <c r="AD1406" s="77"/>
      <c r="AE1406" s="79"/>
    </row>
    <row r="1407" spans="1:31" ht="15" thickBot="1" x14ac:dyDescent="0.35">
      <c r="A1407" s="81"/>
      <c r="B1407" s="82" t="s">
        <v>1874</v>
      </c>
      <c r="C1407" s="82" t="s">
        <v>1493</v>
      </c>
      <c r="D1407" s="82" t="s">
        <v>291</v>
      </c>
      <c r="E1407" s="82" t="s">
        <v>1864</v>
      </c>
      <c r="F1407" s="82" t="s">
        <v>1565</v>
      </c>
      <c r="G1407" s="82" t="s">
        <v>1513</v>
      </c>
      <c r="H1407" s="83"/>
      <c r="I1407" s="226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  <c r="AA1407" s="83"/>
      <c r="AB1407" s="83"/>
      <c r="AC1407" s="83"/>
      <c r="AD1407" s="83"/>
      <c r="AE1407" s="84"/>
    </row>
    <row r="1408" spans="1:31" x14ac:dyDescent="0.3">
      <c r="A1408" s="72" t="s">
        <v>259</v>
      </c>
      <c r="B1408" s="73" t="s">
        <v>2121</v>
      </c>
      <c r="C1408" s="74" t="s">
        <v>1479</v>
      </c>
      <c r="D1408" s="74" t="s">
        <v>260</v>
      </c>
      <c r="E1408" s="74" t="s">
        <v>1480</v>
      </c>
      <c r="F1408" s="74"/>
      <c r="G1408" s="74" t="s">
        <v>1481</v>
      </c>
      <c r="H1408" s="73" t="s">
        <v>1482</v>
      </c>
      <c r="I1408" s="226"/>
      <c r="J1408" s="73" t="s">
        <v>258</v>
      </c>
      <c r="K1408" s="73">
        <v>31</v>
      </c>
      <c r="L1408" s="73" t="s">
        <v>320</v>
      </c>
      <c r="M1408" s="73" t="s">
        <v>1483</v>
      </c>
      <c r="N1408" s="73" t="s">
        <v>1483</v>
      </c>
      <c r="O1408" s="73" t="s">
        <v>1483</v>
      </c>
      <c r="P1408" s="73" t="s">
        <v>1483</v>
      </c>
      <c r="Q1408" s="73" t="s">
        <v>1483</v>
      </c>
      <c r="R1408" s="73" t="s">
        <v>1483</v>
      </c>
      <c r="S1408" s="73" t="s">
        <v>1484</v>
      </c>
      <c r="T1408" s="73" t="s">
        <v>1484</v>
      </c>
      <c r="U1408" s="73" t="s">
        <v>1484</v>
      </c>
      <c r="V1408" s="73" t="s">
        <v>1484</v>
      </c>
      <c r="W1408" s="73" t="s">
        <v>1485</v>
      </c>
      <c r="X1408" s="73" t="s">
        <v>1484</v>
      </c>
      <c r="Y1408" s="73" t="s">
        <v>1484</v>
      </c>
      <c r="Z1408" s="73" t="s">
        <v>1485</v>
      </c>
      <c r="AA1408" s="73" t="s">
        <v>1485</v>
      </c>
      <c r="AB1408" s="73" t="s">
        <v>1484</v>
      </c>
      <c r="AC1408" s="73" t="s">
        <v>1486</v>
      </c>
      <c r="AD1408" s="73" t="s">
        <v>1487</v>
      </c>
      <c r="AE1408" s="75" t="s">
        <v>1488</v>
      </c>
    </row>
    <row r="1409" spans="1:31" x14ac:dyDescent="0.3">
      <c r="A1409" s="76"/>
      <c r="B1409" s="77"/>
      <c r="C1409" s="78" t="s">
        <v>1489</v>
      </c>
      <c r="D1409" s="78" t="s">
        <v>261</v>
      </c>
      <c r="E1409" s="78" t="s">
        <v>1545</v>
      </c>
      <c r="F1409" s="78" t="s">
        <v>1631</v>
      </c>
      <c r="G1409" s="78" t="s">
        <v>1492</v>
      </c>
      <c r="H1409" s="85"/>
      <c r="I1409" s="226"/>
      <c r="J1409" s="77"/>
      <c r="K1409" s="77"/>
      <c r="L1409" s="77"/>
      <c r="M1409" s="77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77"/>
      <c r="AC1409" s="77"/>
      <c r="AD1409" s="77"/>
      <c r="AE1409" s="79"/>
    </row>
    <row r="1410" spans="1:31" x14ac:dyDescent="0.3">
      <c r="A1410" s="76"/>
      <c r="B1410" s="77"/>
      <c r="C1410" s="78" t="s">
        <v>1493</v>
      </c>
      <c r="D1410" s="78" t="s">
        <v>169</v>
      </c>
      <c r="E1410" s="78" t="s">
        <v>1494</v>
      </c>
      <c r="F1410" s="78" t="s">
        <v>1495</v>
      </c>
      <c r="G1410" s="78" t="s">
        <v>1492</v>
      </c>
      <c r="H1410" s="85"/>
      <c r="I1410" s="226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77"/>
      <c r="AC1410" s="77"/>
      <c r="AD1410" s="77"/>
      <c r="AE1410" s="79"/>
    </row>
    <row r="1411" spans="1:31" x14ac:dyDescent="0.3">
      <c r="A1411" s="76"/>
      <c r="B1411" s="77"/>
      <c r="C1411" s="78" t="s">
        <v>1496</v>
      </c>
      <c r="D1411" s="78" t="s">
        <v>262</v>
      </c>
      <c r="E1411" s="78" t="s">
        <v>1749</v>
      </c>
      <c r="F1411" s="78" t="s">
        <v>1820</v>
      </c>
      <c r="G1411" s="78" t="s">
        <v>1492</v>
      </c>
      <c r="H1411" s="77"/>
      <c r="I1411" s="226"/>
      <c r="J1411" s="77"/>
      <c r="K1411" s="77"/>
      <c r="L1411" s="77"/>
      <c r="M1411" s="77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77"/>
      <c r="AC1411" s="77"/>
      <c r="AD1411" s="77"/>
      <c r="AE1411" s="79"/>
    </row>
    <row r="1412" spans="1:31" x14ac:dyDescent="0.3">
      <c r="A1412" s="76"/>
      <c r="B1412" s="77"/>
      <c r="C1412" s="78" t="s">
        <v>1502</v>
      </c>
      <c r="D1412" s="78" t="s">
        <v>263</v>
      </c>
      <c r="E1412" s="78" t="s">
        <v>1595</v>
      </c>
      <c r="F1412" s="78" t="s">
        <v>1631</v>
      </c>
      <c r="G1412" s="78" t="s">
        <v>1492</v>
      </c>
      <c r="H1412" s="77"/>
      <c r="I1412" s="226"/>
      <c r="J1412" s="77"/>
      <c r="K1412" s="77"/>
      <c r="L1412" s="77"/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  <c r="AA1412" s="77"/>
      <c r="AB1412" s="77"/>
      <c r="AC1412" s="77"/>
      <c r="AD1412" s="77"/>
      <c r="AE1412" s="79"/>
    </row>
    <row r="1413" spans="1:31" x14ac:dyDescent="0.3">
      <c r="A1413" s="76"/>
      <c r="B1413" s="77"/>
      <c r="C1413" s="78" t="s">
        <v>1504</v>
      </c>
      <c r="D1413" s="78" t="s">
        <v>264</v>
      </c>
      <c r="E1413" s="78" t="s">
        <v>1500</v>
      </c>
      <c r="F1413" s="78" t="s">
        <v>1501</v>
      </c>
      <c r="G1413" s="78" t="s">
        <v>1492</v>
      </c>
      <c r="H1413" s="77"/>
      <c r="I1413" s="226"/>
      <c r="J1413" s="77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  <c r="AA1413" s="77"/>
      <c r="AB1413" s="77"/>
      <c r="AC1413" s="77"/>
      <c r="AD1413" s="77"/>
      <c r="AE1413" s="79"/>
    </row>
    <row r="1414" spans="1:31" x14ac:dyDescent="0.3">
      <c r="A1414" s="76"/>
      <c r="B1414" s="80"/>
      <c r="C1414" s="78" t="s">
        <v>1507</v>
      </c>
      <c r="D1414" s="78" t="s">
        <v>265</v>
      </c>
      <c r="E1414" s="78" t="s">
        <v>1749</v>
      </c>
      <c r="F1414" s="78" t="s">
        <v>1750</v>
      </c>
      <c r="G1414" s="78" t="s">
        <v>1492</v>
      </c>
      <c r="H1414" s="77"/>
      <c r="I1414" s="226"/>
      <c r="J1414" s="77"/>
      <c r="K1414" s="77"/>
      <c r="L1414" s="77"/>
      <c r="M1414" s="77"/>
      <c r="N1414" s="77"/>
      <c r="O1414" s="77"/>
      <c r="P1414" s="77"/>
      <c r="Q1414" s="77"/>
      <c r="R1414" s="77"/>
      <c r="S1414" s="77"/>
      <c r="T1414" s="77"/>
      <c r="U1414" s="77"/>
      <c r="V1414" s="77"/>
      <c r="W1414" s="77"/>
      <c r="X1414" s="77"/>
      <c r="Y1414" s="77"/>
      <c r="Z1414" s="77"/>
      <c r="AA1414" s="77"/>
      <c r="AB1414" s="77"/>
      <c r="AC1414" s="77"/>
      <c r="AD1414" s="77"/>
      <c r="AE1414" s="79"/>
    </row>
    <row r="1415" spans="1:31" ht="15" thickBot="1" x14ac:dyDescent="0.35">
      <c r="A1415" s="76"/>
      <c r="B1415" s="78" t="s">
        <v>2010</v>
      </c>
      <c r="C1415" s="78" t="s">
        <v>1489</v>
      </c>
      <c r="D1415" s="78" t="s">
        <v>266</v>
      </c>
      <c r="E1415" s="78" t="s">
        <v>2004</v>
      </c>
      <c r="F1415" s="78" t="s">
        <v>1600</v>
      </c>
      <c r="G1415" s="78" t="s">
        <v>1513</v>
      </c>
      <c r="H1415" s="77"/>
      <c r="I1415" s="227"/>
      <c r="J1415" s="77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  <c r="AA1415" s="77"/>
      <c r="AB1415" s="77"/>
      <c r="AC1415" s="77"/>
      <c r="AD1415" s="77"/>
      <c r="AE1415" s="79"/>
    </row>
    <row r="1416" spans="1:31" x14ac:dyDescent="0.3">
      <c r="A1416" s="76"/>
      <c r="B1416" s="78" t="s">
        <v>1843</v>
      </c>
      <c r="C1416" s="78" t="s">
        <v>1496</v>
      </c>
      <c r="D1416" s="78" t="s">
        <v>267</v>
      </c>
      <c r="E1416" s="78" t="s">
        <v>1480</v>
      </c>
      <c r="F1416" s="78" t="s">
        <v>1518</v>
      </c>
      <c r="G1416" s="78" t="s">
        <v>1513</v>
      </c>
      <c r="H1416" s="77"/>
      <c r="I1416" s="225">
        <v>21</v>
      </c>
      <c r="J1416" s="77"/>
      <c r="K1416" s="77"/>
      <c r="L1416" s="77"/>
      <c r="M1416" s="77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  <c r="AA1416" s="77"/>
      <c r="AB1416" s="77"/>
      <c r="AC1416" s="77"/>
      <c r="AD1416" s="77"/>
      <c r="AE1416" s="79"/>
    </row>
    <row r="1417" spans="1:31" x14ac:dyDescent="0.3">
      <c r="A1417" s="76"/>
      <c r="B1417" s="78" t="s">
        <v>2109</v>
      </c>
      <c r="C1417" s="78" t="s">
        <v>1496</v>
      </c>
      <c r="D1417" s="78" t="s">
        <v>169</v>
      </c>
      <c r="E1417" s="78" t="s">
        <v>1494</v>
      </c>
      <c r="F1417" s="78" t="s">
        <v>1495</v>
      </c>
      <c r="G1417" s="78" t="s">
        <v>1513</v>
      </c>
      <c r="H1417" s="77"/>
      <c r="I1417" s="226"/>
      <c r="J1417" s="77"/>
      <c r="K1417" s="77"/>
      <c r="L1417" s="77"/>
      <c r="M1417" s="77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  <c r="AA1417" s="77"/>
      <c r="AB1417" s="77"/>
      <c r="AC1417" s="77"/>
      <c r="AD1417" s="77"/>
      <c r="AE1417" s="79"/>
    </row>
    <row r="1418" spans="1:31" x14ac:dyDescent="0.3">
      <c r="A1418" s="76"/>
      <c r="B1418" s="78" t="s">
        <v>1764</v>
      </c>
      <c r="C1418" s="78" t="s">
        <v>1489</v>
      </c>
      <c r="D1418" s="78" t="s">
        <v>265</v>
      </c>
      <c r="E1418" s="78" t="s">
        <v>1749</v>
      </c>
      <c r="F1418" s="78" t="s">
        <v>1750</v>
      </c>
      <c r="G1418" s="78" t="s">
        <v>1513</v>
      </c>
      <c r="H1418" s="77"/>
      <c r="I1418" s="226"/>
      <c r="J1418" s="77"/>
      <c r="K1418" s="77"/>
      <c r="L1418" s="77"/>
      <c r="M1418" s="77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  <c r="AA1418" s="77"/>
      <c r="AB1418" s="77"/>
      <c r="AC1418" s="77"/>
      <c r="AD1418" s="77"/>
      <c r="AE1418" s="79"/>
    </row>
    <row r="1419" spans="1:31" x14ac:dyDescent="0.3">
      <c r="A1419" s="76"/>
      <c r="B1419" s="78" t="s">
        <v>1614</v>
      </c>
      <c r="C1419" s="78" t="s">
        <v>1489</v>
      </c>
      <c r="D1419" s="78" t="s">
        <v>264</v>
      </c>
      <c r="E1419" s="78" t="s">
        <v>1500</v>
      </c>
      <c r="F1419" s="78" t="s">
        <v>1501</v>
      </c>
      <c r="G1419" s="78" t="s">
        <v>1513</v>
      </c>
      <c r="H1419" s="77"/>
      <c r="I1419" s="226"/>
      <c r="J1419" s="77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7"/>
      <c r="AE1419" s="79"/>
    </row>
    <row r="1420" spans="1:31" x14ac:dyDescent="0.3">
      <c r="A1420" s="76"/>
      <c r="B1420" s="78" t="s">
        <v>1627</v>
      </c>
      <c r="C1420" s="78" t="s">
        <v>1493</v>
      </c>
      <c r="D1420" s="78" t="s">
        <v>268</v>
      </c>
      <c r="E1420" s="78" t="s">
        <v>1628</v>
      </c>
      <c r="F1420" s="78" t="s">
        <v>1558</v>
      </c>
      <c r="G1420" s="78" t="s">
        <v>1513</v>
      </c>
      <c r="H1420" s="77"/>
      <c r="I1420" s="226"/>
      <c r="J1420" s="77"/>
      <c r="K1420" s="77"/>
      <c r="L1420" s="77"/>
      <c r="M1420" s="77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  <c r="AA1420" s="77"/>
      <c r="AB1420" s="77"/>
      <c r="AC1420" s="77"/>
      <c r="AD1420" s="77"/>
      <c r="AE1420" s="79"/>
    </row>
    <row r="1421" spans="1:31" x14ac:dyDescent="0.3">
      <c r="A1421" s="76"/>
      <c r="B1421" s="78" t="s">
        <v>1638</v>
      </c>
      <c r="C1421" s="78" t="s">
        <v>1489</v>
      </c>
      <c r="D1421" s="78" t="s">
        <v>263</v>
      </c>
      <c r="E1421" s="78" t="s">
        <v>1595</v>
      </c>
      <c r="F1421" s="78" t="s">
        <v>1631</v>
      </c>
      <c r="G1421" s="78" t="s">
        <v>1513</v>
      </c>
      <c r="H1421" s="77"/>
      <c r="I1421" s="226"/>
      <c r="J1421" s="77"/>
      <c r="K1421" s="77"/>
      <c r="L1421" s="77"/>
      <c r="M1421" s="77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  <c r="AA1421" s="77"/>
      <c r="AB1421" s="77"/>
      <c r="AC1421" s="77"/>
      <c r="AD1421" s="77"/>
      <c r="AE1421" s="79"/>
    </row>
    <row r="1422" spans="1:31" ht="15" thickBot="1" x14ac:dyDescent="0.35">
      <c r="A1422" s="81"/>
      <c r="B1422" s="82" t="s">
        <v>1697</v>
      </c>
      <c r="C1422" s="82" t="s">
        <v>1489</v>
      </c>
      <c r="D1422" s="82" t="s">
        <v>261</v>
      </c>
      <c r="E1422" s="82" t="s">
        <v>1545</v>
      </c>
      <c r="F1422" s="82" t="s">
        <v>1631</v>
      </c>
      <c r="G1422" s="82" t="s">
        <v>1513</v>
      </c>
      <c r="H1422" s="82"/>
      <c r="I1422" s="226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  <c r="X1422" s="83"/>
      <c r="Y1422" s="83"/>
      <c r="Z1422" s="83"/>
      <c r="AA1422" s="83"/>
      <c r="AB1422" s="83"/>
      <c r="AC1422" s="83"/>
      <c r="AD1422" s="83"/>
      <c r="AE1422" s="84"/>
    </row>
    <row r="1423" spans="1:31" x14ac:dyDescent="0.3">
      <c r="A1423" s="72" t="s">
        <v>1118</v>
      </c>
      <c r="B1423" s="73" t="s">
        <v>2122</v>
      </c>
      <c r="C1423" s="74" t="s">
        <v>1479</v>
      </c>
      <c r="D1423" s="74" t="s">
        <v>1119</v>
      </c>
      <c r="E1423" s="74" t="s">
        <v>1480</v>
      </c>
      <c r="F1423" s="74"/>
      <c r="G1423" s="74" t="s">
        <v>1481</v>
      </c>
      <c r="H1423" s="73" t="s">
        <v>1575</v>
      </c>
      <c r="I1423" s="226"/>
      <c r="J1423" s="73" t="s">
        <v>1117</v>
      </c>
      <c r="K1423" s="73" t="s">
        <v>1485</v>
      </c>
      <c r="L1423" s="73" t="s">
        <v>195</v>
      </c>
      <c r="M1423" s="73" t="s">
        <v>1483</v>
      </c>
      <c r="N1423" s="73" t="s">
        <v>1483</v>
      </c>
      <c r="O1423" s="73" t="s">
        <v>1483</v>
      </c>
      <c r="P1423" s="73" t="s">
        <v>1483</v>
      </c>
      <c r="Q1423" s="73" t="s">
        <v>1483</v>
      </c>
      <c r="R1423" s="73" t="s">
        <v>1483</v>
      </c>
      <c r="S1423" s="73" t="s">
        <v>1484</v>
      </c>
      <c r="T1423" s="73" t="s">
        <v>1484</v>
      </c>
      <c r="U1423" s="73" t="s">
        <v>1484</v>
      </c>
      <c r="V1423" s="73" t="s">
        <v>1484</v>
      </c>
      <c r="W1423" s="73" t="s">
        <v>1485</v>
      </c>
      <c r="X1423" s="73" t="s">
        <v>1484</v>
      </c>
      <c r="Y1423" s="73" t="s">
        <v>1484</v>
      </c>
      <c r="Z1423" s="73" t="s">
        <v>1484</v>
      </c>
      <c r="AA1423" s="73" t="s">
        <v>1485</v>
      </c>
      <c r="AB1423" s="73" t="s">
        <v>1484</v>
      </c>
      <c r="AC1423" s="73" t="s">
        <v>1486</v>
      </c>
      <c r="AD1423" s="73" t="s">
        <v>1487</v>
      </c>
      <c r="AE1423" s="75" t="s">
        <v>1579</v>
      </c>
    </row>
    <row r="1424" spans="1:31" x14ac:dyDescent="0.3">
      <c r="A1424" s="76"/>
      <c r="B1424" s="77"/>
      <c r="C1424" s="78" t="s">
        <v>1489</v>
      </c>
      <c r="D1424" s="78" t="s">
        <v>501</v>
      </c>
      <c r="E1424" s="78" t="s">
        <v>1986</v>
      </c>
      <c r="F1424" s="78" t="s">
        <v>1611</v>
      </c>
      <c r="G1424" s="78" t="s">
        <v>1492</v>
      </c>
      <c r="H1424" s="77"/>
      <c r="I1424" s="226"/>
      <c r="J1424" s="77"/>
      <c r="K1424" s="77"/>
      <c r="L1424" s="77"/>
      <c r="M1424" s="77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  <c r="AA1424" s="77"/>
      <c r="AB1424" s="77"/>
      <c r="AC1424" s="77"/>
      <c r="AD1424" s="77"/>
      <c r="AE1424" s="79"/>
    </row>
    <row r="1425" spans="1:31" x14ac:dyDescent="0.3">
      <c r="A1425" s="76"/>
      <c r="B1425" s="77"/>
      <c r="C1425" s="78" t="s">
        <v>1493</v>
      </c>
      <c r="D1425" s="78" t="s">
        <v>290</v>
      </c>
      <c r="E1425" s="78" t="s">
        <v>1503</v>
      </c>
      <c r="F1425" s="78" t="s">
        <v>1495</v>
      </c>
      <c r="G1425" s="78" t="s">
        <v>1492</v>
      </c>
      <c r="H1425" s="77"/>
      <c r="I1425" s="226"/>
      <c r="J1425" s="77"/>
      <c r="K1425" s="77"/>
      <c r="L1425" s="77"/>
      <c r="M1425" s="77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  <c r="AA1425" s="77"/>
      <c r="AB1425" s="77"/>
      <c r="AC1425" s="77"/>
      <c r="AD1425" s="77"/>
      <c r="AE1425" s="79"/>
    </row>
    <row r="1426" spans="1:31" x14ac:dyDescent="0.3">
      <c r="A1426" s="76"/>
      <c r="B1426" s="80"/>
      <c r="C1426" s="78" t="s">
        <v>1496</v>
      </c>
      <c r="D1426" s="78" t="s">
        <v>79</v>
      </c>
      <c r="E1426" s="78" t="s">
        <v>1500</v>
      </c>
      <c r="F1426" s="78" t="s">
        <v>1501</v>
      </c>
      <c r="G1426" s="78" t="s">
        <v>1492</v>
      </c>
      <c r="H1426" s="77"/>
      <c r="I1426" s="226"/>
      <c r="J1426" s="77"/>
      <c r="K1426" s="77"/>
      <c r="L1426" s="77"/>
      <c r="M1426" s="77"/>
      <c r="N1426" s="77"/>
      <c r="O1426" s="77"/>
      <c r="P1426" s="77"/>
      <c r="Q1426" s="77"/>
      <c r="R1426" s="77"/>
      <c r="S1426" s="77"/>
      <c r="T1426" s="77"/>
      <c r="U1426" s="77"/>
      <c r="V1426" s="77"/>
      <c r="W1426" s="77"/>
      <c r="X1426" s="77"/>
      <c r="Y1426" s="77"/>
      <c r="Z1426" s="77"/>
      <c r="AA1426" s="77"/>
      <c r="AB1426" s="77"/>
      <c r="AC1426" s="77"/>
      <c r="AD1426" s="77"/>
      <c r="AE1426" s="79"/>
    </row>
    <row r="1427" spans="1:31" x14ac:dyDescent="0.3">
      <c r="A1427" s="76"/>
      <c r="B1427" s="78" t="s">
        <v>1829</v>
      </c>
      <c r="C1427" s="78" t="s">
        <v>1489</v>
      </c>
      <c r="D1427" s="78" t="s">
        <v>290</v>
      </c>
      <c r="E1427" s="78" t="s">
        <v>1503</v>
      </c>
      <c r="F1427" s="78" t="s">
        <v>1495</v>
      </c>
      <c r="G1427" s="78" t="s">
        <v>1513</v>
      </c>
      <c r="H1427" s="77"/>
      <c r="I1427" s="226"/>
      <c r="J1427" s="77"/>
      <c r="K1427" s="77"/>
      <c r="L1427" s="77"/>
      <c r="M1427" s="77"/>
      <c r="N1427" s="77"/>
      <c r="O1427" s="77"/>
      <c r="P1427" s="77"/>
      <c r="Q1427" s="77"/>
      <c r="R1427" s="77"/>
      <c r="S1427" s="77"/>
      <c r="T1427" s="77"/>
      <c r="U1427" s="77"/>
      <c r="V1427" s="77"/>
      <c r="W1427" s="77"/>
      <c r="X1427" s="77"/>
      <c r="Y1427" s="77"/>
      <c r="Z1427" s="77"/>
      <c r="AA1427" s="77"/>
      <c r="AB1427" s="77"/>
      <c r="AC1427" s="77"/>
      <c r="AD1427" s="77"/>
      <c r="AE1427" s="79"/>
    </row>
    <row r="1428" spans="1:31" ht="15" thickBot="1" x14ac:dyDescent="0.35">
      <c r="A1428" s="81"/>
      <c r="B1428" s="82" t="s">
        <v>1521</v>
      </c>
      <c r="C1428" s="82" t="s">
        <v>1499</v>
      </c>
      <c r="D1428" s="82" t="s">
        <v>79</v>
      </c>
      <c r="E1428" s="82" t="s">
        <v>1500</v>
      </c>
      <c r="F1428" s="82" t="s">
        <v>1501</v>
      </c>
      <c r="G1428" s="82" t="s">
        <v>1513</v>
      </c>
      <c r="H1428" s="83"/>
      <c r="I1428" s="227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  <c r="X1428" s="83"/>
      <c r="Y1428" s="83"/>
      <c r="Z1428" s="83"/>
      <c r="AA1428" s="83"/>
      <c r="AB1428" s="83"/>
      <c r="AC1428" s="83"/>
      <c r="AD1428" s="83"/>
      <c r="AE1428" s="84"/>
    </row>
    <row r="1429" spans="1:31" x14ac:dyDescent="0.3">
      <c r="A1429" s="72" t="s">
        <v>1122</v>
      </c>
      <c r="B1429" s="73" t="s">
        <v>2123</v>
      </c>
      <c r="C1429" s="74" t="s">
        <v>1479</v>
      </c>
      <c r="D1429" s="74" t="s">
        <v>1123</v>
      </c>
      <c r="E1429" s="74" t="s">
        <v>1480</v>
      </c>
      <c r="F1429" s="74"/>
      <c r="G1429" s="74" t="s">
        <v>1481</v>
      </c>
      <c r="H1429" s="73" t="s">
        <v>1482</v>
      </c>
      <c r="I1429" s="225">
        <v>20</v>
      </c>
      <c r="J1429" s="73" t="s">
        <v>1121</v>
      </c>
      <c r="K1429" s="73" t="s">
        <v>1485</v>
      </c>
      <c r="L1429" s="73" t="s">
        <v>195</v>
      </c>
      <c r="M1429" s="73" t="s">
        <v>1483</v>
      </c>
      <c r="N1429" s="73" t="s">
        <v>1483</v>
      </c>
      <c r="O1429" s="73" t="s">
        <v>1483</v>
      </c>
      <c r="P1429" s="73" t="s">
        <v>1483</v>
      </c>
      <c r="Q1429" s="73" t="s">
        <v>1483</v>
      </c>
      <c r="R1429" s="73" t="s">
        <v>1483</v>
      </c>
      <c r="S1429" s="73" t="s">
        <v>1484</v>
      </c>
      <c r="T1429" s="73" t="s">
        <v>1484</v>
      </c>
      <c r="U1429" s="73" t="s">
        <v>1484</v>
      </c>
      <c r="V1429" s="73" t="s">
        <v>1484</v>
      </c>
      <c r="W1429" s="73" t="s">
        <v>1485</v>
      </c>
      <c r="X1429" s="73" t="s">
        <v>1484</v>
      </c>
      <c r="Y1429" s="73" t="s">
        <v>1484</v>
      </c>
      <c r="Z1429" s="73" t="s">
        <v>1485</v>
      </c>
      <c r="AA1429" s="73" t="s">
        <v>1485</v>
      </c>
      <c r="AB1429" s="73" t="s">
        <v>1484</v>
      </c>
      <c r="AC1429" s="73" t="s">
        <v>1486</v>
      </c>
      <c r="AD1429" s="73" t="s">
        <v>1487</v>
      </c>
      <c r="AE1429" s="75" t="s">
        <v>1488</v>
      </c>
    </row>
    <row r="1430" spans="1:31" x14ac:dyDescent="0.3">
      <c r="A1430" s="76"/>
      <c r="B1430" s="77"/>
      <c r="C1430" s="78" t="s">
        <v>1493</v>
      </c>
      <c r="D1430" s="78" t="s">
        <v>28</v>
      </c>
      <c r="E1430" s="78" t="s">
        <v>1503</v>
      </c>
      <c r="F1430" s="78" t="s">
        <v>1495</v>
      </c>
      <c r="G1430" s="78" t="s">
        <v>1492</v>
      </c>
      <c r="H1430" s="77"/>
      <c r="I1430" s="226"/>
      <c r="J1430" s="77"/>
      <c r="K1430" s="77"/>
      <c r="L1430" s="77"/>
      <c r="M1430" s="77"/>
      <c r="N1430" s="77"/>
      <c r="O1430" s="77"/>
      <c r="P1430" s="77"/>
      <c r="Q1430" s="77"/>
      <c r="R1430" s="77"/>
      <c r="S1430" s="77"/>
      <c r="T1430" s="77"/>
      <c r="U1430" s="77"/>
      <c r="V1430" s="77"/>
      <c r="W1430" s="77"/>
      <c r="X1430" s="77"/>
      <c r="Y1430" s="77"/>
      <c r="Z1430" s="77"/>
      <c r="AA1430" s="77"/>
      <c r="AB1430" s="77"/>
      <c r="AC1430" s="77"/>
      <c r="AD1430" s="77"/>
      <c r="AE1430" s="79"/>
    </row>
    <row r="1431" spans="1:31" x14ac:dyDescent="0.3">
      <c r="A1431" s="76"/>
      <c r="B1431" s="80"/>
      <c r="C1431" s="78" t="s">
        <v>1496</v>
      </c>
      <c r="D1431" s="78" t="s">
        <v>65</v>
      </c>
      <c r="E1431" s="78" t="s">
        <v>1500</v>
      </c>
      <c r="F1431" s="78" t="s">
        <v>1501</v>
      </c>
      <c r="G1431" s="78" t="s">
        <v>1492</v>
      </c>
      <c r="H1431" s="77"/>
      <c r="I1431" s="226"/>
      <c r="J1431" s="77"/>
      <c r="K1431" s="77"/>
      <c r="L1431" s="77"/>
      <c r="M1431" s="77"/>
      <c r="N1431" s="77"/>
      <c r="O1431" s="77"/>
      <c r="P1431" s="77"/>
      <c r="Q1431" s="77"/>
      <c r="R1431" s="77"/>
      <c r="S1431" s="77"/>
      <c r="T1431" s="77"/>
      <c r="U1431" s="77"/>
      <c r="V1431" s="77"/>
      <c r="W1431" s="77"/>
      <c r="X1431" s="77"/>
      <c r="Y1431" s="77"/>
      <c r="Z1431" s="77"/>
      <c r="AA1431" s="77"/>
      <c r="AB1431" s="77"/>
      <c r="AC1431" s="77"/>
      <c r="AD1431" s="77"/>
      <c r="AE1431" s="79"/>
    </row>
    <row r="1432" spans="1:31" x14ac:dyDescent="0.3">
      <c r="A1432" s="76"/>
      <c r="B1432" s="78" t="s">
        <v>1985</v>
      </c>
      <c r="C1432" s="78" t="s">
        <v>1499</v>
      </c>
      <c r="D1432" s="78" t="s">
        <v>512</v>
      </c>
      <c r="E1432" s="78" t="s">
        <v>1986</v>
      </c>
      <c r="F1432" s="78" t="s">
        <v>1600</v>
      </c>
      <c r="G1432" s="78" t="s">
        <v>1513</v>
      </c>
      <c r="H1432" s="77"/>
      <c r="I1432" s="226"/>
      <c r="J1432" s="77"/>
      <c r="K1432" s="77"/>
      <c r="L1432" s="77"/>
      <c r="M1432" s="77"/>
      <c r="N1432" s="77"/>
      <c r="O1432" s="77"/>
      <c r="P1432" s="77"/>
      <c r="Q1432" s="77"/>
      <c r="R1432" s="77"/>
      <c r="S1432" s="77"/>
      <c r="T1432" s="77"/>
      <c r="U1432" s="77"/>
      <c r="V1432" s="77"/>
      <c r="W1432" s="77"/>
      <c r="X1432" s="77"/>
      <c r="Y1432" s="77"/>
      <c r="Z1432" s="77"/>
      <c r="AA1432" s="77"/>
      <c r="AB1432" s="77"/>
      <c r="AC1432" s="77"/>
      <c r="AD1432" s="77"/>
      <c r="AE1432" s="79"/>
    </row>
    <row r="1433" spans="1:31" x14ac:dyDescent="0.3">
      <c r="A1433" s="76"/>
      <c r="B1433" s="78" t="s">
        <v>1714</v>
      </c>
      <c r="C1433" s="78" t="s">
        <v>1493</v>
      </c>
      <c r="D1433" s="78" t="s">
        <v>28</v>
      </c>
      <c r="E1433" s="78" t="s">
        <v>1503</v>
      </c>
      <c r="F1433" s="78" t="s">
        <v>1495</v>
      </c>
      <c r="G1433" s="78" t="s">
        <v>1513</v>
      </c>
      <c r="H1433" s="77"/>
      <c r="I1433" s="226"/>
      <c r="J1433" s="77"/>
      <c r="K1433" s="77"/>
      <c r="L1433" s="77"/>
      <c r="M1433" s="77"/>
      <c r="N1433" s="77"/>
      <c r="O1433" s="77"/>
      <c r="P1433" s="77"/>
      <c r="Q1433" s="77"/>
      <c r="R1433" s="77"/>
      <c r="S1433" s="77"/>
      <c r="T1433" s="77"/>
      <c r="U1433" s="77"/>
      <c r="V1433" s="77"/>
      <c r="W1433" s="77"/>
      <c r="X1433" s="77"/>
      <c r="Y1433" s="77"/>
      <c r="Z1433" s="77"/>
      <c r="AA1433" s="77"/>
      <c r="AB1433" s="77"/>
      <c r="AC1433" s="77"/>
      <c r="AD1433" s="77"/>
      <c r="AE1433" s="79"/>
    </row>
    <row r="1434" spans="1:31" ht="15" thickBot="1" x14ac:dyDescent="0.35">
      <c r="A1434" s="81"/>
      <c r="B1434" s="82" t="s">
        <v>1538</v>
      </c>
      <c r="C1434" s="82" t="s">
        <v>1499</v>
      </c>
      <c r="D1434" s="82" t="s">
        <v>65</v>
      </c>
      <c r="E1434" s="82" t="s">
        <v>1500</v>
      </c>
      <c r="F1434" s="82" t="s">
        <v>1501</v>
      </c>
      <c r="G1434" s="82" t="s">
        <v>1513</v>
      </c>
      <c r="H1434" s="83"/>
      <c r="I1434" s="226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83"/>
      <c r="AB1434" s="83"/>
      <c r="AC1434" s="83"/>
      <c r="AD1434" s="83"/>
      <c r="AE1434" s="84"/>
    </row>
    <row r="1435" spans="1:31" x14ac:dyDescent="0.3">
      <c r="A1435" s="72" t="s">
        <v>794</v>
      </c>
      <c r="B1435" s="73" t="s">
        <v>2124</v>
      </c>
      <c r="C1435" s="74" t="s">
        <v>1479</v>
      </c>
      <c r="D1435" s="74" t="s">
        <v>795</v>
      </c>
      <c r="E1435" s="74" t="s">
        <v>1480</v>
      </c>
      <c r="F1435" s="74"/>
      <c r="G1435" s="74" t="s">
        <v>1481</v>
      </c>
      <c r="H1435" s="73" t="s">
        <v>1482</v>
      </c>
      <c r="I1435" s="226"/>
      <c r="J1435" s="73" t="s">
        <v>793</v>
      </c>
      <c r="K1435" s="73">
        <v>111</v>
      </c>
      <c r="L1435" s="73" t="s">
        <v>195</v>
      </c>
      <c r="M1435" s="73" t="s">
        <v>1483</v>
      </c>
      <c r="N1435" s="73" t="s">
        <v>1483</v>
      </c>
      <c r="O1435" s="73" t="s">
        <v>1483</v>
      </c>
      <c r="P1435" s="73" t="s">
        <v>1483</v>
      </c>
      <c r="Q1435" s="73" t="s">
        <v>1483</v>
      </c>
      <c r="R1435" s="73" t="s">
        <v>1483</v>
      </c>
      <c r="S1435" s="73" t="s">
        <v>1484</v>
      </c>
      <c r="T1435" s="73" t="s">
        <v>1484</v>
      </c>
      <c r="U1435" s="73" t="s">
        <v>1484</v>
      </c>
      <c r="V1435" s="73" t="s">
        <v>1484</v>
      </c>
      <c r="W1435" s="73" t="s">
        <v>1485</v>
      </c>
      <c r="X1435" s="73" t="s">
        <v>1484</v>
      </c>
      <c r="Y1435" s="73" t="s">
        <v>1484</v>
      </c>
      <c r="Z1435" s="73" t="s">
        <v>1485</v>
      </c>
      <c r="AA1435" s="73" t="s">
        <v>1485</v>
      </c>
      <c r="AB1435" s="73" t="s">
        <v>1484</v>
      </c>
      <c r="AC1435" s="73" t="s">
        <v>1486</v>
      </c>
      <c r="AD1435" s="73" t="s">
        <v>1487</v>
      </c>
      <c r="AE1435" s="75" t="s">
        <v>1488</v>
      </c>
    </row>
    <row r="1436" spans="1:31" x14ac:dyDescent="0.3">
      <c r="A1436" s="76"/>
      <c r="B1436" s="77"/>
      <c r="C1436" s="78" t="s">
        <v>1493</v>
      </c>
      <c r="D1436" s="78" t="s">
        <v>371</v>
      </c>
      <c r="E1436" s="78" t="s">
        <v>1503</v>
      </c>
      <c r="F1436" s="78" t="s">
        <v>1495</v>
      </c>
      <c r="G1436" s="78" t="s">
        <v>1492</v>
      </c>
      <c r="H1436" s="77"/>
      <c r="I1436" s="226"/>
      <c r="J1436" s="77"/>
      <c r="K1436" s="77"/>
      <c r="L1436" s="77"/>
      <c r="M1436" s="77"/>
      <c r="N1436" s="77"/>
      <c r="O1436" s="77"/>
      <c r="P1436" s="77"/>
      <c r="Q1436" s="77"/>
      <c r="R1436" s="77"/>
      <c r="S1436" s="77"/>
      <c r="T1436" s="77"/>
      <c r="U1436" s="77"/>
      <c r="V1436" s="77"/>
      <c r="W1436" s="77"/>
      <c r="X1436" s="77"/>
      <c r="Y1436" s="77"/>
      <c r="Z1436" s="77"/>
      <c r="AA1436" s="77"/>
      <c r="AB1436" s="77"/>
      <c r="AC1436" s="77"/>
      <c r="AD1436" s="77"/>
      <c r="AE1436" s="79"/>
    </row>
    <row r="1437" spans="1:31" x14ac:dyDescent="0.3">
      <c r="A1437" s="76"/>
      <c r="B1437" s="77"/>
      <c r="C1437" s="78" t="s">
        <v>1496</v>
      </c>
      <c r="D1437" s="78" t="s">
        <v>796</v>
      </c>
      <c r="E1437" s="78" t="s">
        <v>1500</v>
      </c>
      <c r="F1437" s="78" t="s">
        <v>1501</v>
      </c>
      <c r="G1437" s="78" t="s">
        <v>1492</v>
      </c>
      <c r="H1437" s="77"/>
      <c r="I1437" s="226"/>
      <c r="J1437" s="77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  <c r="AA1437" s="77"/>
      <c r="AB1437" s="77"/>
      <c r="AC1437" s="77"/>
      <c r="AD1437" s="77"/>
      <c r="AE1437" s="79"/>
    </row>
    <row r="1438" spans="1:31" x14ac:dyDescent="0.3">
      <c r="A1438" s="76"/>
      <c r="B1438" s="77"/>
      <c r="C1438" s="78" t="s">
        <v>1499</v>
      </c>
      <c r="D1438" s="78" t="s">
        <v>29</v>
      </c>
      <c r="E1438" s="78" t="s">
        <v>1620</v>
      </c>
      <c r="F1438" s="78" t="s">
        <v>1495</v>
      </c>
      <c r="G1438" s="78" t="s">
        <v>1492</v>
      </c>
      <c r="H1438" s="77"/>
      <c r="I1438" s="226"/>
      <c r="J1438" s="77"/>
      <c r="K1438" s="77"/>
      <c r="L1438" s="77"/>
      <c r="M1438" s="77"/>
      <c r="N1438" s="77"/>
      <c r="O1438" s="77"/>
      <c r="P1438" s="77"/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  <c r="AA1438" s="77"/>
      <c r="AB1438" s="77"/>
      <c r="AC1438" s="77"/>
      <c r="AD1438" s="77"/>
      <c r="AE1438" s="79"/>
    </row>
    <row r="1439" spans="1:31" x14ac:dyDescent="0.3">
      <c r="A1439" s="76"/>
      <c r="B1439" s="77"/>
      <c r="C1439" s="78" t="s">
        <v>1502</v>
      </c>
      <c r="D1439" s="78" t="s">
        <v>797</v>
      </c>
      <c r="E1439" s="78" t="s">
        <v>1560</v>
      </c>
      <c r="F1439" s="78" t="s">
        <v>1491</v>
      </c>
      <c r="G1439" s="78" t="s">
        <v>1492</v>
      </c>
      <c r="H1439" s="77"/>
      <c r="I1439" s="226"/>
      <c r="J1439" s="77"/>
      <c r="K1439" s="77"/>
      <c r="L1439" s="77"/>
      <c r="M1439" s="77"/>
      <c r="N1439" s="77"/>
      <c r="O1439" s="77"/>
      <c r="P1439" s="77"/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77"/>
      <c r="AD1439" s="77"/>
      <c r="AE1439" s="79"/>
    </row>
    <row r="1440" spans="1:31" x14ac:dyDescent="0.3">
      <c r="A1440" s="76"/>
      <c r="B1440" s="80"/>
      <c r="C1440" s="78" t="s">
        <v>1504</v>
      </c>
      <c r="D1440" s="78" t="s">
        <v>138</v>
      </c>
      <c r="E1440" s="78" t="s">
        <v>1595</v>
      </c>
      <c r="F1440" s="78" t="s">
        <v>1546</v>
      </c>
      <c r="G1440" s="78" t="s">
        <v>1492</v>
      </c>
      <c r="H1440" s="77"/>
      <c r="I1440" s="226"/>
      <c r="J1440" s="77"/>
      <c r="K1440" s="77"/>
      <c r="L1440" s="77"/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77"/>
      <c r="AD1440" s="77"/>
      <c r="AE1440" s="79"/>
    </row>
    <row r="1441" spans="1:31" x14ac:dyDescent="0.3">
      <c r="A1441" s="76"/>
      <c r="B1441" s="78" t="s">
        <v>1485</v>
      </c>
      <c r="C1441" s="78" t="s">
        <v>1485</v>
      </c>
      <c r="D1441" s="78" t="s">
        <v>2125</v>
      </c>
      <c r="E1441" s="78" t="s">
        <v>1511</v>
      </c>
      <c r="F1441" s="78" t="s">
        <v>1512</v>
      </c>
      <c r="G1441" s="78" t="s">
        <v>1513</v>
      </c>
      <c r="H1441" s="77"/>
      <c r="I1441" s="226"/>
      <c r="J1441" s="77"/>
      <c r="K1441" s="77"/>
      <c r="L1441" s="77"/>
      <c r="M1441" s="77"/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77"/>
      <c r="AD1441" s="77"/>
      <c r="AE1441" s="79"/>
    </row>
    <row r="1442" spans="1:31" x14ac:dyDescent="0.3">
      <c r="A1442" s="76"/>
      <c r="B1442" s="78" t="s">
        <v>1485</v>
      </c>
      <c r="C1442" s="78" t="s">
        <v>1485</v>
      </c>
      <c r="D1442" s="78" t="s">
        <v>2126</v>
      </c>
      <c r="E1442" s="78" t="s">
        <v>1534</v>
      </c>
      <c r="F1442" s="78" t="s">
        <v>1535</v>
      </c>
      <c r="G1442" s="78" t="s">
        <v>1513</v>
      </c>
      <c r="H1442" s="77"/>
      <c r="I1442" s="226"/>
      <c r="J1442" s="77"/>
      <c r="K1442" s="77"/>
      <c r="L1442" s="77"/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77"/>
      <c r="AD1442" s="77"/>
      <c r="AE1442" s="79"/>
    </row>
    <row r="1443" spans="1:31" ht="15" thickBot="1" x14ac:dyDescent="0.35">
      <c r="A1443" s="76"/>
      <c r="B1443" s="78" t="s">
        <v>1851</v>
      </c>
      <c r="C1443" s="78" t="s">
        <v>1496</v>
      </c>
      <c r="D1443" s="78" t="s">
        <v>488</v>
      </c>
      <c r="E1443" s="78" t="s">
        <v>1480</v>
      </c>
      <c r="F1443" s="78" t="s">
        <v>1518</v>
      </c>
      <c r="G1443" s="78" t="s">
        <v>1513</v>
      </c>
      <c r="H1443" s="77"/>
      <c r="I1443" s="227"/>
      <c r="J1443" s="77"/>
      <c r="K1443" s="77"/>
      <c r="L1443" s="77"/>
      <c r="M1443" s="77"/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77"/>
      <c r="AD1443" s="77"/>
      <c r="AE1443" s="79"/>
    </row>
    <row r="1444" spans="1:31" x14ac:dyDescent="0.3">
      <c r="A1444" s="76"/>
      <c r="B1444" s="78" t="s">
        <v>1844</v>
      </c>
      <c r="C1444" s="78" t="s">
        <v>1489</v>
      </c>
      <c r="D1444" s="78" t="s">
        <v>371</v>
      </c>
      <c r="E1444" s="78" t="s">
        <v>1503</v>
      </c>
      <c r="F1444" s="78" t="s">
        <v>1495</v>
      </c>
      <c r="G1444" s="78" t="s">
        <v>1513</v>
      </c>
      <c r="H1444" s="77"/>
      <c r="I1444" s="225" t="s">
        <v>1485</v>
      </c>
      <c r="J1444" s="77"/>
      <c r="K1444" s="77"/>
      <c r="L1444" s="77"/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/>
      <c r="AC1444" s="77"/>
      <c r="AD1444" s="77"/>
      <c r="AE1444" s="79"/>
    </row>
    <row r="1445" spans="1:31" x14ac:dyDescent="0.3">
      <c r="A1445" s="76"/>
      <c r="B1445" s="78" t="s">
        <v>1715</v>
      </c>
      <c r="C1445" s="78" t="s">
        <v>1496</v>
      </c>
      <c r="D1445" s="78" t="s">
        <v>29</v>
      </c>
      <c r="E1445" s="78" t="s">
        <v>1620</v>
      </c>
      <c r="F1445" s="78" t="s">
        <v>1495</v>
      </c>
      <c r="G1445" s="78" t="s">
        <v>1513</v>
      </c>
      <c r="H1445" s="77"/>
      <c r="I1445" s="226"/>
      <c r="J1445" s="77"/>
      <c r="K1445" s="77"/>
      <c r="L1445" s="77"/>
      <c r="M1445" s="77"/>
      <c r="N1445" s="77"/>
      <c r="O1445" s="77"/>
      <c r="P1445" s="77"/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/>
      <c r="AC1445" s="77"/>
      <c r="AD1445" s="77"/>
      <c r="AE1445" s="79"/>
    </row>
    <row r="1446" spans="1:31" x14ac:dyDescent="0.3">
      <c r="A1446" s="76"/>
      <c r="B1446" s="78" t="s">
        <v>1862</v>
      </c>
      <c r="C1446" s="78" t="s">
        <v>1493</v>
      </c>
      <c r="D1446" s="78" t="s">
        <v>796</v>
      </c>
      <c r="E1446" s="78" t="s">
        <v>1500</v>
      </c>
      <c r="F1446" s="78" t="s">
        <v>1501</v>
      </c>
      <c r="G1446" s="78" t="s">
        <v>1513</v>
      </c>
      <c r="H1446" s="77"/>
      <c r="I1446" s="226"/>
      <c r="J1446" s="77"/>
      <c r="K1446" s="77"/>
      <c r="L1446" s="77"/>
      <c r="M1446" s="77"/>
      <c r="N1446" s="77"/>
      <c r="O1446" s="77"/>
      <c r="P1446" s="77"/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  <c r="AA1446" s="77"/>
      <c r="AB1446" s="77"/>
      <c r="AC1446" s="77"/>
      <c r="AD1446" s="77"/>
      <c r="AE1446" s="79"/>
    </row>
    <row r="1447" spans="1:31" x14ac:dyDescent="0.3">
      <c r="A1447" s="76"/>
      <c r="B1447" s="78" t="s">
        <v>1704</v>
      </c>
      <c r="C1447" s="78" t="s">
        <v>1489</v>
      </c>
      <c r="D1447" s="78" t="s">
        <v>797</v>
      </c>
      <c r="E1447" s="78" t="s">
        <v>1560</v>
      </c>
      <c r="F1447" s="78" t="s">
        <v>1491</v>
      </c>
      <c r="G1447" s="78" t="s">
        <v>1513</v>
      </c>
      <c r="H1447" s="77"/>
      <c r="I1447" s="226"/>
      <c r="J1447" s="77"/>
      <c r="K1447" s="77"/>
      <c r="L1447" s="77"/>
      <c r="M1447" s="77"/>
      <c r="N1447" s="77"/>
      <c r="O1447" s="77"/>
      <c r="P1447" s="77"/>
      <c r="Q1447" s="77"/>
      <c r="R1447" s="77"/>
      <c r="S1447" s="77"/>
      <c r="T1447" s="77"/>
      <c r="U1447" s="77"/>
      <c r="V1447" s="77"/>
      <c r="W1447" s="77"/>
      <c r="X1447" s="77"/>
      <c r="Y1447" s="77"/>
      <c r="Z1447" s="77"/>
      <c r="AA1447" s="77"/>
      <c r="AB1447" s="77"/>
      <c r="AC1447" s="77"/>
      <c r="AD1447" s="77"/>
      <c r="AE1447" s="79"/>
    </row>
    <row r="1448" spans="1:31" ht="15" thickBot="1" x14ac:dyDescent="0.35">
      <c r="A1448" s="81"/>
      <c r="B1448" s="82" t="s">
        <v>2037</v>
      </c>
      <c r="C1448" s="82" t="s">
        <v>1493</v>
      </c>
      <c r="D1448" s="82" t="s">
        <v>138</v>
      </c>
      <c r="E1448" s="82" t="s">
        <v>1595</v>
      </c>
      <c r="F1448" s="82" t="s">
        <v>1546</v>
      </c>
      <c r="G1448" s="82" t="s">
        <v>1513</v>
      </c>
      <c r="H1448" s="83"/>
      <c r="I1448" s="226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  <c r="X1448" s="83"/>
      <c r="Y1448" s="83"/>
      <c r="Z1448" s="83"/>
      <c r="AA1448" s="83"/>
      <c r="AB1448" s="83"/>
      <c r="AC1448" s="83"/>
      <c r="AD1448" s="83"/>
      <c r="AE1448" s="84"/>
    </row>
    <row r="1449" spans="1:31" ht="15" thickBot="1" x14ac:dyDescent="0.35">
      <c r="A1449" s="72" t="s">
        <v>817</v>
      </c>
      <c r="B1449" s="73" t="s">
        <v>2127</v>
      </c>
      <c r="C1449" s="74" t="s">
        <v>1479</v>
      </c>
      <c r="D1449" s="74" t="s">
        <v>818</v>
      </c>
      <c r="E1449" s="74" t="s">
        <v>1480</v>
      </c>
      <c r="F1449" s="74"/>
      <c r="G1449" s="74" t="s">
        <v>1481</v>
      </c>
      <c r="H1449" s="73" t="s">
        <v>1482</v>
      </c>
      <c r="I1449" s="227"/>
      <c r="J1449" s="73" t="s">
        <v>816</v>
      </c>
      <c r="K1449" s="73">
        <v>115</v>
      </c>
      <c r="L1449" s="73" t="s">
        <v>195</v>
      </c>
      <c r="M1449" s="73" t="s">
        <v>1483</v>
      </c>
      <c r="N1449" s="73" t="s">
        <v>1483</v>
      </c>
      <c r="O1449" s="73" t="s">
        <v>1483</v>
      </c>
      <c r="P1449" s="73" t="s">
        <v>1483</v>
      </c>
      <c r="Q1449" s="73" t="s">
        <v>1483</v>
      </c>
      <c r="R1449" s="73" t="s">
        <v>1483</v>
      </c>
      <c r="S1449" s="73" t="s">
        <v>1484</v>
      </c>
      <c r="T1449" s="73" t="s">
        <v>1484</v>
      </c>
      <c r="U1449" s="73" t="s">
        <v>1484</v>
      </c>
      <c r="V1449" s="73" t="s">
        <v>1484</v>
      </c>
      <c r="W1449" s="73" t="s">
        <v>1485</v>
      </c>
      <c r="X1449" s="73" t="s">
        <v>1484</v>
      </c>
      <c r="Y1449" s="73" t="s">
        <v>1484</v>
      </c>
      <c r="Z1449" s="73" t="s">
        <v>1485</v>
      </c>
      <c r="AA1449" s="73" t="s">
        <v>1485</v>
      </c>
      <c r="AB1449" s="73" t="s">
        <v>1484</v>
      </c>
      <c r="AC1449" s="73" t="s">
        <v>1486</v>
      </c>
      <c r="AD1449" s="73" t="s">
        <v>1487</v>
      </c>
      <c r="AE1449" s="75" t="s">
        <v>1488</v>
      </c>
    </row>
    <row r="1450" spans="1:31" x14ac:dyDescent="0.3">
      <c r="A1450" s="76"/>
      <c r="B1450" s="77"/>
      <c r="C1450" s="78" t="s">
        <v>1493</v>
      </c>
      <c r="D1450" s="78" t="s">
        <v>519</v>
      </c>
      <c r="E1450" s="78" t="s">
        <v>1503</v>
      </c>
      <c r="F1450" s="78" t="s">
        <v>1495</v>
      </c>
      <c r="G1450" s="78" t="s">
        <v>1492</v>
      </c>
      <c r="H1450" s="77"/>
      <c r="I1450" s="225" t="s">
        <v>1485</v>
      </c>
      <c r="J1450" s="77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  <c r="AA1450" s="77"/>
      <c r="AB1450" s="77"/>
      <c r="AC1450" s="77"/>
      <c r="AD1450" s="77"/>
      <c r="AE1450" s="79"/>
    </row>
    <row r="1451" spans="1:31" x14ac:dyDescent="0.3">
      <c r="A1451" s="76"/>
      <c r="B1451" s="77"/>
      <c r="C1451" s="78" t="s">
        <v>1496</v>
      </c>
      <c r="D1451" s="78" t="s">
        <v>819</v>
      </c>
      <c r="E1451" s="78" t="s">
        <v>1500</v>
      </c>
      <c r="F1451" s="78" t="s">
        <v>1501</v>
      </c>
      <c r="G1451" s="78" t="s">
        <v>1492</v>
      </c>
      <c r="H1451" s="77"/>
      <c r="I1451" s="226"/>
      <c r="J1451" s="77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  <c r="AA1451" s="77"/>
      <c r="AB1451" s="77"/>
      <c r="AC1451" s="77"/>
      <c r="AD1451" s="77"/>
      <c r="AE1451" s="79"/>
    </row>
    <row r="1452" spans="1:31" x14ac:dyDescent="0.3">
      <c r="A1452" s="76"/>
      <c r="B1452" s="77"/>
      <c r="C1452" s="78" t="s">
        <v>1499</v>
      </c>
      <c r="D1452" s="78" t="s">
        <v>187</v>
      </c>
      <c r="E1452" s="78" t="s">
        <v>1620</v>
      </c>
      <c r="F1452" s="78" t="s">
        <v>1495</v>
      </c>
      <c r="G1452" s="78" t="s">
        <v>1492</v>
      </c>
      <c r="H1452" s="77"/>
      <c r="I1452" s="226"/>
      <c r="J1452" s="77"/>
      <c r="K1452" s="77"/>
      <c r="L1452" s="77"/>
      <c r="M1452" s="77"/>
      <c r="N1452" s="77"/>
      <c r="O1452" s="77"/>
      <c r="P1452" s="77"/>
      <c r="Q1452" s="77"/>
      <c r="R1452" s="77"/>
      <c r="S1452" s="77"/>
      <c r="T1452" s="77"/>
      <c r="U1452" s="77"/>
      <c r="V1452" s="77"/>
      <c r="W1452" s="77"/>
      <c r="X1452" s="77"/>
      <c r="Y1452" s="77"/>
      <c r="Z1452" s="77"/>
      <c r="AA1452" s="77"/>
      <c r="AB1452" s="77"/>
      <c r="AC1452" s="77"/>
      <c r="AD1452" s="77"/>
      <c r="AE1452" s="79"/>
    </row>
    <row r="1453" spans="1:31" x14ac:dyDescent="0.3">
      <c r="A1453" s="76"/>
      <c r="B1453" s="80"/>
      <c r="C1453" s="78" t="s">
        <v>1502</v>
      </c>
      <c r="D1453" s="78" t="s">
        <v>820</v>
      </c>
      <c r="E1453" s="78" t="s">
        <v>1497</v>
      </c>
      <c r="F1453" s="78" t="s">
        <v>1498</v>
      </c>
      <c r="G1453" s="78" t="s">
        <v>1492</v>
      </c>
      <c r="H1453" s="77"/>
      <c r="I1453" s="226"/>
      <c r="J1453" s="77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  <c r="AA1453" s="77"/>
      <c r="AB1453" s="77"/>
      <c r="AC1453" s="77"/>
      <c r="AD1453" s="77"/>
      <c r="AE1453" s="79"/>
    </row>
    <row r="1454" spans="1:31" x14ac:dyDescent="0.3">
      <c r="A1454" s="76"/>
      <c r="B1454" s="78" t="s">
        <v>1485</v>
      </c>
      <c r="C1454" s="78" t="s">
        <v>1485</v>
      </c>
      <c r="D1454" s="78" t="s">
        <v>821</v>
      </c>
      <c r="E1454" s="78" t="s">
        <v>1511</v>
      </c>
      <c r="F1454" s="78" t="s">
        <v>1512</v>
      </c>
      <c r="G1454" s="78" t="s">
        <v>1513</v>
      </c>
      <c r="H1454" s="77"/>
      <c r="I1454" s="226"/>
      <c r="J1454" s="77"/>
      <c r="K1454" s="77"/>
      <c r="L1454" s="77"/>
      <c r="M1454" s="77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  <c r="AA1454" s="77"/>
      <c r="AB1454" s="77"/>
      <c r="AC1454" s="77"/>
      <c r="AD1454" s="77"/>
      <c r="AE1454" s="79"/>
    </row>
    <row r="1455" spans="1:31" ht="15" thickBot="1" x14ac:dyDescent="0.35">
      <c r="A1455" s="76"/>
      <c r="B1455" s="78" t="s">
        <v>1860</v>
      </c>
      <c r="C1455" s="78" t="s">
        <v>1496</v>
      </c>
      <c r="D1455" s="78" t="s">
        <v>463</v>
      </c>
      <c r="E1455" s="78" t="s">
        <v>1480</v>
      </c>
      <c r="F1455" s="78" t="s">
        <v>1518</v>
      </c>
      <c r="G1455" s="78" t="s">
        <v>1513</v>
      </c>
      <c r="H1455" s="77"/>
      <c r="I1455" s="227"/>
      <c r="J1455" s="77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7"/>
      <c r="AE1455" s="79"/>
    </row>
    <row r="1456" spans="1:31" x14ac:dyDescent="0.3">
      <c r="A1456" s="76"/>
      <c r="B1456" s="78" t="s">
        <v>1852</v>
      </c>
      <c r="C1456" s="78" t="s">
        <v>1489</v>
      </c>
      <c r="D1456" s="78" t="s">
        <v>519</v>
      </c>
      <c r="E1456" s="78" t="s">
        <v>1503</v>
      </c>
      <c r="F1456" s="78" t="s">
        <v>1495</v>
      </c>
      <c r="G1456" s="78" t="s">
        <v>1513</v>
      </c>
      <c r="H1456" s="77"/>
      <c r="I1456" s="225" t="s">
        <v>1485</v>
      </c>
      <c r="J1456" s="77"/>
      <c r="K1456" s="77"/>
      <c r="L1456" s="77"/>
      <c r="M1456" s="77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  <c r="AA1456" s="77"/>
      <c r="AB1456" s="77"/>
      <c r="AC1456" s="77"/>
      <c r="AD1456" s="77"/>
      <c r="AE1456" s="79"/>
    </row>
    <row r="1457" spans="1:31" x14ac:dyDescent="0.3">
      <c r="A1457" s="76"/>
      <c r="B1457" s="78" t="s">
        <v>1747</v>
      </c>
      <c r="C1457" s="78" t="s">
        <v>1496</v>
      </c>
      <c r="D1457" s="78" t="s">
        <v>187</v>
      </c>
      <c r="E1457" s="78" t="s">
        <v>1620</v>
      </c>
      <c r="F1457" s="78" t="s">
        <v>1495</v>
      </c>
      <c r="G1457" s="78" t="s">
        <v>1513</v>
      </c>
      <c r="H1457" s="77"/>
      <c r="I1457" s="226"/>
      <c r="J1457" s="77"/>
      <c r="K1457" s="77"/>
      <c r="L1457" s="77"/>
      <c r="M1457" s="77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  <c r="AA1457" s="77"/>
      <c r="AB1457" s="77"/>
      <c r="AC1457" s="77"/>
      <c r="AD1457" s="77"/>
      <c r="AE1457" s="79"/>
    </row>
    <row r="1458" spans="1:31" ht="15" thickBot="1" x14ac:dyDescent="0.35">
      <c r="A1458" s="81"/>
      <c r="B1458" s="82" t="s">
        <v>1853</v>
      </c>
      <c r="C1458" s="82" t="s">
        <v>1493</v>
      </c>
      <c r="D1458" s="82" t="s">
        <v>819</v>
      </c>
      <c r="E1458" s="82" t="s">
        <v>1500</v>
      </c>
      <c r="F1458" s="82" t="s">
        <v>1501</v>
      </c>
      <c r="G1458" s="82" t="s">
        <v>1513</v>
      </c>
      <c r="H1458" s="83"/>
      <c r="I1458" s="226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  <c r="X1458" s="83"/>
      <c r="Y1458" s="83"/>
      <c r="Z1458" s="83"/>
      <c r="AA1458" s="83"/>
      <c r="AB1458" s="83"/>
      <c r="AC1458" s="83"/>
      <c r="AD1458" s="83"/>
      <c r="AE1458" s="84"/>
    </row>
    <row r="1459" spans="1:31" x14ac:dyDescent="0.3">
      <c r="A1459" s="72" t="s">
        <v>836</v>
      </c>
      <c r="B1459" s="73" t="s">
        <v>2128</v>
      </c>
      <c r="C1459" s="74" t="s">
        <v>1479</v>
      </c>
      <c r="D1459" s="74" t="s">
        <v>837</v>
      </c>
      <c r="E1459" s="74" t="s">
        <v>1480</v>
      </c>
      <c r="F1459" s="74"/>
      <c r="G1459" s="74" t="s">
        <v>1481</v>
      </c>
      <c r="H1459" s="73" t="s">
        <v>1482</v>
      </c>
      <c r="I1459" s="226"/>
      <c r="J1459" s="73" t="s">
        <v>835</v>
      </c>
      <c r="K1459" s="73">
        <v>118</v>
      </c>
      <c r="L1459" s="73" t="s">
        <v>195</v>
      </c>
      <c r="M1459" s="73" t="s">
        <v>1483</v>
      </c>
      <c r="N1459" s="73" t="s">
        <v>1483</v>
      </c>
      <c r="O1459" s="73" t="s">
        <v>1483</v>
      </c>
      <c r="P1459" s="73" t="s">
        <v>1483</v>
      </c>
      <c r="Q1459" s="73" t="s">
        <v>1483</v>
      </c>
      <c r="R1459" s="73" t="s">
        <v>1483</v>
      </c>
      <c r="S1459" s="73" t="s">
        <v>1484</v>
      </c>
      <c r="T1459" s="73" t="s">
        <v>1484</v>
      </c>
      <c r="U1459" s="73" t="s">
        <v>1484</v>
      </c>
      <c r="V1459" s="73" t="s">
        <v>1484</v>
      </c>
      <c r="W1459" s="73" t="s">
        <v>1485</v>
      </c>
      <c r="X1459" s="73" t="s">
        <v>1484</v>
      </c>
      <c r="Y1459" s="73" t="s">
        <v>1484</v>
      </c>
      <c r="Z1459" s="73" t="s">
        <v>1485</v>
      </c>
      <c r="AA1459" s="73" t="s">
        <v>1485</v>
      </c>
      <c r="AB1459" s="73" t="s">
        <v>1484</v>
      </c>
      <c r="AC1459" s="73" t="s">
        <v>1486</v>
      </c>
      <c r="AD1459" s="73" t="s">
        <v>1487</v>
      </c>
      <c r="AE1459" s="75" t="s">
        <v>1488</v>
      </c>
    </row>
    <row r="1460" spans="1:31" x14ac:dyDescent="0.3">
      <c r="A1460" s="76"/>
      <c r="B1460" s="77"/>
      <c r="C1460" s="78" t="s">
        <v>1493</v>
      </c>
      <c r="D1460" s="78" t="s">
        <v>537</v>
      </c>
      <c r="E1460" s="78" t="s">
        <v>1503</v>
      </c>
      <c r="F1460" s="78" t="s">
        <v>1495</v>
      </c>
      <c r="G1460" s="78" t="s">
        <v>1492</v>
      </c>
      <c r="H1460" s="77"/>
      <c r="I1460" s="226"/>
      <c r="J1460" s="77"/>
      <c r="K1460" s="77"/>
      <c r="L1460" s="77"/>
      <c r="M1460" s="77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  <c r="AA1460" s="77"/>
      <c r="AB1460" s="77"/>
      <c r="AC1460" s="77"/>
      <c r="AD1460" s="77"/>
      <c r="AE1460" s="79"/>
    </row>
    <row r="1461" spans="1:31" x14ac:dyDescent="0.3">
      <c r="A1461" s="76"/>
      <c r="B1461" s="77"/>
      <c r="C1461" s="78" t="s">
        <v>1496</v>
      </c>
      <c r="D1461" s="78" t="s">
        <v>838</v>
      </c>
      <c r="E1461" s="78" t="s">
        <v>1500</v>
      </c>
      <c r="F1461" s="78" t="s">
        <v>1501</v>
      </c>
      <c r="G1461" s="78" t="s">
        <v>1492</v>
      </c>
      <c r="H1461" s="77"/>
      <c r="I1461" s="226"/>
      <c r="J1461" s="77"/>
      <c r="K1461" s="77"/>
      <c r="L1461" s="77"/>
      <c r="M1461" s="77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  <c r="AA1461" s="77"/>
      <c r="AB1461" s="77"/>
      <c r="AC1461" s="77"/>
      <c r="AD1461" s="77"/>
      <c r="AE1461" s="79"/>
    </row>
    <row r="1462" spans="1:31" x14ac:dyDescent="0.3">
      <c r="A1462" s="76"/>
      <c r="B1462" s="77"/>
      <c r="C1462" s="78" t="s">
        <v>1499</v>
      </c>
      <c r="D1462" s="78" t="s">
        <v>572</v>
      </c>
      <c r="E1462" s="78" t="s">
        <v>1620</v>
      </c>
      <c r="F1462" s="78" t="s">
        <v>1495</v>
      </c>
      <c r="G1462" s="78" t="s">
        <v>1492</v>
      </c>
      <c r="H1462" s="77"/>
      <c r="I1462" s="226"/>
      <c r="J1462" s="77"/>
      <c r="K1462" s="77"/>
      <c r="L1462" s="77"/>
      <c r="M1462" s="77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  <c r="AA1462" s="77"/>
      <c r="AB1462" s="77"/>
      <c r="AC1462" s="77"/>
      <c r="AD1462" s="77"/>
      <c r="AE1462" s="79"/>
    </row>
    <row r="1463" spans="1:31" x14ac:dyDescent="0.3">
      <c r="A1463" s="76"/>
      <c r="B1463" s="80"/>
      <c r="C1463" s="78" t="s">
        <v>1504</v>
      </c>
      <c r="D1463" s="78" t="s">
        <v>839</v>
      </c>
      <c r="E1463" s="78" t="s">
        <v>1497</v>
      </c>
      <c r="F1463" s="78" t="s">
        <v>1498</v>
      </c>
      <c r="G1463" s="78" t="s">
        <v>1492</v>
      </c>
      <c r="H1463" s="77"/>
      <c r="I1463" s="226"/>
      <c r="J1463" s="77"/>
      <c r="K1463" s="77"/>
      <c r="L1463" s="77"/>
      <c r="M1463" s="77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  <c r="AA1463" s="77"/>
      <c r="AB1463" s="77"/>
      <c r="AC1463" s="77"/>
      <c r="AD1463" s="77"/>
      <c r="AE1463" s="79"/>
    </row>
    <row r="1464" spans="1:31" x14ac:dyDescent="0.3">
      <c r="A1464" s="76"/>
      <c r="B1464" s="78" t="s">
        <v>1485</v>
      </c>
      <c r="C1464" s="78" t="s">
        <v>1485</v>
      </c>
      <c r="D1464" s="78" t="s">
        <v>840</v>
      </c>
      <c r="E1464" s="78" t="s">
        <v>1709</v>
      </c>
      <c r="F1464" s="78" t="s">
        <v>1512</v>
      </c>
      <c r="G1464" s="78" t="s">
        <v>1513</v>
      </c>
      <c r="H1464" s="77"/>
      <c r="I1464" s="226"/>
      <c r="J1464" s="77"/>
      <c r="K1464" s="77"/>
      <c r="L1464" s="77"/>
      <c r="M1464" s="77"/>
      <c r="N1464" s="77"/>
      <c r="O1464" s="77"/>
      <c r="P1464" s="77"/>
      <c r="Q1464" s="77"/>
      <c r="R1464" s="77"/>
      <c r="S1464" s="77"/>
      <c r="T1464" s="77"/>
      <c r="U1464" s="77"/>
      <c r="V1464" s="77"/>
      <c r="W1464" s="77"/>
      <c r="X1464" s="77"/>
      <c r="Y1464" s="77"/>
      <c r="Z1464" s="77"/>
      <c r="AA1464" s="77"/>
      <c r="AB1464" s="77"/>
      <c r="AC1464" s="77"/>
      <c r="AD1464" s="77"/>
      <c r="AE1464" s="79"/>
    </row>
    <row r="1465" spans="1:31" x14ac:dyDescent="0.3">
      <c r="A1465" s="76"/>
      <c r="B1465" s="78" t="s">
        <v>1870</v>
      </c>
      <c r="C1465" s="78" t="s">
        <v>1496</v>
      </c>
      <c r="D1465" s="78" t="s">
        <v>456</v>
      </c>
      <c r="E1465" s="78" t="s">
        <v>1480</v>
      </c>
      <c r="F1465" s="78" t="s">
        <v>1518</v>
      </c>
      <c r="G1465" s="78" t="s">
        <v>1513</v>
      </c>
      <c r="H1465" s="77"/>
      <c r="I1465" s="226"/>
      <c r="J1465" s="77"/>
      <c r="K1465" s="77"/>
      <c r="L1465" s="77"/>
      <c r="M1465" s="77"/>
      <c r="N1465" s="77"/>
      <c r="O1465" s="77"/>
      <c r="P1465" s="77"/>
      <c r="Q1465" s="77"/>
      <c r="R1465" s="77"/>
      <c r="S1465" s="77"/>
      <c r="T1465" s="77"/>
      <c r="U1465" s="77"/>
      <c r="V1465" s="77"/>
      <c r="W1465" s="77"/>
      <c r="X1465" s="77"/>
      <c r="Y1465" s="77"/>
      <c r="Z1465" s="77"/>
      <c r="AA1465" s="77"/>
      <c r="AB1465" s="77"/>
      <c r="AC1465" s="77"/>
      <c r="AD1465" s="77"/>
      <c r="AE1465" s="79"/>
    </row>
    <row r="1466" spans="1:31" x14ac:dyDescent="0.3">
      <c r="A1466" s="76"/>
      <c r="B1466" s="78" t="s">
        <v>1553</v>
      </c>
      <c r="C1466" s="78" t="s">
        <v>1489</v>
      </c>
      <c r="D1466" s="78" t="s">
        <v>537</v>
      </c>
      <c r="E1466" s="78" t="s">
        <v>1503</v>
      </c>
      <c r="F1466" s="78" t="s">
        <v>1495</v>
      </c>
      <c r="G1466" s="78" t="s">
        <v>1513</v>
      </c>
      <c r="H1466" s="77"/>
      <c r="I1466" s="226"/>
      <c r="J1466" s="77"/>
      <c r="K1466" s="77"/>
      <c r="L1466" s="77"/>
      <c r="M1466" s="77"/>
      <c r="N1466" s="77"/>
      <c r="O1466" s="77"/>
      <c r="P1466" s="77"/>
      <c r="Q1466" s="77"/>
      <c r="R1466" s="77"/>
      <c r="S1466" s="77"/>
      <c r="T1466" s="77"/>
      <c r="U1466" s="77"/>
      <c r="V1466" s="77"/>
      <c r="W1466" s="77"/>
      <c r="X1466" s="77"/>
      <c r="Y1466" s="77"/>
      <c r="Z1466" s="77"/>
      <c r="AA1466" s="77"/>
      <c r="AB1466" s="77"/>
      <c r="AC1466" s="77"/>
      <c r="AD1466" s="77"/>
      <c r="AE1466" s="79"/>
    </row>
    <row r="1467" spans="1:31" x14ac:dyDescent="0.3">
      <c r="A1467" s="76"/>
      <c r="B1467" s="78" t="s">
        <v>1930</v>
      </c>
      <c r="C1467" s="78" t="s">
        <v>1496</v>
      </c>
      <c r="D1467" s="78" t="s">
        <v>572</v>
      </c>
      <c r="E1467" s="78" t="s">
        <v>1620</v>
      </c>
      <c r="F1467" s="78" t="s">
        <v>1495</v>
      </c>
      <c r="G1467" s="78" t="s">
        <v>1513</v>
      </c>
      <c r="H1467" s="77"/>
      <c r="I1467" s="226"/>
      <c r="J1467" s="77"/>
      <c r="K1467" s="77"/>
      <c r="L1467" s="77"/>
      <c r="M1467" s="77"/>
      <c r="N1467" s="77"/>
      <c r="O1467" s="77"/>
      <c r="P1467" s="77"/>
      <c r="Q1467" s="77"/>
      <c r="R1467" s="77"/>
      <c r="S1467" s="77"/>
      <c r="T1467" s="77"/>
      <c r="U1467" s="77"/>
      <c r="V1467" s="77"/>
      <c r="W1467" s="77"/>
      <c r="X1467" s="77"/>
      <c r="Y1467" s="77"/>
      <c r="Z1467" s="77"/>
      <c r="AA1467" s="77"/>
      <c r="AB1467" s="77"/>
      <c r="AC1467" s="77"/>
      <c r="AD1467" s="77"/>
      <c r="AE1467" s="79"/>
    </row>
    <row r="1468" spans="1:31" ht="15" thickBot="1" x14ac:dyDescent="0.35">
      <c r="A1468" s="81"/>
      <c r="B1468" s="82" t="s">
        <v>1845</v>
      </c>
      <c r="C1468" s="82" t="s">
        <v>1493</v>
      </c>
      <c r="D1468" s="82" t="s">
        <v>838</v>
      </c>
      <c r="E1468" s="82" t="s">
        <v>1500</v>
      </c>
      <c r="F1468" s="82" t="s">
        <v>1501</v>
      </c>
      <c r="G1468" s="82" t="s">
        <v>1513</v>
      </c>
      <c r="H1468" s="83"/>
      <c r="I1468" s="226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  <c r="X1468" s="83"/>
      <c r="Y1468" s="83"/>
      <c r="Z1468" s="83"/>
      <c r="AA1468" s="83"/>
      <c r="AB1468" s="83"/>
      <c r="AC1468" s="83"/>
      <c r="AD1468" s="83"/>
      <c r="AE1468" s="84"/>
    </row>
    <row r="1469" spans="1:31" ht="15" thickBot="1" x14ac:dyDescent="0.35">
      <c r="A1469" s="72" t="s">
        <v>863</v>
      </c>
      <c r="B1469" s="73" t="s">
        <v>2129</v>
      </c>
      <c r="C1469" s="74" t="s">
        <v>1479</v>
      </c>
      <c r="D1469" s="74" t="s">
        <v>864</v>
      </c>
      <c r="E1469" s="74" t="s">
        <v>1480</v>
      </c>
      <c r="F1469" s="74"/>
      <c r="G1469" s="74" t="s">
        <v>1481</v>
      </c>
      <c r="H1469" s="73" t="s">
        <v>1482</v>
      </c>
      <c r="I1469" s="227"/>
      <c r="J1469" s="73" t="s">
        <v>862</v>
      </c>
      <c r="K1469" s="73">
        <v>122</v>
      </c>
      <c r="L1469" s="73" t="s">
        <v>195</v>
      </c>
      <c r="M1469" s="73" t="s">
        <v>1483</v>
      </c>
      <c r="N1469" s="73" t="s">
        <v>1483</v>
      </c>
      <c r="O1469" s="73" t="s">
        <v>1483</v>
      </c>
      <c r="P1469" s="73" t="s">
        <v>1483</v>
      </c>
      <c r="Q1469" s="73" t="s">
        <v>1483</v>
      </c>
      <c r="R1469" s="73" t="s">
        <v>1483</v>
      </c>
      <c r="S1469" s="73" t="s">
        <v>1484</v>
      </c>
      <c r="T1469" s="73" t="s">
        <v>1484</v>
      </c>
      <c r="U1469" s="73" t="s">
        <v>1484</v>
      </c>
      <c r="V1469" s="73" t="s">
        <v>1484</v>
      </c>
      <c r="W1469" s="73" t="s">
        <v>1485</v>
      </c>
      <c r="X1469" s="73" t="s">
        <v>1484</v>
      </c>
      <c r="Y1469" s="73" t="s">
        <v>1484</v>
      </c>
      <c r="Z1469" s="73" t="s">
        <v>1485</v>
      </c>
      <c r="AA1469" s="73" t="s">
        <v>1485</v>
      </c>
      <c r="AB1469" s="73" t="s">
        <v>1484</v>
      </c>
      <c r="AC1469" s="73" t="s">
        <v>1486</v>
      </c>
      <c r="AD1469" s="73" t="s">
        <v>1487</v>
      </c>
      <c r="AE1469" s="75" t="s">
        <v>1488</v>
      </c>
    </row>
    <row r="1470" spans="1:31" x14ac:dyDescent="0.3">
      <c r="A1470" s="76"/>
      <c r="B1470" s="77"/>
      <c r="C1470" s="78" t="s">
        <v>1493</v>
      </c>
      <c r="D1470" s="78" t="s">
        <v>548</v>
      </c>
      <c r="E1470" s="78" t="s">
        <v>1503</v>
      </c>
      <c r="F1470" s="78" t="s">
        <v>1495</v>
      </c>
      <c r="G1470" s="78" t="s">
        <v>1492</v>
      </c>
      <c r="H1470" s="77"/>
      <c r="I1470" s="225" t="s">
        <v>1485</v>
      </c>
      <c r="J1470" s="77"/>
      <c r="K1470" s="77"/>
      <c r="L1470" s="77"/>
      <c r="M1470" s="77"/>
      <c r="N1470" s="77"/>
      <c r="O1470" s="77"/>
      <c r="P1470" s="77"/>
      <c r="Q1470" s="77"/>
      <c r="R1470" s="77"/>
      <c r="S1470" s="77"/>
      <c r="T1470" s="77"/>
      <c r="U1470" s="77"/>
      <c r="V1470" s="77"/>
      <c r="W1470" s="77"/>
      <c r="X1470" s="77"/>
      <c r="Y1470" s="77"/>
      <c r="Z1470" s="77"/>
      <c r="AA1470" s="77"/>
      <c r="AB1470" s="77"/>
      <c r="AC1470" s="77"/>
      <c r="AD1470" s="77"/>
      <c r="AE1470" s="79"/>
    </row>
    <row r="1471" spans="1:31" x14ac:dyDescent="0.3">
      <c r="A1471" s="76"/>
      <c r="B1471" s="77"/>
      <c r="C1471" s="78" t="s">
        <v>1496</v>
      </c>
      <c r="D1471" s="78" t="s">
        <v>865</v>
      </c>
      <c r="E1471" s="78" t="s">
        <v>1500</v>
      </c>
      <c r="F1471" s="78" t="s">
        <v>1501</v>
      </c>
      <c r="G1471" s="78" t="s">
        <v>1492</v>
      </c>
      <c r="H1471" s="77"/>
      <c r="I1471" s="226"/>
      <c r="J1471" s="77"/>
      <c r="K1471" s="77"/>
      <c r="L1471" s="77"/>
      <c r="M1471" s="77"/>
      <c r="N1471" s="77"/>
      <c r="O1471" s="77"/>
      <c r="P1471" s="77"/>
      <c r="Q1471" s="77"/>
      <c r="R1471" s="77"/>
      <c r="S1471" s="77"/>
      <c r="T1471" s="77"/>
      <c r="U1471" s="77"/>
      <c r="V1471" s="77"/>
      <c r="W1471" s="77"/>
      <c r="X1471" s="77"/>
      <c r="Y1471" s="77"/>
      <c r="Z1471" s="77"/>
      <c r="AA1471" s="77"/>
      <c r="AB1471" s="77"/>
      <c r="AC1471" s="77"/>
      <c r="AD1471" s="77"/>
      <c r="AE1471" s="79"/>
    </row>
    <row r="1472" spans="1:31" x14ac:dyDescent="0.3">
      <c r="A1472" s="76"/>
      <c r="B1472" s="77"/>
      <c r="C1472" s="78" t="s">
        <v>1499</v>
      </c>
      <c r="D1472" s="78" t="s">
        <v>592</v>
      </c>
      <c r="E1472" s="78" t="s">
        <v>1620</v>
      </c>
      <c r="F1472" s="78" t="s">
        <v>1495</v>
      </c>
      <c r="G1472" s="78" t="s">
        <v>1492</v>
      </c>
      <c r="H1472" s="77"/>
      <c r="I1472" s="226"/>
      <c r="J1472" s="77"/>
      <c r="K1472" s="77"/>
      <c r="L1472" s="77"/>
      <c r="M1472" s="77"/>
      <c r="N1472" s="77"/>
      <c r="O1472" s="77"/>
      <c r="P1472" s="77"/>
      <c r="Q1472" s="77"/>
      <c r="R1472" s="77"/>
      <c r="S1472" s="77"/>
      <c r="T1472" s="77"/>
      <c r="U1472" s="77"/>
      <c r="V1472" s="77"/>
      <c r="W1472" s="77"/>
      <c r="X1472" s="77"/>
      <c r="Y1472" s="77"/>
      <c r="Z1472" s="77"/>
      <c r="AA1472" s="77"/>
      <c r="AB1472" s="77"/>
      <c r="AC1472" s="77"/>
      <c r="AD1472" s="77"/>
      <c r="AE1472" s="79"/>
    </row>
    <row r="1473" spans="1:31" x14ac:dyDescent="0.3">
      <c r="A1473" s="76"/>
      <c r="B1473" s="77"/>
      <c r="C1473" s="78" t="s">
        <v>1502</v>
      </c>
      <c r="D1473" s="78" t="s">
        <v>724</v>
      </c>
      <c r="E1473" s="78" t="s">
        <v>1774</v>
      </c>
      <c r="F1473" s="78" t="s">
        <v>1775</v>
      </c>
      <c r="G1473" s="78" t="s">
        <v>1492</v>
      </c>
      <c r="H1473" s="77"/>
      <c r="I1473" s="226"/>
      <c r="J1473" s="77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  <c r="AA1473" s="77"/>
      <c r="AB1473" s="77"/>
      <c r="AC1473" s="77"/>
      <c r="AD1473" s="77"/>
      <c r="AE1473" s="79"/>
    </row>
    <row r="1474" spans="1:31" x14ac:dyDescent="0.3">
      <c r="A1474" s="76"/>
      <c r="B1474" s="80"/>
      <c r="C1474" s="78" t="s">
        <v>1504</v>
      </c>
      <c r="D1474" s="78" t="s">
        <v>866</v>
      </c>
      <c r="E1474" s="78" t="s">
        <v>1497</v>
      </c>
      <c r="F1474" s="78" t="s">
        <v>1498</v>
      </c>
      <c r="G1474" s="78" t="s">
        <v>1492</v>
      </c>
      <c r="H1474" s="77"/>
      <c r="I1474" s="226"/>
      <c r="J1474" s="77"/>
      <c r="K1474" s="77"/>
      <c r="L1474" s="77"/>
      <c r="M1474" s="77"/>
      <c r="N1474" s="77"/>
      <c r="O1474" s="77"/>
      <c r="P1474" s="77"/>
      <c r="Q1474" s="77"/>
      <c r="R1474" s="77"/>
      <c r="S1474" s="77"/>
      <c r="T1474" s="77"/>
      <c r="U1474" s="77"/>
      <c r="V1474" s="77"/>
      <c r="W1474" s="77"/>
      <c r="X1474" s="77"/>
      <c r="Y1474" s="77"/>
      <c r="Z1474" s="77"/>
      <c r="AA1474" s="77"/>
      <c r="AB1474" s="77"/>
      <c r="AC1474" s="77"/>
      <c r="AD1474" s="77"/>
      <c r="AE1474" s="79"/>
    </row>
    <row r="1475" spans="1:31" x14ac:dyDescent="0.3">
      <c r="A1475" s="76"/>
      <c r="B1475" s="78" t="s">
        <v>1485</v>
      </c>
      <c r="C1475" s="78" t="s">
        <v>1485</v>
      </c>
      <c r="D1475" s="78" t="s">
        <v>2130</v>
      </c>
      <c r="E1475" s="78" t="s">
        <v>1534</v>
      </c>
      <c r="F1475" s="78" t="s">
        <v>1535</v>
      </c>
      <c r="G1475" s="78" t="s">
        <v>1513</v>
      </c>
      <c r="H1475" s="77"/>
      <c r="I1475" s="226"/>
      <c r="J1475" s="77"/>
      <c r="K1475" s="77"/>
      <c r="L1475" s="77"/>
      <c r="M1475" s="77"/>
      <c r="N1475" s="77"/>
      <c r="O1475" s="77"/>
      <c r="P1475" s="77"/>
      <c r="Q1475" s="77"/>
      <c r="R1475" s="77"/>
      <c r="S1475" s="77"/>
      <c r="T1475" s="77"/>
      <c r="U1475" s="77"/>
      <c r="V1475" s="77"/>
      <c r="W1475" s="77"/>
      <c r="X1475" s="77"/>
      <c r="Y1475" s="77"/>
      <c r="Z1475" s="77"/>
      <c r="AA1475" s="77"/>
      <c r="AB1475" s="77"/>
      <c r="AC1475" s="77"/>
      <c r="AD1475" s="77"/>
      <c r="AE1475" s="79"/>
    </row>
    <row r="1476" spans="1:31" x14ac:dyDescent="0.3">
      <c r="A1476" s="76"/>
      <c r="B1476" s="78" t="s">
        <v>1485</v>
      </c>
      <c r="C1476" s="78" t="s">
        <v>1485</v>
      </c>
      <c r="D1476" s="78" t="s">
        <v>2131</v>
      </c>
      <c r="E1476" s="78" t="s">
        <v>1709</v>
      </c>
      <c r="F1476" s="78" t="s">
        <v>1512</v>
      </c>
      <c r="G1476" s="78" t="s">
        <v>1513</v>
      </c>
      <c r="H1476" s="77"/>
      <c r="I1476" s="226"/>
      <c r="J1476" s="77"/>
      <c r="K1476" s="77"/>
      <c r="L1476" s="77"/>
      <c r="M1476" s="77"/>
      <c r="N1476" s="77"/>
      <c r="O1476" s="77"/>
      <c r="P1476" s="77"/>
      <c r="Q1476" s="77"/>
      <c r="R1476" s="77"/>
      <c r="S1476" s="77"/>
      <c r="T1476" s="77"/>
      <c r="U1476" s="77"/>
      <c r="V1476" s="77"/>
      <c r="W1476" s="77"/>
      <c r="X1476" s="77"/>
      <c r="Y1476" s="77"/>
      <c r="Z1476" s="77"/>
      <c r="AA1476" s="77"/>
      <c r="AB1476" s="77"/>
      <c r="AC1476" s="77"/>
      <c r="AD1476" s="77"/>
      <c r="AE1476" s="79"/>
    </row>
    <row r="1477" spans="1:31" x14ac:dyDescent="0.3">
      <c r="A1477" s="76"/>
      <c r="B1477" s="78" t="s">
        <v>1877</v>
      </c>
      <c r="C1477" s="78" t="s">
        <v>1496</v>
      </c>
      <c r="D1477" s="78" t="s">
        <v>448</v>
      </c>
      <c r="E1477" s="78" t="s">
        <v>1480</v>
      </c>
      <c r="F1477" s="78" t="s">
        <v>1518</v>
      </c>
      <c r="G1477" s="78" t="s">
        <v>1513</v>
      </c>
      <c r="H1477" s="77"/>
      <c r="I1477" s="226"/>
      <c r="J1477" s="77"/>
      <c r="K1477" s="77"/>
      <c r="L1477" s="77"/>
      <c r="M1477" s="77"/>
      <c r="N1477" s="77"/>
      <c r="O1477" s="77"/>
      <c r="P1477" s="77"/>
      <c r="Q1477" s="77"/>
      <c r="R1477" s="77"/>
      <c r="S1477" s="77"/>
      <c r="T1477" s="77"/>
      <c r="U1477" s="77"/>
      <c r="V1477" s="77"/>
      <c r="W1477" s="77"/>
      <c r="X1477" s="77"/>
      <c r="Y1477" s="77"/>
      <c r="Z1477" s="77"/>
      <c r="AA1477" s="77"/>
      <c r="AB1477" s="77"/>
      <c r="AC1477" s="77"/>
      <c r="AD1477" s="77"/>
      <c r="AE1477" s="79"/>
    </row>
    <row r="1478" spans="1:31" x14ac:dyDescent="0.3">
      <c r="A1478" s="76"/>
      <c r="B1478" s="78" t="s">
        <v>1567</v>
      </c>
      <c r="C1478" s="78" t="s">
        <v>1489</v>
      </c>
      <c r="D1478" s="78" t="s">
        <v>548</v>
      </c>
      <c r="E1478" s="78" t="s">
        <v>1503</v>
      </c>
      <c r="F1478" s="78" t="s">
        <v>1495</v>
      </c>
      <c r="G1478" s="78" t="s">
        <v>1513</v>
      </c>
      <c r="H1478" s="77"/>
      <c r="I1478" s="226"/>
      <c r="J1478" s="77"/>
      <c r="K1478" s="77"/>
      <c r="L1478" s="77"/>
      <c r="M1478" s="77"/>
      <c r="N1478" s="77"/>
      <c r="O1478" s="77"/>
      <c r="P1478" s="77"/>
      <c r="Q1478" s="77"/>
      <c r="R1478" s="77"/>
      <c r="S1478" s="77"/>
      <c r="T1478" s="77"/>
      <c r="U1478" s="77"/>
      <c r="V1478" s="77"/>
      <c r="W1478" s="77"/>
      <c r="X1478" s="77"/>
      <c r="Y1478" s="77"/>
      <c r="Z1478" s="77"/>
      <c r="AA1478" s="77"/>
      <c r="AB1478" s="77"/>
      <c r="AC1478" s="77"/>
      <c r="AD1478" s="77"/>
      <c r="AE1478" s="79"/>
    </row>
    <row r="1479" spans="1:31" ht="15" thickBot="1" x14ac:dyDescent="0.35">
      <c r="A1479" s="76"/>
      <c r="B1479" s="78" t="s">
        <v>1935</v>
      </c>
      <c r="C1479" s="78" t="s">
        <v>1496</v>
      </c>
      <c r="D1479" s="78" t="s">
        <v>592</v>
      </c>
      <c r="E1479" s="78" t="s">
        <v>1620</v>
      </c>
      <c r="F1479" s="78" t="s">
        <v>1495</v>
      </c>
      <c r="G1479" s="78" t="s">
        <v>1513</v>
      </c>
      <c r="H1479" s="77"/>
      <c r="I1479" s="227"/>
      <c r="J1479" s="77"/>
      <c r="K1479" s="77"/>
      <c r="L1479" s="77"/>
      <c r="M1479" s="77"/>
      <c r="N1479" s="77"/>
      <c r="O1479" s="77"/>
      <c r="P1479" s="77"/>
      <c r="Q1479" s="77"/>
      <c r="R1479" s="77"/>
      <c r="S1479" s="77"/>
      <c r="T1479" s="77"/>
      <c r="U1479" s="77"/>
      <c r="V1479" s="77"/>
      <c r="W1479" s="77"/>
      <c r="X1479" s="77"/>
      <c r="Y1479" s="77"/>
      <c r="Z1479" s="77"/>
      <c r="AA1479" s="77"/>
      <c r="AB1479" s="77"/>
      <c r="AC1479" s="77"/>
      <c r="AD1479" s="77"/>
      <c r="AE1479" s="79"/>
    </row>
    <row r="1480" spans="1:31" ht="15" thickBot="1" x14ac:dyDescent="0.35">
      <c r="A1480" s="81"/>
      <c r="B1480" s="82" t="s">
        <v>1838</v>
      </c>
      <c r="C1480" s="82" t="s">
        <v>1493</v>
      </c>
      <c r="D1480" s="82" t="s">
        <v>865</v>
      </c>
      <c r="E1480" s="82" t="s">
        <v>1500</v>
      </c>
      <c r="F1480" s="82" t="s">
        <v>1501</v>
      </c>
      <c r="G1480" s="82" t="s">
        <v>1513</v>
      </c>
      <c r="H1480" s="83"/>
      <c r="I1480" s="225" t="s">
        <v>1485</v>
      </c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  <c r="X1480" s="83"/>
      <c r="Y1480" s="83"/>
      <c r="Z1480" s="83"/>
      <c r="AA1480" s="83"/>
      <c r="AB1480" s="83"/>
      <c r="AC1480" s="83"/>
      <c r="AD1480" s="83"/>
      <c r="AE1480" s="84"/>
    </row>
    <row r="1481" spans="1:31" x14ac:dyDescent="0.3">
      <c r="A1481" s="72" t="s">
        <v>882</v>
      </c>
      <c r="B1481" s="73" t="s">
        <v>2132</v>
      </c>
      <c r="C1481" s="74" t="s">
        <v>1479</v>
      </c>
      <c r="D1481" s="74" t="s">
        <v>883</v>
      </c>
      <c r="E1481" s="74" t="s">
        <v>1480</v>
      </c>
      <c r="F1481" s="74"/>
      <c r="G1481" s="74" t="s">
        <v>1481</v>
      </c>
      <c r="H1481" s="73" t="s">
        <v>1482</v>
      </c>
      <c r="I1481" s="226"/>
      <c r="J1481" s="73" t="s">
        <v>881</v>
      </c>
      <c r="K1481" s="73">
        <v>125</v>
      </c>
      <c r="L1481" s="73" t="s">
        <v>195</v>
      </c>
      <c r="M1481" s="73" t="s">
        <v>1483</v>
      </c>
      <c r="N1481" s="73" t="s">
        <v>1483</v>
      </c>
      <c r="O1481" s="73" t="s">
        <v>1483</v>
      </c>
      <c r="P1481" s="73" t="s">
        <v>1483</v>
      </c>
      <c r="Q1481" s="73" t="s">
        <v>1483</v>
      </c>
      <c r="R1481" s="73" t="s">
        <v>1483</v>
      </c>
      <c r="S1481" s="73" t="s">
        <v>1484</v>
      </c>
      <c r="T1481" s="73" t="s">
        <v>1484</v>
      </c>
      <c r="U1481" s="73" t="s">
        <v>1484</v>
      </c>
      <c r="V1481" s="73" t="s">
        <v>1484</v>
      </c>
      <c r="W1481" s="73" t="s">
        <v>1485</v>
      </c>
      <c r="X1481" s="73" t="s">
        <v>1484</v>
      </c>
      <c r="Y1481" s="73" t="s">
        <v>1484</v>
      </c>
      <c r="Z1481" s="73" t="s">
        <v>1485</v>
      </c>
      <c r="AA1481" s="73" t="s">
        <v>1485</v>
      </c>
      <c r="AB1481" s="73" t="s">
        <v>1484</v>
      </c>
      <c r="AC1481" s="73" t="s">
        <v>1486</v>
      </c>
      <c r="AD1481" s="73" t="s">
        <v>1487</v>
      </c>
      <c r="AE1481" s="75" t="s">
        <v>1488</v>
      </c>
    </row>
    <row r="1482" spans="1:31" x14ac:dyDescent="0.3">
      <c r="A1482" s="76"/>
      <c r="B1482" s="77"/>
      <c r="C1482" s="78" t="s">
        <v>1493</v>
      </c>
      <c r="D1482" s="78" t="s">
        <v>565</v>
      </c>
      <c r="E1482" s="78" t="s">
        <v>1503</v>
      </c>
      <c r="F1482" s="78" t="s">
        <v>1495</v>
      </c>
      <c r="G1482" s="78" t="s">
        <v>1492</v>
      </c>
      <c r="H1482" s="77"/>
      <c r="I1482" s="226"/>
      <c r="J1482" s="77"/>
      <c r="K1482" s="77"/>
      <c r="L1482" s="77"/>
      <c r="M1482" s="77"/>
      <c r="N1482" s="77"/>
      <c r="O1482" s="77"/>
      <c r="P1482" s="77"/>
      <c r="Q1482" s="77"/>
      <c r="R1482" s="77"/>
      <c r="S1482" s="77"/>
      <c r="T1482" s="77"/>
      <c r="U1482" s="77"/>
      <c r="V1482" s="77"/>
      <c r="W1482" s="77"/>
      <c r="X1482" s="77"/>
      <c r="Y1482" s="77"/>
      <c r="Z1482" s="77"/>
      <c r="AA1482" s="77"/>
      <c r="AB1482" s="77"/>
      <c r="AC1482" s="77"/>
      <c r="AD1482" s="77"/>
      <c r="AE1482" s="79"/>
    </row>
    <row r="1483" spans="1:31" x14ac:dyDescent="0.3">
      <c r="A1483" s="76"/>
      <c r="B1483" s="77"/>
      <c r="C1483" s="78" t="s">
        <v>1496</v>
      </c>
      <c r="D1483" s="78" t="s">
        <v>884</v>
      </c>
      <c r="E1483" s="78" t="s">
        <v>1500</v>
      </c>
      <c r="F1483" s="78" t="s">
        <v>1501</v>
      </c>
      <c r="G1483" s="78" t="s">
        <v>1492</v>
      </c>
      <c r="H1483" s="77"/>
      <c r="I1483" s="226"/>
      <c r="J1483" s="77"/>
      <c r="K1483" s="77"/>
      <c r="L1483" s="77"/>
      <c r="M1483" s="77"/>
      <c r="N1483" s="77"/>
      <c r="O1483" s="77"/>
      <c r="P1483" s="77"/>
      <c r="Q1483" s="77"/>
      <c r="R1483" s="77"/>
      <c r="S1483" s="77"/>
      <c r="T1483" s="77"/>
      <c r="U1483" s="77"/>
      <c r="V1483" s="77"/>
      <c r="W1483" s="77"/>
      <c r="X1483" s="77"/>
      <c r="Y1483" s="77"/>
      <c r="Z1483" s="77"/>
      <c r="AA1483" s="77"/>
      <c r="AB1483" s="77"/>
      <c r="AC1483" s="77"/>
      <c r="AD1483" s="77"/>
      <c r="AE1483" s="79"/>
    </row>
    <row r="1484" spans="1:31" x14ac:dyDescent="0.3">
      <c r="A1484" s="76"/>
      <c r="B1484" s="80"/>
      <c r="C1484" s="78" t="s">
        <v>1504</v>
      </c>
      <c r="D1484" s="78" t="s">
        <v>885</v>
      </c>
      <c r="E1484" s="78" t="s">
        <v>1497</v>
      </c>
      <c r="F1484" s="78" t="s">
        <v>1498</v>
      </c>
      <c r="G1484" s="78" t="s">
        <v>1492</v>
      </c>
      <c r="H1484" s="77"/>
      <c r="I1484" s="226"/>
      <c r="J1484" s="77"/>
      <c r="K1484" s="77"/>
      <c r="L1484" s="77"/>
      <c r="M1484" s="77"/>
      <c r="N1484" s="77"/>
      <c r="O1484" s="77"/>
      <c r="P1484" s="77"/>
      <c r="Q1484" s="77"/>
      <c r="R1484" s="77"/>
      <c r="S1484" s="77"/>
      <c r="T1484" s="77"/>
      <c r="U1484" s="77"/>
      <c r="V1484" s="77"/>
      <c r="W1484" s="77"/>
      <c r="X1484" s="77"/>
      <c r="Y1484" s="77"/>
      <c r="Z1484" s="77"/>
      <c r="AA1484" s="77"/>
      <c r="AB1484" s="77"/>
      <c r="AC1484" s="77"/>
      <c r="AD1484" s="77"/>
      <c r="AE1484" s="79"/>
    </row>
    <row r="1485" spans="1:31" x14ac:dyDescent="0.3">
      <c r="A1485" s="76"/>
      <c r="B1485" s="78" t="s">
        <v>1485</v>
      </c>
      <c r="C1485" s="78" t="s">
        <v>1485</v>
      </c>
      <c r="D1485" s="78" t="s">
        <v>886</v>
      </c>
      <c r="E1485" s="78" t="s">
        <v>1548</v>
      </c>
      <c r="F1485" s="78" t="s">
        <v>1512</v>
      </c>
      <c r="G1485" s="78" t="s">
        <v>1513</v>
      </c>
      <c r="H1485" s="77"/>
      <c r="I1485" s="226"/>
      <c r="J1485" s="77"/>
      <c r="K1485" s="77"/>
      <c r="L1485" s="77"/>
      <c r="M1485" s="77"/>
      <c r="N1485" s="77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7"/>
      <c r="AE1485" s="79"/>
    </row>
    <row r="1486" spans="1:31" x14ac:dyDescent="0.3">
      <c r="A1486" s="76"/>
      <c r="B1486" s="78" t="s">
        <v>1885</v>
      </c>
      <c r="C1486" s="78" t="s">
        <v>1496</v>
      </c>
      <c r="D1486" s="78" t="s">
        <v>344</v>
      </c>
      <c r="E1486" s="78" t="s">
        <v>1480</v>
      </c>
      <c r="F1486" s="78" t="s">
        <v>1518</v>
      </c>
      <c r="G1486" s="78" t="s">
        <v>1513</v>
      </c>
      <c r="H1486" s="77"/>
      <c r="I1486" s="226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U1486" s="77"/>
      <c r="V1486" s="77"/>
      <c r="W1486" s="77"/>
      <c r="X1486" s="77"/>
      <c r="Y1486" s="77"/>
      <c r="Z1486" s="77"/>
      <c r="AA1486" s="77"/>
      <c r="AB1486" s="77"/>
      <c r="AC1486" s="77"/>
      <c r="AD1486" s="77"/>
      <c r="AE1486" s="79"/>
    </row>
    <row r="1487" spans="1:31" x14ac:dyDescent="0.3">
      <c r="A1487" s="76"/>
      <c r="B1487" s="78" t="s">
        <v>1925</v>
      </c>
      <c r="C1487" s="78" t="s">
        <v>1489</v>
      </c>
      <c r="D1487" s="78" t="s">
        <v>565</v>
      </c>
      <c r="E1487" s="78" t="s">
        <v>1503</v>
      </c>
      <c r="F1487" s="78" t="s">
        <v>1495</v>
      </c>
      <c r="G1487" s="78" t="s">
        <v>1513</v>
      </c>
      <c r="H1487" s="77"/>
      <c r="I1487" s="226"/>
      <c r="J1487" s="77"/>
      <c r="K1487" s="77"/>
      <c r="L1487" s="77"/>
      <c r="M1487" s="77"/>
      <c r="N1487" s="77"/>
      <c r="O1487" s="77"/>
      <c r="P1487" s="77"/>
      <c r="Q1487" s="77"/>
      <c r="R1487" s="77"/>
      <c r="S1487" s="77"/>
      <c r="T1487" s="77"/>
      <c r="U1487" s="77"/>
      <c r="V1487" s="77"/>
      <c r="W1487" s="77"/>
      <c r="X1487" s="77"/>
      <c r="Y1487" s="77"/>
      <c r="Z1487" s="77"/>
      <c r="AA1487" s="77"/>
      <c r="AB1487" s="77"/>
      <c r="AC1487" s="77"/>
      <c r="AD1487" s="77"/>
      <c r="AE1487" s="79"/>
    </row>
    <row r="1488" spans="1:31" x14ac:dyDescent="0.3">
      <c r="A1488" s="76"/>
      <c r="B1488" s="78" t="s">
        <v>1830</v>
      </c>
      <c r="C1488" s="78" t="s">
        <v>1493</v>
      </c>
      <c r="D1488" s="78" t="s">
        <v>884</v>
      </c>
      <c r="E1488" s="78" t="s">
        <v>1500</v>
      </c>
      <c r="F1488" s="78" t="s">
        <v>1501</v>
      </c>
      <c r="G1488" s="78" t="s">
        <v>1513</v>
      </c>
      <c r="H1488" s="77"/>
      <c r="I1488" s="226"/>
      <c r="J1488" s="77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  <c r="AA1488" s="77"/>
      <c r="AB1488" s="77"/>
      <c r="AC1488" s="77"/>
      <c r="AD1488" s="77"/>
      <c r="AE1488" s="79"/>
    </row>
    <row r="1489" spans="1:31" ht="15" thickBot="1" x14ac:dyDescent="0.35">
      <c r="A1489" s="81"/>
      <c r="B1489" s="82" t="s">
        <v>1788</v>
      </c>
      <c r="C1489" s="82" t="s">
        <v>1493</v>
      </c>
      <c r="D1489" s="82" t="s">
        <v>717</v>
      </c>
      <c r="E1489" s="82" t="s">
        <v>1774</v>
      </c>
      <c r="F1489" s="82" t="s">
        <v>1789</v>
      </c>
      <c r="G1489" s="82" t="s">
        <v>1513</v>
      </c>
      <c r="H1489" s="83"/>
      <c r="I1489" s="227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  <c r="X1489" s="83"/>
      <c r="Y1489" s="83"/>
      <c r="Z1489" s="83"/>
      <c r="AA1489" s="83"/>
      <c r="AB1489" s="83"/>
      <c r="AC1489" s="83"/>
      <c r="AD1489" s="83"/>
      <c r="AE1489" s="84"/>
    </row>
    <row r="1490" spans="1:31" x14ac:dyDescent="0.3">
      <c r="A1490" s="72" t="s">
        <v>1126</v>
      </c>
      <c r="B1490" s="73" t="s">
        <v>2133</v>
      </c>
      <c r="C1490" s="74" t="s">
        <v>1479</v>
      </c>
      <c r="D1490" s="74" t="s">
        <v>1127</v>
      </c>
      <c r="E1490" s="74" t="s">
        <v>1480</v>
      </c>
      <c r="F1490" s="74"/>
      <c r="G1490" s="74" t="s">
        <v>1481</v>
      </c>
      <c r="H1490" s="73" t="s">
        <v>1482</v>
      </c>
      <c r="I1490" s="225" t="s">
        <v>1485</v>
      </c>
      <c r="J1490" s="73" t="s">
        <v>1125</v>
      </c>
      <c r="K1490" s="73" t="s">
        <v>1485</v>
      </c>
      <c r="L1490" s="73" t="s">
        <v>195</v>
      </c>
      <c r="M1490" s="73" t="s">
        <v>1483</v>
      </c>
      <c r="N1490" s="73" t="s">
        <v>1483</v>
      </c>
      <c r="O1490" s="73" t="s">
        <v>1483</v>
      </c>
      <c r="P1490" s="73" t="s">
        <v>1483</v>
      </c>
      <c r="Q1490" s="73" t="s">
        <v>1483</v>
      </c>
      <c r="R1490" s="73" t="s">
        <v>1483</v>
      </c>
      <c r="S1490" s="73" t="s">
        <v>1484</v>
      </c>
      <c r="T1490" s="73" t="s">
        <v>1484</v>
      </c>
      <c r="U1490" s="73" t="s">
        <v>1484</v>
      </c>
      <c r="V1490" s="73" t="s">
        <v>1484</v>
      </c>
      <c r="W1490" s="73" t="s">
        <v>1485</v>
      </c>
      <c r="X1490" s="73" t="s">
        <v>1484</v>
      </c>
      <c r="Y1490" s="73" t="s">
        <v>1484</v>
      </c>
      <c r="Z1490" s="73" t="s">
        <v>1485</v>
      </c>
      <c r="AA1490" s="73" t="s">
        <v>1485</v>
      </c>
      <c r="AB1490" s="73" t="s">
        <v>1484</v>
      </c>
      <c r="AC1490" s="73" t="s">
        <v>1486</v>
      </c>
      <c r="AD1490" s="73" t="s">
        <v>1487</v>
      </c>
      <c r="AE1490" s="75" t="s">
        <v>1488</v>
      </c>
    </row>
    <row r="1491" spans="1:31" x14ac:dyDescent="0.3">
      <c r="A1491" s="76"/>
      <c r="B1491" s="80"/>
      <c r="C1491" s="78" t="s">
        <v>1493</v>
      </c>
      <c r="D1491" s="78" t="s">
        <v>571</v>
      </c>
      <c r="E1491" s="78" t="s">
        <v>1503</v>
      </c>
      <c r="F1491" s="78" t="s">
        <v>1495</v>
      </c>
      <c r="G1491" s="78" t="s">
        <v>1492</v>
      </c>
      <c r="H1491" s="77"/>
      <c r="I1491" s="226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7"/>
      <c r="AE1491" s="79"/>
    </row>
    <row r="1492" spans="1:31" ht="15" thickBot="1" x14ac:dyDescent="0.35">
      <c r="A1492" s="81"/>
      <c r="B1492" s="82" t="s">
        <v>1929</v>
      </c>
      <c r="C1492" s="82" t="s">
        <v>1489</v>
      </c>
      <c r="D1492" s="82" t="s">
        <v>571</v>
      </c>
      <c r="E1492" s="82" t="s">
        <v>1503</v>
      </c>
      <c r="F1492" s="82" t="s">
        <v>1495</v>
      </c>
      <c r="G1492" s="82" t="s">
        <v>1513</v>
      </c>
      <c r="H1492" s="83"/>
      <c r="I1492" s="226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  <c r="X1492" s="83"/>
      <c r="Y1492" s="83"/>
      <c r="Z1492" s="83"/>
      <c r="AA1492" s="83"/>
      <c r="AB1492" s="83"/>
      <c r="AC1492" s="83"/>
      <c r="AD1492" s="83"/>
      <c r="AE1492" s="84"/>
    </row>
    <row r="1493" spans="1:31" x14ac:dyDescent="0.3">
      <c r="A1493" s="72" t="s">
        <v>909</v>
      </c>
      <c r="B1493" s="73" t="s">
        <v>2134</v>
      </c>
      <c r="C1493" s="74" t="s">
        <v>1479</v>
      </c>
      <c r="D1493" s="74" t="s">
        <v>910</v>
      </c>
      <c r="E1493" s="74" t="s">
        <v>1480</v>
      </c>
      <c r="F1493" s="74"/>
      <c r="G1493" s="74" t="s">
        <v>1481</v>
      </c>
      <c r="H1493" s="73" t="s">
        <v>1482</v>
      </c>
      <c r="I1493" s="226"/>
      <c r="J1493" s="73" t="s">
        <v>908</v>
      </c>
      <c r="K1493" s="73">
        <v>131</v>
      </c>
      <c r="L1493" s="73" t="s">
        <v>195</v>
      </c>
      <c r="M1493" s="73" t="s">
        <v>1483</v>
      </c>
      <c r="N1493" s="73" t="s">
        <v>1483</v>
      </c>
      <c r="O1493" s="73" t="s">
        <v>1483</v>
      </c>
      <c r="P1493" s="73" t="s">
        <v>1483</v>
      </c>
      <c r="Q1493" s="73" t="s">
        <v>1483</v>
      </c>
      <c r="R1493" s="73" t="s">
        <v>1483</v>
      </c>
      <c r="S1493" s="73" t="s">
        <v>1484</v>
      </c>
      <c r="T1493" s="73" t="s">
        <v>1484</v>
      </c>
      <c r="U1493" s="73" t="s">
        <v>1484</v>
      </c>
      <c r="V1493" s="73" t="s">
        <v>1484</v>
      </c>
      <c r="W1493" s="73" t="s">
        <v>1485</v>
      </c>
      <c r="X1493" s="73" t="s">
        <v>1484</v>
      </c>
      <c r="Y1493" s="73" t="s">
        <v>1484</v>
      </c>
      <c r="Z1493" s="73" t="s">
        <v>1485</v>
      </c>
      <c r="AA1493" s="73" t="s">
        <v>1485</v>
      </c>
      <c r="AB1493" s="73" t="s">
        <v>1484</v>
      </c>
      <c r="AC1493" s="73" t="s">
        <v>1486</v>
      </c>
      <c r="AD1493" s="73" t="s">
        <v>1487</v>
      </c>
      <c r="AE1493" s="75" t="s">
        <v>1488</v>
      </c>
    </row>
    <row r="1494" spans="1:31" x14ac:dyDescent="0.3">
      <c r="A1494" s="76"/>
      <c r="B1494" s="77"/>
      <c r="C1494" s="78" t="s">
        <v>1489</v>
      </c>
      <c r="D1494" s="78" t="s">
        <v>364</v>
      </c>
      <c r="E1494" s="78" t="s">
        <v>1907</v>
      </c>
      <c r="F1494" s="78" t="s">
        <v>1565</v>
      </c>
      <c r="G1494" s="78" t="s">
        <v>1492</v>
      </c>
      <c r="H1494" s="77"/>
      <c r="I1494" s="226"/>
      <c r="J1494" s="77"/>
      <c r="K1494" s="77"/>
      <c r="L1494" s="77"/>
      <c r="M1494" s="77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  <c r="AA1494" s="77"/>
      <c r="AB1494" s="77"/>
      <c r="AC1494" s="77"/>
      <c r="AD1494" s="77"/>
      <c r="AE1494" s="79"/>
    </row>
    <row r="1495" spans="1:31" x14ac:dyDescent="0.3">
      <c r="A1495" s="76"/>
      <c r="B1495" s="77"/>
      <c r="C1495" s="78" t="s">
        <v>1493</v>
      </c>
      <c r="D1495" s="78" t="s">
        <v>591</v>
      </c>
      <c r="E1495" s="78" t="s">
        <v>1503</v>
      </c>
      <c r="F1495" s="78" t="s">
        <v>1495</v>
      </c>
      <c r="G1495" s="78" t="s">
        <v>1492</v>
      </c>
      <c r="H1495" s="77"/>
      <c r="I1495" s="226"/>
      <c r="J1495" s="77"/>
      <c r="K1495" s="77"/>
      <c r="L1495" s="77"/>
      <c r="M1495" s="77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  <c r="AA1495" s="77"/>
      <c r="AB1495" s="77"/>
      <c r="AC1495" s="77"/>
      <c r="AD1495" s="77"/>
      <c r="AE1495" s="79"/>
    </row>
    <row r="1496" spans="1:31" x14ac:dyDescent="0.3">
      <c r="A1496" s="76"/>
      <c r="B1496" s="77"/>
      <c r="C1496" s="78" t="s">
        <v>1496</v>
      </c>
      <c r="D1496" s="78" t="s">
        <v>158</v>
      </c>
      <c r="E1496" s="78" t="s">
        <v>1500</v>
      </c>
      <c r="F1496" s="78" t="s">
        <v>1501</v>
      </c>
      <c r="G1496" s="78" t="s">
        <v>1492</v>
      </c>
      <c r="H1496" s="77"/>
      <c r="I1496" s="226"/>
      <c r="J1496" s="77"/>
      <c r="K1496" s="77"/>
      <c r="L1496" s="77"/>
      <c r="M1496" s="77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  <c r="AA1496" s="77"/>
      <c r="AB1496" s="77"/>
      <c r="AC1496" s="77"/>
      <c r="AD1496" s="77"/>
      <c r="AE1496" s="79"/>
    </row>
    <row r="1497" spans="1:31" x14ac:dyDescent="0.3">
      <c r="A1497" s="76"/>
      <c r="B1497" s="77"/>
      <c r="C1497" s="78" t="s">
        <v>1499</v>
      </c>
      <c r="D1497" s="78" t="s">
        <v>911</v>
      </c>
      <c r="E1497" s="78" t="s">
        <v>1620</v>
      </c>
      <c r="F1497" s="78" t="s">
        <v>1495</v>
      </c>
      <c r="G1497" s="78" t="s">
        <v>1492</v>
      </c>
      <c r="H1497" s="77"/>
      <c r="I1497" s="226"/>
      <c r="J1497" s="77"/>
      <c r="K1497" s="77"/>
      <c r="L1497" s="77"/>
      <c r="M1497" s="77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  <c r="AA1497" s="77"/>
      <c r="AB1497" s="77"/>
      <c r="AC1497" s="77"/>
      <c r="AD1497" s="77"/>
      <c r="AE1497" s="79"/>
    </row>
    <row r="1498" spans="1:31" x14ac:dyDescent="0.3">
      <c r="A1498" s="76"/>
      <c r="B1498" s="77"/>
      <c r="C1498" s="78" t="s">
        <v>1502</v>
      </c>
      <c r="D1498" s="78" t="s">
        <v>912</v>
      </c>
      <c r="E1498" s="78" t="s">
        <v>1500</v>
      </c>
      <c r="F1498" s="78" t="s">
        <v>1501</v>
      </c>
      <c r="G1498" s="78" t="s">
        <v>1492</v>
      </c>
      <c r="H1498" s="77"/>
      <c r="I1498" s="226"/>
      <c r="J1498" s="77"/>
      <c r="K1498" s="77"/>
      <c r="L1498" s="77"/>
      <c r="M1498" s="77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7"/>
      <c r="AE1498" s="79"/>
    </row>
    <row r="1499" spans="1:31" x14ac:dyDescent="0.3">
      <c r="A1499" s="76"/>
      <c r="B1499" s="77"/>
      <c r="C1499" s="78" t="s">
        <v>1504</v>
      </c>
      <c r="D1499" s="78" t="s">
        <v>330</v>
      </c>
      <c r="E1499" s="78" t="s">
        <v>1545</v>
      </c>
      <c r="F1499" s="78" t="s">
        <v>1564</v>
      </c>
      <c r="G1499" s="78" t="s">
        <v>1492</v>
      </c>
      <c r="H1499" s="77"/>
      <c r="I1499" s="226"/>
      <c r="J1499" s="77"/>
      <c r="K1499" s="77"/>
      <c r="L1499" s="77"/>
      <c r="M1499" s="77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7"/>
      <c r="AE1499" s="79"/>
    </row>
    <row r="1500" spans="1:31" x14ac:dyDescent="0.3">
      <c r="A1500" s="76"/>
      <c r="B1500" s="80"/>
      <c r="C1500" s="78" t="s">
        <v>1507</v>
      </c>
      <c r="D1500" s="78" t="s">
        <v>851</v>
      </c>
      <c r="E1500" s="78" t="s">
        <v>1497</v>
      </c>
      <c r="F1500" s="78" t="s">
        <v>1498</v>
      </c>
      <c r="G1500" s="78" t="s">
        <v>1492</v>
      </c>
      <c r="H1500" s="77"/>
      <c r="I1500" s="226"/>
      <c r="J1500" s="77"/>
      <c r="K1500" s="77"/>
      <c r="L1500" s="77"/>
      <c r="M1500" s="77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7"/>
      <c r="AE1500" s="79"/>
    </row>
    <row r="1501" spans="1:31" ht="15" thickBot="1" x14ac:dyDescent="0.35">
      <c r="A1501" s="76"/>
      <c r="B1501" s="78" t="s">
        <v>1485</v>
      </c>
      <c r="C1501" s="78" t="s">
        <v>1485</v>
      </c>
      <c r="D1501" s="78" t="s">
        <v>913</v>
      </c>
      <c r="E1501" s="78" t="s">
        <v>1709</v>
      </c>
      <c r="F1501" s="78" t="s">
        <v>1512</v>
      </c>
      <c r="G1501" s="78" t="s">
        <v>1513</v>
      </c>
      <c r="H1501" s="77"/>
      <c r="I1501" s="227"/>
      <c r="J1501" s="77"/>
      <c r="K1501" s="77"/>
      <c r="L1501" s="77"/>
      <c r="M1501" s="77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7"/>
      <c r="AE1501" s="79"/>
    </row>
    <row r="1502" spans="1:31" x14ac:dyDescent="0.3">
      <c r="A1502" s="76"/>
      <c r="B1502" s="78" t="s">
        <v>1934</v>
      </c>
      <c r="C1502" s="78" t="s">
        <v>1489</v>
      </c>
      <c r="D1502" s="78" t="s">
        <v>591</v>
      </c>
      <c r="E1502" s="78" t="s">
        <v>1503</v>
      </c>
      <c r="F1502" s="78" t="s">
        <v>1495</v>
      </c>
      <c r="G1502" s="78" t="s">
        <v>1513</v>
      </c>
      <c r="H1502" s="77"/>
      <c r="I1502" s="225" t="s">
        <v>1485</v>
      </c>
      <c r="J1502" s="77"/>
      <c r="K1502" s="77"/>
      <c r="L1502" s="77"/>
      <c r="M1502" s="77"/>
      <c r="N1502" s="77"/>
      <c r="O1502" s="77"/>
      <c r="P1502" s="77"/>
      <c r="Q1502" s="77"/>
      <c r="R1502" s="77"/>
      <c r="S1502" s="77"/>
      <c r="T1502" s="77"/>
      <c r="U1502" s="77"/>
      <c r="V1502" s="77"/>
      <c r="W1502" s="77"/>
      <c r="X1502" s="77"/>
      <c r="Y1502" s="77"/>
      <c r="Z1502" s="77"/>
      <c r="AA1502" s="77"/>
      <c r="AB1502" s="77"/>
      <c r="AC1502" s="77"/>
      <c r="AD1502" s="77"/>
      <c r="AE1502" s="79"/>
    </row>
    <row r="1503" spans="1:31" x14ac:dyDescent="0.3">
      <c r="A1503" s="76"/>
      <c r="B1503" s="78" t="s">
        <v>1626</v>
      </c>
      <c r="C1503" s="78" t="s">
        <v>1489</v>
      </c>
      <c r="D1503" s="78" t="s">
        <v>911</v>
      </c>
      <c r="E1503" s="78" t="s">
        <v>1620</v>
      </c>
      <c r="F1503" s="78" t="s">
        <v>1495</v>
      </c>
      <c r="G1503" s="78" t="s">
        <v>1513</v>
      </c>
      <c r="H1503" s="77"/>
      <c r="I1503" s="226"/>
      <c r="J1503" s="77"/>
      <c r="K1503" s="77"/>
      <c r="L1503" s="77"/>
      <c r="M1503" s="77"/>
      <c r="N1503" s="77"/>
      <c r="O1503" s="77"/>
      <c r="P1503" s="77"/>
      <c r="Q1503" s="77"/>
      <c r="R1503" s="77"/>
      <c r="S1503" s="77"/>
      <c r="T1503" s="77"/>
      <c r="U1503" s="77"/>
      <c r="V1503" s="77"/>
      <c r="W1503" s="77"/>
      <c r="X1503" s="77"/>
      <c r="Y1503" s="77"/>
      <c r="Z1503" s="77"/>
      <c r="AA1503" s="77"/>
      <c r="AB1503" s="77"/>
      <c r="AC1503" s="77"/>
      <c r="AD1503" s="77"/>
      <c r="AE1503" s="79"/>
    </row>
    <row r="1504" spans="1:31" x14ac:dyDescent="0.3">
      <c r="A1504" s="76"/>
      <c r="B1504" s="78" t="s">
        <v>1636</v>
      </c>
      <c r="C1504" s="78" t="s">
        <v>1499</v>
      </c>
      <c r="D1504" s="78" t="s">
        <v>158</v>
      </c>
      <c r="E1504" s="78" t="s">
        <v>1500</v>
      </c>
      <c r="F1504" s="78" t="s">
        <v>1501</v>
      </c>
      <c r="G1504" s="78" t="s">
        <v>1513</v>
      </c>
      <c r="H1504" s="77"/>
      <c r="I1504" s="226"/>
      <c r="J1504" s="77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7"/>
      <c r="AE1504" s="79"/>
    </row>
    <row r="1505" spans="1:31" x14ac:dyDescent="0.3">
      <c r="A1505" s="76"/>
      <c r="B1505" s="78" t="s">
        <v>1702</v>
      </c>
      <c r="C1505" s="78" t="s">
        <v>1493</v>
      </c>
      <c r="D1505" s="78" t="s">
        <v>912</v>
      </c>
      <c r="E1505" s="78" t="s">
        <v>1500</v>
      </c>
      <c r="F1505" s="78" t="s">
        <v>1501</v>
      </c>
      <c r="G1505" s="78" t="s">
        <v>1513</v>
      </c>
      <c r="H1505" s="77"/>
      <c r="I1505" s="226"/>
      <c r="J1505" s="77"/>
      <c r="K1505" s="77"/>
      <c r="L1505" s="77"/>
      <c r="M1505" s="77"/>
      <c r="N1505" s="77"/>
      <c r="O1505" s="77"/>
      <c r="P1505" s="77"/>
      <c r="Q1505" s="77"/>
      <c r="R1505" s="77"/>
      <c r="S1505" s="77"/>
      <c r="T1505" s="77"/>
      <c r="U1505" s="77"/>
      <c r="V1505" s="77"/>
      <c r="W1505" s="77"/>
      <c r="X1505" s="77"/>
      <c r="Y1505" s="77"/>
      <c r="Z1505" s="77"/>
      <c r="AA1505" s="77"/>
      <c r="AB1505" s="77"/>
      <c r="AC1505" s="77"/>
      <c r="AD1505" s="77"/>
      <c r="AE1505" s="79"/>
    </row>
    <row r="1506" spans="1:31" x14ac:dyDescent="0.3">
      <c r="A1506" s="76"/>
      <c r="B1506" s="78" t="s">
        <v>1572</v>
      </c>
      <c r="C1506" s="78" t="s">
        <v>1496</v>
      </c>
      <c r="D1506" s="78" t="s">
        <v>330</v>
      </c>
      <c r="E1506" s="78" t="s">
        <v>1545</v>
      </c>
      <c r="F1506" s="78" t="s">
        <v>1564</v>
      </c>
      <c r="G1506" s="78" t="s">
        <v>1513</v>
      </c>
      <c r="H1506" s="77"/>
      <c r="I1506" s="226"/>
      <c r="J1506" s="77"/>
      <c r="K1506" s="77"/>
      <c r="L1506" s="77"/>
      <c r="M1506" s="77"/>
      <c r="N1506" s="77"/>
      <c r="O1506" s="77"/>
      <c r="P1506" s="77"/>
      <c r="Q1506" s="77"/>
      <c r="R1506" s="77"/>
      <c r="S1506" s="77"/>
      <c r="T1506" s="77"/>
      <c r="U1506" s="77"/>
      <c r="V1506" s="77"/>
      <c r="W1506" s="77"/>
      <c r="X1506" s="77"/>
      <c r="Y1506" s="77"/>
      <c r="Z1506" s="77"/>
      <c r="AA1506" s="77"/>
      <c r="AB1506" s="77"/>
      <c r="AC1506" s="77"/>
      <c r="AD1506" s="77"/>
      <c r="AE1506" s="79"/>
    </row>
    <row r="1507" spans="1:31" ht="15" thickBot="1" x14ac:dyDescent="0.35">
      <c r="A1507" s="81"/>
      <c r="B1507" s="82" t="s">
        <v>1909</v>
      </c>
      <c r="C1507" s="82" t="s">
        <v>1493</v>
      </c>
      <c r="D1507" s="82" t="s">
        <v>364</v>
      </c>
      <c r="E1507" s="82" t="s">
        <v>1907</v>
      </c>
      <c r="F1507" s="82" t="s">
        <v>1565</v>
      </c>
      <c r="G1507" s="82" t="s">
        <v>1513</v>
      </c>
      <c r="H1507" s="83"/>
      <c r="I1507" s="226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  <c r="X1507" s="83"/>
      <c r="Y1507" s="83"/>
      <c r="Z1507" s="83"/>
      <c r="AA1507" s="83"/>
      <c r="AB1507" s="83"/>
      <c r="AC1507" s="83"/>
      <c r="AD1507" s="83"/>
      <c r="AE1507" s="84"/>
    </row>
    <row r="1508" spans="1:31" x14ac:dyDescent="0.3">
      <c r="A1508" s="72" t="s">
        <v>916</v>
      </c>
      <c r="B1508" s="73" t="s">
        <v>2135</v>
      </c>
      <c r="C1508" s="74" t="s">
        <v>1479</v>
      </c>
      <c r="D1508" s="74" t="s">
        <v>917</v>
      </c>
      <c r="E1508" s="74" t="s">
        <v>1480</v>
      </c>
      <c r="F1508" s="74"/>
      <c r="G1508" s="74" t="s">
        <v>1481</v>
      </c>
      <c r="H1508" s="73" t="s">
        <v>1482</v>
      </c>
      <c r="I1508" s="226"/>
      <c r="J1508" s="73" t="s">
        <v>915</v>
      </c>
      <c r="K1508" s="73">
        <v>132</v>
      </c>
      <c r="L1508" s="73" t="s">
        <v>195</v>
      </c>
      <c r="M1508" s="73" t="s">
        <v>1483</v>
      </c>
      <c r="N1508" s="73" t="s">
        <v>1483</v>
      </c>
      <c r="O1508" s="73" t="s">
        <v>1483</v>
      </c>
      <c r="P1508" s="73" t="s">
        <v>1483</v>
      </c>
      <c r="Q1508" s="73" t="s">
        <v>1483</v>
      </c>
      <c r="R1508" s="73" t="s">
        <v>1483</v>
      </c>
      <c r="S1508" s="73" t="s">
        <v>1484</v>
      </c>
      <c r="T1508" s="73" t="s">
        <v>1484</v>
      </c>
      <c r="U1508" s="73" t="s">
        <v>1484</v>
      </c>
      <c r="V1508" s="73" t="s">
        <v>1484</v>
      </c>
      <c r="W1508" s="73" t="s">
        <v>1485</v>
      </c>
      <c r="X1508" s="73" t="s">
        <v>1484</v>
      </c>
      <c r="Y1508" s="73" t="s">
        <v>1484</v>
      </c>
      <c r="Z1508" s="73" t="s">
        <v>1485</v>
      </c>
      <c r="AA1508" s="73" t="s">
        <v>1485</v>
      </c>
      <c r="AB1508" s="73" t="s">
        <v>1484</v>
      </c>
      <c r="AC1508" s="73" t="s">
        <v>1486</v>
      </c>
      <c r="AD1508" s="73" t="s">
        <v>1487</v>
      </c>
      <c r="AE1508" s="75" t="s">
        <v>1488</v>
      </c>
    </row>
    <row r="1509" spans="1:31" x14ac:dyDescent="0.3">
      <c r="A1509" s="76"/>
      <c r="B1509" s="77"/>
      <c r="C1509" s="78" t="s">
        <v>1499</v>
      </c>
      <c r="D1509" s="78" t="s">
        <v>510</v>
      </c>
      <c r="E1509" s="78" t="s">
        <v>1620</v>
      </c>
      <c r="F1509" s="78" t="s">
        <v>1495</v>
      </c>
      <c r="G1509" s="78" t="s">
        <v>1492</v>
      </c>
      <c r="H1509" s="77"/>
      <c r="I1509" s="226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  <c r="AA1509" s="77"/>
      <c r="AB1509" s="77"/>
      <c r="AC1509" s="77"/>
      <c r="AD1509" s="77"/>
      <c r="AE1509" s="79"/>
    </row>
    <row r="1510" spans="1:31" ht="15" thickBot="1" x14ac:dyDescent="0.35">
      <c r="A1510" s="76"/>
      <c r="B1510" s="77"/>
      <c r="C1510" s="78" t="s">
        <v>1502</v>
      </c>
      <c r="D1510" s="78" t="s">
        <v>918</v>
      </c>
      <c r="E1510" s="78" t="s">
        <v>1500</v>
      </c>
      <c r="F1510" s="78" t="s">
        <v>1501</v>
      </c>
      <c r="G1510" s="78" t="s">
        <v>1492</v>
      </c>
      <c r="H1510" s="77"/>
      <c r="I1510" s="227"/>
      <c r="J1510" s="77"/>
      <c r="K1510" s="77"/>
      <c r="L1510" s="77"/>
      <c r="M1510" s="77"/>
      <c r="N1510" s="77"/>
      <c r="O1510" s="77"/>
      <c r="P1510" s="77"/>
      <c r="Q1510" s="77"/>
      <c r="R1510" s="77"/>
      <c r="S1510" s="77"/>
      <c r="T1510" s="77"/>
      <c r="U1510" s="77"/>
      <c r="V1510" s="77"/>
      <c r="W1510" s="77"/>
      <c r="X1510" s="77"/>
      <c r="Y1510" s="77"/>
      <c r="Z1510" s="77"/>
      <c r="AA1510" s="77"/>
      <c r="AB1510" s="77"/>
      <c r="AC1510" s="77"/>
      <c r="AD1510" s="77"/>
      <c r="AE1510" s="79"/>
    </row>
    <row r="1511" spans="1:31" x14ac:dyDescent="0.3">
      <c r="A1511" s="76"/>
      <c r="B1511" s="77"/>
      <c r="C1511" s="78" t="s">
        <v>1504</v>
      </c>
      <c r="D1511" s="78" t="s">
        <v>311</v>
      </c>
      <c r="E1511" s="78" t="s">
        <v>1545</v>
      </c>
      <c r="F1511" s="78" t="s">
        <v>1619</v>
      </c>
      <c r="G1511" s="78" t="s">
        <v>1492</v>
      </c>
      <c r="H1511" s="77"/>
      <c r="I1511" s="225" t="s">
        <v>1485</v>
      </c>
      <c r="J1511" s="77"/>
      <c r="K1511" s="77"/>
      <c r="L1511" s="77"/>
      <c r="M1511" s="77"/>
      <c r="N1511" s="77"/>
      <c r="O1511" s="77"/>
      <c r="P1511" s="77"/>
      <c r="Q1511" s="77"/>
      <c r="R1511" s="77"/>
      <c r="S1511" s="77"/>
      <c r="T1511" s="77"/>
      <c r="U1511" s="77"/>
      <c r="V1511" s="77"/>
      <c r="W1511" s="77"/>
      <c r="X1511" s="77"/>
      <c r="Y1511" s="77"/>
      <c r="Z1511" s="77"/>
      <c r="AA1511" s="77"/>
      <c r="AB1511" s="77"/>
      <c r="AC1511" s="77"/>
      <c r="AD1511" s="77"/>
      <c r="AE1511" s="79"/>
    </row>
    <row r="1512" spans="1:31" x14ac:dyDescent="0.3">
      <c r="A1512" s="76"/>
      <c r="B1512" s="80"/>
      <c r="C1512" s="78" t="s">
        <v>1507</v>
      </c>
      <c r="D1512" s="78" t="s">
        <v>858</v>
      </c>
      <c r="E1512" s="78" t="s">
        <v>1497</v>
      </c>
      <c r="F1512" s="78" t="s">
        <v>1498</v>
      </c>
      <c r="G1512" s="78" t="s">
        <v>1492</v>
      </c>
      <c r="H1512" s="77"/>
      <c r="I1512" s="226"/>
      <c r="J1512" s="77"/>
      <c r="K1512" s="77"/>
      <c r="L1512" s="77"/>
      <c r="M1512" s="77"/>
      <c r="N1512" s="77"/>
      <c r="O1512" s="77"/>
      <c r="P1512" s="77"/>
      <c r="Q1512" s="77"/>
      <c r="R1512" s="77"/>
      <c r="S1512" s="77"/>
      <c r="T1512" s="77"/>
      <c r="U1512" s="77"/>
      <c r="V1512" s="77"/>
      <c r="W1512" s="77"/>
      <c r="X1512" s="77"/>
      <c r="Y1512" s="77"/>
      <c r="Z1512" s="77"/>
      <c r="AA1512" s="77"/>
      <c r="AB1512" s="77"/>
      <c r="AC1512" s="77"/>
      <c r="AD1512" s="77"/>
      <c r="AE1512" s="79"/>
    </row>
    <row r="1513" spans="1:31" ht="15" thickBot="1" x14ac:dyDescent="0.35">
      <c r="A1513" s="76"/>
      <c r="B1513" s="78" t="s">
        <v>1485</v>
      </c>
      <c r="C1513" s="78" t="s">
        <v>1485</v>
      </c>
      <c r="D1513" s="78" t="s">
        <v>2136</v>
      </c>
      <c r="E1513" s="78" t="s">
        <v>1548</v>
      </c>
      <c r="F1513" s="78" t="s">
        <v>1512</v>
      </c>
      <c r="G1513" s="78" t="s">
        <v>1513</v>
      </c>
      <c r="H1513" s="77"/>
      <c r="I1513" s="227"/>
      <c r="J1513" s="77"/>
      <c r="K1513" s="77"/>
      <c r="L1513" s="77"/>
      <c r="M1513" s="77"/>
      <c r="N1513" s="77"/>
      <c r="O1513" s="77"/>
      <c r="P1513" s="77"/>
      <c r="Q1513" s="77"/>
      <c r="R1513" s="77"/>
      <c r="S1513" s="77"/>
      <c r="T1513" s="77"/>
      <c r="U1513" s="77"/>
      <c r="V1513" s="77"/>
      <c r="W1513" s="77"/>
      <c r="X1513" s="77"/>
      <c r="Y1513" s="77"/>
      <c r="Z1513" s="77"/>
      <c r="AA1513" s="77"/>
      <c r="AB1513" s="77"/>
      <c r="AC1513" s="77"/>
      <c r="AD1513" s="77"/>
      <c r="AE1513" s="79"/>
    </row>
    <row r="1514" spans="1:31" x14ac:dyDescent="0.3">
      <c r="A1514" s="76"/>
      <c r="B1514" s="78" t="s">
        <v>1485</v>
      </c>
      <c r="C1514" s="78" t="s">
        <v>1485</v>
      </c>
      <c r="D1514" s="78" t="s">
        <v>2137</v>
      </c>
      <c r="E1514" s="78" t="s">
        <v>1534</v>
      </c>
      <c r="F1514" s="78" t="s">
        <v>1535</v>
      </c>
      <c r="G1514" s="78" t="s">
        <v>1513</v>
      </c>
      <c r="H1514" s="77"/>
      <c r="I1514" s="225" t="s">
        <v>1485</v>
      </c>
      <c r="J1514" s="77"/>
      <c r="K1514" s="77"/>
      <c r="L1514" s="77"/>
      <c r="M1514" s="77"/>
      <c r="N1514" s="77"/>
      <c r="O1514" s="77"/>
      <c r="P1514" s="77"/>
      <c r="Q1514" s="77"/>
      <c r="R1514" s="77"/>
      <c r="S1514" s="77"/>
      <c r="T1514" s="77"/>
      <c r="U1514" s="77"/>
      <c r="V1514" s="77"/>
      <c r="W1514" s="77"/>
      <c r="X1514" s="77"/>
      <c r="Y1514" s="77"/>
      <c r="Z1514" s="77"/>
      <c r="AA1514" s="77"/>
      <c r="AB1514" s="77"/>
      <c r="AC1514" s="77"/>
      <c r="AD1514" s="77"/>
      <c r="AE1514" s="79"/>
    </row>
    <row r="1515" spans="1:31" x14ac:dyDescent="0.3">
      <c r="A1515" s="76"/>
      <c r="B1515" s="78" t="s">
        <v>1891</v>
      </c>
      <c r="C1515" s="78" t="s">
        <v>1493</v>
      </c>
      <c r="D1515" s="78" t="s">
        <v>334</v>
      </c>
      <c r="E1515" s="78" t="s">
        <v>1480</v>
      </c>
      <c r="F1515" s="78" t="s">
        <v>1518</v>
      </c>
      <c r="G1515" s="78" t="s">
        <v>1513</v>
      </c>
      <c r="H1515" s="77"/>
      <c r="I1515" s="226"/>
      <c r="J1515" s="77"/>
      <c r="K1515" s="77"/>
      <c r="L1515" s="77"/>
      <c r="M1515" s="77"/>
      <c r="N1515" s="77"/>
      <c r="O1515" s="77"/>
      <c r="P1515" s="77"/>
      <c r="Q1515" s="77"/>
      <c r="R1515" s="77"/>
      <c r="S1515" s="77"/>
      <c r="T1515" s="77"/>
      <c r="U1515" s="77"/>
      <c r="V1515" s="77"/>
      <c r="W1515" s="77"/>
      <c r="X1515" s="77"/>
      <c r="Y1515" s="77"/>
      <c r="Z1515" s="77"/>
      <c r="AA1515" s="77"/>
      <c r="AB1515" s="77"/>
      <c r="AC1515" s="77"/>
      <c r="AD1515" s="77"/>
      <c r="AE1515" s="79"/>
    </row>
    <row r="1516" spans="1:31" x14ac:dyDescent="0.3">
      <c r="A1516" s="76"/>
      <c r="B1516" s="78" t="s">
        <v>1752</v>
      </c>
      <c r="C1516" s="78" t="s">
        <v>1496</v>
      </c>
      <c r="D1516" s="78" t="s">
        <v>510</v>
      </c>
      <c r="E1516" s="78" t="s">
        <v>1620</v>
      </c>
      <c r="F1516" s="78" t="s">
        <v>1495</v>
      </c>
      <c r="G1516" s="78" t="s">
        <v>1513</v>
      </c>
      <c r="H1516" s="77"/>
      <c r="I1516" s="226"/>
      <c r="J1516" s="77"/>
      <c r="K1516" s="77"/>
      <c r="L1516" s="77"/>
      <c r="M1516" s="77"/>
      <c r="N1516" s="77"/>
      <c r="O1516" s="77"/>
      <c r="P1516" s="77"/>
      <c r="Q1516" s="77"/>
      <c r="R1516" s="77"/>
      <c r="S1516" s="77"/>
      <c r="T1516" s="77"/>
      <c r="U1516" s="77"/>
      <c r="V1516" s="77"/>
      <c r="W1516" s="77"/>
      <c r="X1516" s="77"/>
      <c r="Y1516" s="77"/>
      <c r="Z1516" s="77"/>
      <c r="AA1516" s="77"/>
      <c r="AB1516" s="77"/>
      <c r="AC1516" s="77"/>
      <c r="AD1516" s="77"/>
      <c r="AE1516" s="79"/>
    </row>
    <row r="1517" spans="1:31" x14ac:dyDescent="0.3">
      <c r="A1517" s="76"/>
      <c r="B1517" s="78" t="s">
        <v>1692</v>
      </c>
      <c r="C1517" s="78" t="s">
        <v>1493</v>
      </c>
      <c r="D1517" s="78" t="s">
        <v>918</v>
      </c>
      <c r="E1517" s="78" t="s">
        <v>1500</v>
      </c>
      <c r="F1517" s="78" t="s">
        <v>1501</v>
      </c>
      <c r="G1517" s="78" t="s">
        <v>1513</v>
      </c>
      <c r="H1517" s="77"/>
      <c r="I1517" s="226"/>
      <c r="J1517" s="77"/>
      <c r="K1517" s="77"/>
      <c r="L1517" s="77"/>
      <c r="M1517" s="77"/>
      <c r="N1517" s="77"/>
      <c r="O1517" s="77"/>
      <c r="P1517" s="77"/>
      <c r="Q1517" s="77"/>
      <c r="R1517" s="77"/>
      <c r="S1517" s="77"/>
      <c r="T1517" s="77"/>
      <c r="U1517" s="77"/>
      <c r="V1517" s="77"/>
      <c r="W1517" s="77"/>
      <c r="X1517" s="77"/>
      <c r="Y1517" s="77"/>
      <c r="Z1517" s="77"/>
      <c r="AA1517" s="77"/>
      <c r="AB1517" s="77"/>
      <c r="AC1517" s="77"/>
      <c r="AD1517" s="77"/>
      <c r="AE1517" s="79"/>
    </row>
    <row r="1518" spans="1:31" x14ac:dyDescent="0.3">
      <c r="A1518" s="76"/>
      <c r="B1518" s="78" t="s">
        <v>1912</v>
      </c>
      <c r="C1518" s="78" t="s">
        <v>1493</v>
      </c>
      <c r="D1518" s="78" t="s">
        <v>375</v>
      </c>
      <c r="E1518" s="78" t="s">
        <v>1907</v>
      </c>
      <c r="F1518" s="78" t="s">
        <v>1558</v>
      </c>
      <c r="G1518" s="78" t="s">
        <v>1513</v>
      </c>
      <c r="H1518" s="77"/>
      <c r="I1518" s="226"/>
      <c r="J1518" s="77"/>
      <c r="K1518" s="77"/>
      <c r="L1518" s="77"/>
      <c r="M1518" s="77"/>
      <c r="N1518" s="77"/>
      <c r="O1518" s="77"/>
      <c r="P1518" s="77"/>
      <c r="Q1518" s="77"/>
      <c r="R1518" s="77"/>
      <c r="S1518" s="77"/>
      <c r="T1518" s="77"/>
      <c r="U1518" s="77"/>
      <c r="V1518" s="77"/>
      <c r="W1518" s="77"/>
      <c r="X1518" s="77"/>
      <c r="Y1518" s="77"/>
      <c r="Z1518" s="77"/>
      <c r="AA1518" s="77"/>
      <c r="AB1518" s="77"/>
      <c r="AC1518" s="77"/>
      <c r="AD1518" s="77"/>
      <c r="AE1518" s="79"/>
    </row>
    <row r="1519" spans="1:31" ht="15" thickBot="1" x14ac:dyDescent="0.35">
      <c r="A1519" s="81"/>
      <c r="B1519" s="82" t="s">
        <v>2080</v>
      </c>
      <c r="C1519" s="82" t="s">
        <v>1496</v>
      </c>
      <c r="D1519" s="82" t="s">
        <v>311</v>
      </c>
      <c r="E1519" s="82" t="s">
        <v>1545</v>
      </c>
      <c r="F1519" s="82" t="s">
        <v>1619</v>
      </c>
      <c r="G1519" s="82" t="s">
        <v>1513</v>
      </c>
      <c r="H1519" s="83"/>
      <c r="I1519" s="226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  <c r="X1519" s="83"/>
      <c r="Y1519" s="83"/>
      <c r="Z1519" s="83"/>
      <c r="AA1519" s="83"/>
      <c r="AB1519" s="83"/>
      <c r="AC1519" s="83"/>
      <c r="AD1519" s="83"/>
      <c r="AE1519" s="84"/>
    </row>
    <row r="1520" spans="1:31" x14ac:dyDescent="0.3">
      <c r="A1520" s="72" t="s">
        <v>928</v>
      </c>
      <c r="B1520" s="73" t="s">
        <v>2138</v>
      </c>
      <c r="C1520" s="74" t="s">
        <v>1479</v>
      </c>
      <c r="D1520" s="74" t="s">
        <v>929</v>
      </c>
      <c r="E1520" s="74" t="s">
        <v>1480</v>
      </c>
      <c r="F1520" s="74"/>
      <c r="G1520" s="74" t="s">
        <v>1481</v>
      </c>
      <c r="H1520" s="73" t="s">
        <v>1482</v>
      </c>
      <c r="I1520" s="226"/>
      <c r="J1520" s="73" t="s">
        <v>927</v>
      </c>
      <c r="K1520" s="73">
        <v>134</v>
      </c>
      <c r="L1520" s="73" t="s">
        <v>195</v>
      </c>
      <c r="M1520" s="73" t="s">
        <v>1483</v>
      </c>
      <c r="N1520" s="73" t="s">
        <v>1483</v>
      </c>
      <c r="O1520" s="73" t="s">
        <v>1483</v>
      </c>
      <c r="P1520" s="73" t="s">
        <v>1483</v>
      </c>
      <c r="Q1520" s="73" t="s">
        <v>1483</v>
      </c>
      <c r="R1520" s="73" t="s">
        <v>1483</v>
      </c>
      <c r="S1520" s="73" t="s">
        <v>1484</v>
      </c>
      <c r="T1520" s="73" t="s">
        <v>1484</v>
      </c>
      <c r="U1520" s="73" t="s">
        <v>1484</v>
      </c>
      <c r="V1520" s="73" t="s">
        <v>1484</v>
      </c>
      <c r="W1520" s="73" t="s">
        <v>1485</v>
      </c>
      <c r="X1520" s="73" t="s">
        <v>1484</v>
      </c>
      <c r="Y1520" s="73" t="s">
        <v>1484</v>
      </c>
      <c r="Z1520" s="73" t="s">
        <v>1485</v>
      </c>
      <c r="AA1520" s="73" t="s">
        <v>1485</v>
      </c>
      <c r="AB1520" s="73" t="s">
        <v>1484</v>
      </c>
      <c r="AC1520" s="73" t="s">
        <v>1486</v>
      </c>
      <c r="AD1520" s="73" t="s">
        <v>1487</v>
      </c>
      <c r="AE1520" s="75" t="s">
        <v>1488</v>
      </c>
    </row>
    <row r="1521" spans="1:31" x14ac:dyDescent="0.3">
      <c r="A1521" s="76"/>
      <c r="B1521" s="77"/>
      <c r="C1521" s="78" t="s">
        <v>1489</v>
      </c>
      <c r="D1521" s="78" t="s">
        <v>564</v>
      </c>
      <c r="E1521" s="78" t="s">
        <v>1924</v>
      </c>
      <c r="F1521" s="78" t="s">
        <v>1565</v>
      </c>
      <c r="G1521" s="78" t="s">
        <v>1492</v>
      </c>
      <c r="H1521" s="77"/>
      <c r="I1521" s="226"/>
      <c r="J1521" s="77"/>
      <c r="K1521" s="77"/>
      <c r="L1521" s="77"/>
      <c r="M1521" s="77"/>
      <c r="N1521" s="77"/>
      <c r="O1521" s="77"/>
      <c r="P1521" s="77"/>
      <c r="Q1521" s="77"/>
      <c r="R1521" s="77"/>
      <c r="S1521" s="77"/>
      <c r="T1521" s="77"/>
      <c r="U1521" s="77"/>
      <c r="V1521" s="77"/>
      <c r="W1521" s="77"/>
      <c r="X1521" s="77"/>
      <c r="Y1521" s="77"/>
      <c r="Z1521" s="77"/>
      <c r="AA1521" s="77"/>
      <c r="AB1521" s="77"/>
      <c r="AC1521" s="77"/>
      <c r="AD1521" s="77"/>
      <c r="AE1521" s="79"/>
    </row>
    <row r="1522" spans="1:31" x14ac:dyDescent="0.3">
      <c r="A1522" s="76"/>
      <c r="B1522" s="77"/>
      <c r="C1522" s="78" t="s">
        <v>1499</v>
      </c>
      <c r="D1522" s="78" t="s">
        <v>29</v>
      </c>
      <c r="E1522" s="78" t="s">
        <v>1620</v>
      </c>
      <c r="F1522" s="78" t="s">
        <v>1495</v>
      </c>
      <c r="G1522" s="78" t="s">
        <v>1492</v>
      </c>
      <c r="H1522" s="77"/>
      <c r="I1522" s="226"/>
      <c r="J1522" s="77"/>
      <c r="K1522" s="77"/>
      <c r="L1522" s="77"/>
      <c r="M1522" s="77"/>
      <c r="N1522" s="77"/>
      <c r="O1522" s="77"/>
      <c r="P1522" s="77"/>
      <c r="Q1522" s="77"/>
      <c r="R1522" s="77"/>
      <c r="S1522" s="77"/>
      <c r="T1522" s="77"/>
      <c r="U1522" s="77"/>
      <c r="V1522" s="77"/>
      <c r="W1522" s="77"/>
      <c r="X1522" s="77"/>
      <c r="Y1522" s="77"/>
      <c r="Z1522" s="77"/>
      <c r="AA1522" s="77"/>
      <c r="AB1522" s="77"/>
      <c r="AC1522" s="77"/>
      <c r="AD1522" s="77"/>
      <c r="AE1522" s="79"/>
    </row>
    <row r="1523" spans="1:31" x14ac:dyDescent="0.3">
      <c r="A1523" s="76"/>
      <c r="B1523" s="77"/>
      <c r="C1523" s="78" t="s">
        <v>1502</v>
      </c>
      <c r="D1523" s="78" t="s">
        <v>832</v>
      </c>
      <c r="E1523" s="78" t="s">
        <v>1497</v>
      </c>
      <c r="F1523" s="78" t="s">
        <v>1498</v>
      </c>
      <c r="G1523" s="78" t="s">
        <v>1492</v>
      </c>
      <c r="H1523" s="77"/>
      <c r="I1523" s="226"/>
      <c r="J1523" s="77"/>
      <c r="K1523" s="77"/>
      <c r="L1523" s="77"/>
      <c r="M1523" s="77"/>
      <c r="N1523" s="77"/>
      <c r="O1523" s="77"/>
      <c r="P1523" s="77"/>
      <c r="Q1523" s="77"/>
      <c r="R1523" s="77"/>
      <c r="S1523" s="77"/>
      <c r="T1523" s="77"/>
      <c r="U1523" s="77"/>
      <c r="V1523" s="77"/>
      <c r="W1523" s="77"/>
      <c r="X1523" s="77"/>
      <c r="Y1523" s="77"/>
      <c r="Z1523" s="77"/>
      <c r="AA1523" s="77"/>
      <c r="AB1523" s="77"/>
      <c r="AC1523" s="77"/>
      <c r="AD1523" s="77"/>
      <c r="AE1523" s="79"/>
    </row>
    <row r="1524" spans="1:31" x14ac:dyDescent="0.3">
      <c r="A1524" s="76"/>
      <c r="B1524" s="80"/>
      <c r="C1524" s="78" t="s">
        <v>1504</v>
      </c>
      <c r="D1524" s="78" t="s">
        <v>340</v>
      </c>
      <c r="E1524" s="78" t="s">
        <v>1545</v>
      </c>
      <c r="F1524" s="78" t="s">
        <v>1546</v>
      </c>
      <c r="G1524" s="78" t="s">
        <v>1492</v>
      </c>
      <c r="H1524" s="77"/>
      <c r="I1524" s="226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U1524" s="77"/>
      <c r="V1524" s="77"/>
      <c r="W1524" s="77"/>
      <c r="X1524" s="77"/>
      <c r="Y1524" s="77"/>
      <c r="Z1524" s="77"/>
      <c r="AA1524" s="77"/>
      <c r="AB1524" s="77"/>
      <c r="AC1524" s="77"/>
      <c r="AD1524" s="77"/>
      <c r="AE1524" s="79"/>
    </row>
    <row r="1525" spans="1:31" x14ac:dyDescent="0.3">
      <c r="A1525" s="76"/>
      <c r="B1525" s="78" t="s">
        <v>1485</v>
      </c>
      <c r="C1525" s="78" t="s">
        <v>1485</v>
      </c>
      <c r="D1525" s="78" t="s">
        <v>930</v>
      </c>
      <c r="E1525" s="78" t="s">
        <v>1548</v>
      </c>
      <c r="F1525" s="78" t="s">
        <v>1512</v>
      </c>
      <c r="G1525" s="78" t="s">
        <v>1513</v>
      </c>
      <c r="H1525" s="77"/>
      <c r="I1525" s="226"/>
      <c r="J1525" s="77"/>
      <c r="K1525" s="77"/>
      <c r="L1525" s="77"/>
      <c r="M1525" s="77"/>
      <c r="N1525" s="77"/>
      <c r="O1525" s="77"/>
      <c r="P1525" s="77"/>
      <c r="Q1525" s="77"/>
      <c r="R1525" s="77"/>
      <c r="S1525" s="77"/>
      <c r="T1525" s="77"/>
      <c r="U1525" s="77"/>
      <c r="V1525" s="77"/>
      <c r="W1525" s="77"/>
      <c r="X1525" s="77"/>
      <c r="Y1525" s="77"/>
      <c r="Z1525" s="77"/>
      <c r="AA1525" s="77"/>
      <c r="AB1525" s="77"/>
      <c r="AC1525" s="77"/>
      <c r="AD1525" s="77"/>
      <c r="AE1525" s="79"/>
    </row>
    <row r="1526" spans="1:31" x14ac:dyDescent="0.3">
      <c r="A1526" s="76"/>
      <c r="B1526" s="78" t="s">
        <v>1896</v>
      </c>
      <c r="C1526" s="78" t="s">
        <v>1496</v>
      </c>
      <c r="D1526" s="78" t="s">
        <v>304</v>
      </c>
      <c r="E1526" s="78" t="s">
        <v>1480</v>
      </c>
      <c r="F1526" s="78" t="s">
        <v>1518</v>
      </c>
      <c r="G1526" s="78" t="s">
        <v>1513</v>
      </c>
      <c r="H1526" s="77"/>
      <c r="I1526" s="226"/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  <c r="AA1526" s="77"/>
      <c r="AB1526" s="77"/>
      <c r="AC1526" s="77"/>
      <c r="AD1526" s="77"/>
      <c r="AE1526" s="79"/>
    </row>
    <row r="1527" spans="1:31" x14ac:dyDescent="0.3">
      <c r="A1527" s="76"/>
      <c r="B1527" s="78" t="s">
        <v>1715</v>
      </c>
      <c r="C1527" s="78" t="s">
        <v>1499</v>
      </c>
      <c r="D1527" s="78" t="s">
        <v>29</v>
      </c>
      <c r="E1527" s="78" t="s">
        <v>1620</v>
      </c>
      <c r="F1527" s="78" t="s">
        <v>1495</v>
      </c>
      <c r="G1527" s="78" t="s">
        <v>1513</v>
      </c>
      <c r="H1527" s="77"/>
      <c r="I1527" s="226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7"/>
      <c r="AE1527" s="79"/>
    </row>
    <row r="1528" spans="1:31" ht="15" thickBot="1" x14ac:dyDescent="0.35">
      <c r="A1528" s="76"/>
      <c r="B1528" s="78" t="s">
        <v>1561</v>
      </c>
      <c r="C1528" s="78" t="s">
        <v>1496</v>
      </c>
      <c r="D1528" s="78" t="s">
        <v>340</v>
      </c>
      <c r="E1528" s="78" t="s">
        <v>1545</v>
      </c>
      <c r="F1528" s="78" t="s">
        <v>1546</v>
      </c>
      <c r="G1528" s="78" t="s">
        <v>1513</v>
      </c>
      <c r="H1528" s="77"/>
      <c r="I1528" s="227"/>
      <c r="J1528" s="77"/>
      <c r="K1528" s="77"/>
      <c r="L1528" s="77"/>
      <c r="M1528" s="77"/>
      <c r="N1528" s="77"/>
      <c r="O1528" s="77"/>
      <c r="P1528" s="77"/>
      <c r="Q1528" s="77"/>
      <c r="R1528" s="77"/>
      <c r="S1528" s="77"/>
      <c r="T1528" s="77"/>
      <c r="U1528" s="77"/>
      <c r="V1528" s="77"/>
      <c r="W1528" s="77"/>
      <c r="X1528" s="77"/>
      <c r="Y1528" s="77"/>
      <c r="Z1528" s="77"/>
      <c r="AA1528" s="77"/>
      <c r="AB1528" s="77"/>
      <c r="AC1528" s="77"/>
      <c r="AD1528" s="77"/>
      <c r="AE1528" s="79"/>
    </row>
    <row r="1529" spans="1:31" ht="15" thickBot="1" x14ac:dyDescent="0.35">
      <c r="A1529" s="81"/>
      <c r="B1529" s="82" t="s">
        <v>1927</v>
      </c>
      <c r="C1529" s="82" t="s">
        <v>1493</v>
      </c>
      <c r="D1529" s="82" t="s">
        <v>564</v>
      </c>
      <c r="E1529" s="82" t="s">
        <v>1924</v>
      </c>
      <c r="F1529" s="82" t="s">
        <v>1565</v>
      </c>
      <c r="G1529" s="82" t="s">
        <v>1513</v>
      </c>
      <c r="H1529" s="83"/>
      <c r="I1529" s="225" t="s">
        <v>1485</v>
      </c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  <c r="X1529" s="83"/>
      <c r="Y1529" s="83"/>
      <c r="Z1529" s="83"/>
      <c r="AA1529" s="83"/>
      <c r="AB1529" s="83"/>
      <c r="AC1529" s="83"/>
      <c r="AD1529" s="83"/>
      <c r="AE1529" s="84"/>
    </row>
    <row r="1530" spans="1:31" x14ac:dyDescent="0.3">
      <c r="A1530" s="72" t="s">
        <v>940</v>
      </c>
      <c r="B1530" s="73" t="s">
        <v>2139</v>
      </c>
      <c r="C1530" s="74" t="s">
        <v>1479</v>
      </c>
      <c r="D1530" s="74" t="s">
        <v>941</v>
      </c>
      <c r="E1530" s="74" t="s">
        <v>1480</v>
      </c>
      <c r="F1530" s="74"/>
      <c r="G1530" s="74" t="s">
        <v>1481</v>
      </c>
      <c r="H1530" s="73" t="s">
        <v>1482</v>
      </c>
      <c r="I1530" s="226"/>
      <c r="J1530" s="73" t="s">
        <v>939</v>
      </c>
      <c r="K1530" s="73">
        <v>136</v>
      </c>
      <c r="L1530" s="73" t="s">
        <v>195</v>
      </c>
      <c r="M1530" s="73" t="s">
        <v>1483</v>
      </c>
      <c r="N1530" s="73" t="s">
        <v>1483</v>
      </c>
      <c r="O1530" s="73" t="s">
        <v>1483</v>
      </c>
      <c r="P1530" s="73" t="s">
        <v>1483</v>
      </c>
      <c r="Q1530" s="73" t="s">
        <v>1483</v>
      </c>
      <c r="R1530" s="73" t="s">
        <v>1483</v>
      </c>
      <c r="S1530" s="73" t="s">
        <v>1484</v>
      </c>
      <c r="T1530" s="73" t="s">
        <v>1484</v>
      </c>
      <c r="U1530" s="73" t="s">
        <v>1484</v>
      </c>
      <c r="V1530" s="73" t="s">
        <v>1484</v>
      </c>
      <c r="W1530" s="73" t="s">
        <v>1485</v>
      </c>
      <c r="X1530" s="73" t="s">
        <v>1484</v>
      </c>
      <c r="Y1530" s="73" t="s">
        <v>1484</v>
      </c>
      <c r="Z1530" s="73" t="s">
        <v>1485</v>
      </c>
      <c r="AA1530" s="73" t="s">
        <v>1485</v>
      </c>
      <c r="AB1530" s="73" t="s">
        <v>1484</v>
      </c>
      <c r="AC1530" s="73" t="s">
        <v>1486</v>
      </c>
      <c r="AD1530" s="73" t="s">
        <v>1487</v>
      </c>
      <c r="AE1530" s="75" t="s">
        <v>1488</v>
      </c>
    </row>
    <row r="1531" spans="1:31" x14ac:dyDescent="0.3">
      <c r="A1531" s="76"/>
      <c r="B1531" s="77"/>
      <c r="C1531" s="78" t="s">
        <v>1499</v>
      </c>
      <c r="D1531" s="78" t="s">
        <v>187</v>
      </c>
      <c r="E1531" s="78" t="s">
        <v>1620</v>
      </c>
      <c r="F1531" s="78" t="s">
        <v>1495</v>
      </c>
      <c r="G1531" s="78" t="s">
        <v>1492</v>
      </c>
      <c r="H1531" s="77"/>
      <c r="I1531" s="226"/>
      <c r="J1531" s="77"/>
      <c r="K1531" s="77"/>
      <c r="L1531" s="77"/>
      <c r="M1531" s="77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  <c r="AA1531" s="77"/>
      <c r="AB1531" s="77"/>
      <c r="AC1531" s="77"/>
      <c r="AD1531" s="77"/>
      <c r="AE1531" s="79"/>
    </row>
    <row r="1532" spans="1:31" x14ac:dyDescent="0.3">
      <c r="A1532" s="76"/>
      <c r="B1532" s="77"/>
      <c r="C1532" s="78" t="s">
        <v>1502</v>
      </c>
      <c r="D1532" s="78" t="s">
        <v>826</v>
      </c>
      <c r="E1532" s="78" t="s">
        <v>1497</v>
      </c>
      <c r="F1532" s="78" t="s">
        <v>1498</v>
      </c>
      <c r="G1532" s="78" t="s">
        <v>1492</v>
      </c>
      <c r="H1532" s="77"/>
      <c r="I1532" s="226"/>
      <c r="J1532" s="77"/>
      <c r="K1532" s="77"/>
      <c r="L1532" s="77"/>
      <c r="M1532" s="77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  <c r="AA1532" s="77"/>
      <c r="AB1532" s="77"/>
      <c r="AC1532" s="77"/>
      <c r="AD1532" s="77"/>
      <c r="AE1532" s="79"/>
    </row>
    <row r="1533" spans="1:31" x14ac:dyDescent="0.3">
      <c r="A1533" s="76"/>
      <c r="B1533" s="80"/>
      <c r="C1533" s="78" t="s">
        <v>1504</v>
      </c>
      <c r="D1533" s="78" t="s">
        <v>942</v>
      </c>
      <c r="E1533" s="78" t="s">
        <v>1545</v>
      </c>
      <c r="F1533" s="78" t="s">
        <v>1491</v>
      </c>
      <c r="G1533" s="78" t="s">
        <v>1492</v>
      </c>
      <c r="H1533" s="85"/>
      <c r="I1533" s="226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  <c r="AA1533" s="77"/>
      <c r="AB1533" s="77"/>
      <c r="AC1533" s="77"/>
      <c r="AD1533" s="77"/>
      <c r="AE1533" s="79"/>
    </row>
    <row r="1534" spans="1:31" x14ac:dyDescent="0.3">
      <c r="A1534" s="76"/>
      <c r="B1534" s="78" t="s">
        <v>1485</v>
      </c>
      <c r="C1534" s="78" t="s">
        <v>1485</v>
      </c>
      <c r="D1534" s="78" t="s">
        <v>2140</v>
      </c>
      <c r="E1534" s="78" t="s">
        <v>1548</v>
      </c>
      <c r="F1534" s="78" t="s">
        <v>1512</v>
      </c>
      <c r="G1534" s="78" t="s">
        <v>1513</v>
      </c>
      <c r="H1534" s="85"/>
      <c r="I1534" s="226"/>
      <c r="J1534" s="77"/>
      <c r="K1534" s="77"/>
      <c r="L1534" s="77"/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  <c r="AA1534" s="77"/>
      <c r="AB1534" s="77"/>
      <c r="AC1534" s="77"/>
      <c r="AD1534" s="77"/>
      <c r="AE1534" s="79"/>
    </row>
    <row r="1535" spans="1:31" x14ac:dyDescent="0.3">
      <c r="A1535" s="76"/>
      <c r="B1535" s="78" t="s">
        <v>1485</v>
      </c>
      <c r="C1535" s="78" t="s">
        <v>1485</v>
      </c>
      <c r="D1535" s="78" t="s">
        <v>2141</v>
      </c>
      <c r="E1535" s="78" t="s">
        <v>1534</v>
      </c>
      <c r="F1535" s="78" t="s">
        <v>1535</v>
      </c>
      <c r="G1535" s="78" t="s">
        <v>1513</v>
      </c>
      <c r="H1535" s="77"/>
      <c r="I1535" s="226"/>
      <c r="J1535" s="77"/>
      <c r="K1535" s="77"/>
      <c r="L1535" s="77"/>
      <c r="M1535" s="77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  <c r="AA1535" s="77"/>
      <c r="AB1535" s="77"/>
      <c r="AC1535" s="77"/>
      <c r="AD1535" s="77"/>
      <c r="AE1535" s="79"/>
    </row>
    <row r="1536" spans="1:31" x14ac:dyDescent="0.3">
      <c r="A1536" s="76"/>
      <c r="B1536" s="78" t="s">
        <v>1747</v>
      </c>
      <c r="C1536" s="78" t="s">
        <v>1499</v>
      </c>
      <c r="D1536" s="78" t="s">
        <v>187</v>
      </c>
      <c r="E1536" s="78" t="s">
        <v>1620</v>
      </c>
      <c r="F1536" s="78" t="s">
        <v>1495</v>
      </c>
      <c r="G1536" s="78" t="s">
        <v>1513</v>
      </c>
      <c r="H1536" s="77"/>
      <c r="I1536" s="226"/>
      <c r="J1536" s="77"/>
      <c r="K1536" s="77"/>
      <c r="L1536" s="77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  <c r="AA1536" s="77"/>
      <c r="AB1536" s="77"/>
      <c r="AC1536" s="77"/>
      <c r="AD1536" s="77"/>
      <c r="AE1536" s="79"/>
    </row>
    <row r="1537" spans="1:31" x14ac:dyDescent="0.3">
      <c r="A1537" s="76"/>
      <c r="B1537" s="78" t="s">
        <v>1931</v>
      </c>
      <c r="C1537" s="78" t="s">
        <v>1493</v>
      </c>
      <c r="D1537" s="78" t="s">
        <v>574</v>
      </c>
      <c r="E1537" s="78" t="s">
        <v>1924</v>
      </c>
      <c r="F1537" s="78" t="s">
        <v>1558</v>
      </c>
      <c r="G1537" s="78" t="s">
        <v>1513</v>
      </c>
      <c r="H1537" s="77"/>
      <c r="I1537" s="226"/>
      <c r="J1537" s="77"/>
      <c r="K1537" s="77"/>
      <c r="L1537" s="77"/>
      <c r="M1537" s="77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  <c r="AA1537" s="77"/>
      <c r="AB1537" s="77"/>
      <c r="AC1537" s="77"/>
      <c r="AD1537" s="77"/>
      <c r="AE1537" s="79"/>
    </row>
    <row r="1538" spans="1:31" ht="15" thickBot="1" x14ac:dyDescent="0.35">
      <c r="A1538" s="81"/>
      <c r="B1538" s="82" t="s">
        <v>2142</v>
      </c>
      <c r="C1538" s="82" t="s">
        <v>1489</v>
      </c>
      <c r="D1538" s="82" t="s">
        <v>942</v>
      </c>
      <c r="E1538" s="82" t="s">
        <v>1545</v>
      </c>
      <c r="F1538" s="82" t="s">
        <v>1491</v>
      </c>
      <c r="G1538" s="82" t="s">
        <v>1513</v>
      </c>
      <c r="H1538" s="82"/>
      <c r="I1538" s="226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  <c r="X1538" s="83"/>
      <c r="Y1538" s="83"/>
      <c r="Z1538" s="83"/>
      <c r="AA1538" s="83"/>
      <c r="AB1538" s="83"/>
      <c r="AC1538" s="83"/>
      <c r="AD1538" s="83"/>
      <c r="AE1538" s="84"/>
    </row>
    <row r="1539" spans="1:31" x14ac:dyDescent="0.3">
      <c r="A1539" s="72" t="s">
        <v>954</v>
      </c>
      <c r="B1539" s="73" t="s">
        <v>2143</v>
      </c>
      <c r="C1539" s="74" t="s">
        <v>1479</v>
      </c>
      <c r="D1539" s="74" t="s">
        <v>955</v>
      </c>
      <c r="E1539" s="74" t="s">
        <v>1480</v>
      </c>
      <c r="F1539" s="74"/>
      <c r="G1539" s="74" t="s">
        <v>1481</v>
      </c>
      <c r="H1539" s="73" t="s">
        <v>1482</v>
      </c>
      <c r="I1539" s="226"/>
      <c r="J1539" s="73" t="s">
        <v>953</v>
      </c>
      <c r="K1539" s="73">
        <v>138</v>
      </c>
      <c r="L1539" s="73" t="s">
        <v>195</v>
      </c>
      <c r="M1539" s="73" t="s">
        <v>1483</v>
      </c>
      <c r="N1539" s="73" t="s">
        <v>1483</v>
      </c>
      <c r="O1539" s="73" t="s">
        <v>1483</v>
      </c>
      <c r="P1539" s="73" t="s">
        <v>1483</v>
      </c>
      <c r="Q1539" s="73" t="s">
        <v>1483</v>
      </c>
      <c r="R1539" s="73" t="s">
        <v>1483</v>
      </c>
      <c r="S1539" s="73" t="s">
        <v>1484</v>
      </c>
      <c r="T1539" s="73" t="s">
        <v>1484</v>
      </c>
      <c r="U1539" s="73" t="s">
        <v>1484</v>
      </c>
      <c r="V1539" s="73" t="s">
        <v>1484</v>
      </c>
      <c r="W1539" s="73" t="s">
        <v>1485</v>
      </c>
      <c r="X1539" s="73" t="s">
        <v>1484</v>
      </c>
      <c r="Y1539" s="73" t="s">
        <v>1484</v>
      </c>
      <c r="Z1539" s="73" t="s">
        <v>1485</v>
      </c>
      <c r="AA1539" s="73" t="s">
        <v>1485</v>
      </c>
      <c r="AB1539" s="73" t="s">
        <v>1484</v>
      </c>
      <c r="AC1539" s="73" t="s">
        <v>1486</v>
      </c>
      <c r="AD1539" s="73" t="s">
        <v>1487</v>
      </c>
      <c r="AE1539" s="75" t="s">
        <v>1488</v>
      </c>
    </row>
    <row r="1540" spans="1:31" ht="15" thickBot="1" x14ac:dyDescent="0.35">
      <c r="A1540" s="76"/>
      <c r="B1540" s="77"/>
      <c r="C1540" s="78" t="s">
        <v>1499</v>
      </c>
      <c r="D1540" s="78" t="s">
        <v>365</v>
      </c>
      <c r="E1540" s="78" t="s">
        <v>1620</v>
      </c>
      <c r="F1540" s="78" t="s">
        <v>1495</v>
      </c>
      <c r="G1540" s="78" t="s">
        <v>1492</v>
      </c>
      <c r="H1540" s="77"/>
      <c r="I1540" s="227"/>
      <c r="J1540" s="77"/>
      <c r="K1540" s="77"/>
      <c r="L1540" s="77"/>
      <c r="M1540" s="77"/>
      <c r="N1540" s="77"/>
      <c r="O1540" s="77"/>
      <c r="P1540" s="77"/>
      <c r="Q1540" s="77"/>
      <c r="R1540" s="77"/>
      <c r="S1540" s="77"/>
      <c r="T1540" s="77"/>
      <c r="U1540" s="77"/>
      <c r="V1540" s="77"/>
      <c r="W1540" s="77"/>
      <c r="X1540" s="77"/>
      <c r="Y1540" s="77"/>
      <c r="Z1540" s="77"/>
      <c r="AA1540" s="77"/>
      <c r="AB1540" s="77"/>
      <c r="AC1540" s="77"/>
      <c r="AD1540" s="77"/>
      <c r="AE1540" s="79"/>
    </row>
    <row r="1541" spans="1:31" x14ac:dyDescent="0.3">
      <c r="A1541" s="76"/>
      <c r="B1541" s="77"/>
      <c r="C1541" s="78" t="s">
        <v>1502</v>
      </c>
      <c r="D1541" s="78" t="s">
        <v>891</v>
      </c>
      <c r="E1541" s="78" t="s">
        <v>1497</v>
      </c>
      <c r="F1541" s="78" t="s">
        <v>1498</v>
      </c>
      <c r="G1541" s="78" t="s">
        <v>1492</v>
      </c>
      <c r="H1541" s="77"/>
      <c r="I1541" s="225" t="s">
        <v>1485</v>
      </c>
      <c r="J1541" s="77"/>
      <c r="K1541" s="77"/>
      <c r="L1541" s="77"/>
      <c r="M1541" s="77"/>
      <c r="N1541" s="77"/>
      <c r="O1541" s="77"/>
      <c r="P1541" s="77"/>
      <c r="Q1541" s="77"/>
      <c r="R1541" s="77"/>
      <c r="S1541" s="77"/>
      <c r="T1541" s="77"/>
      <c r="U1541" s="77"/>
      <c r="V1541" s="77"/>
      <c r="W1541" s="77"/>
      <c r="X1541" s="77"/>
      <c r="Y1541" s="77"/>
      <c r="Z1541" s="77"/>
      <c r="AA1541" s="77"/>
      <c r="AB1541" s="77"/>
      <c r="AC1541" s="77"/>
      <c r="AD1541" s="77"/>
      <c r="AE1541" s="79"/>
    </row>
    <row r="1542" spans="1:31" x14ac:dyDescent="0.3">
      <c r="A1542" s="76"/>
      <c r="B1542" s="80"/>
      <c r="C1542" s="78" t="s">
        <v>1504</v>
      </c>
      <c r="D1542" s="78" t="s">
        <v>956</v>
      </c>
      <c r="E1542" s="78" t="s">
        <v>1545</v>
      </c>
      <c r="F1542" s="78" t="s">
        <v>1680</v>
      </c>
      <c r="G1542" s="78" t="s">
        <v>1492</v>
      </c>
      <c r="H1542" s="85"/>
      <c r="I1542" s="226"/>
      <c r="J1542" s="77"/>
      <c r="K1542" s="77"/>
      <c r="L1542" s="77"/>
      <c r="M1542" s="77"/>
      <c r="N1542" s="77"/>
      <c r="O1542" s="77"/>
      <c r="P1542" s="77"/>
      <c r="Q1542" s="77"/>
      <c r="R1542" s="77"/>
      <c r="S1542" s="77"/>
      <c r="T1542" s="77"/>
      <c r="U1542" s="77"/>
      <c r="V1542" s="77"/>
      <c r="W1542" s="77"/>
      <c r="X1542" s="77"/>
      <c r="Y1542" s="77"/>
      <c r="Z1542" s="77"/>
      <c r="AA1542" s="77"/>
      <c r="AB1542" s="77"/>
      <c r="AC1542" s="77"/>
      <c r="AD1542" s="77"/>
      <c r="AE1542" s="79"/>
    </row>
    <row r="1543" spans="1:31" x14ac:dyDescent="0.3">
      <c r="A1543" s="76"/>
      <c r="B1543" s="78" t="s">
        <v>1485</v>
      </c>
      <c r="C1543" s="78" t="s">
        <v>1485</v>
      </c>
      <c r="D1543" s="78" t="s">
        <v>957</v>
      </c>
      <c r="E1543" s="78" t="s">
        <v>1709</v>
      </c>
      <c r="F1543" s="78" t="s">
        <v>1512</v>
      </c>
      <c r="G1543" s="78" t="s">
        <v>1513</v>
      </c>
      <c r="H1543" s="85"/>
      <c r="I1543" s="226"/>
      <c r="J1543" s="77"/>
      <c r="K1543" s="77"/>
      <c r="L1543" s="77"/>
      <c r="M1543" s="77"/>
      <c r="N1543" s="77"/>
      <c r="O1543" s="77"/>
      <c r="P1543" s="77"/>
      <c r="Q1543" s="77"/>
      <c r="R1543" s="77"/>
      <c r="S1543" s="77"/>
      <c r="T1543" s="77"/>
      <c r="U1543" s="77"/>
      <c r="V1543" s="77"/>
      <c r="W1543" s="77"/>
      <c r="X1543" s="77"/>
      <c r="Y1543" s="77"/>
      <c r="Z1543" s="77"/>
      <c r="AA1543" s="77"/>
      <c r="AB1543" s="77"/>
      <c r="AC1543" s="77"/>
      <c r="AD1543" s="77"/>
      <c r="AE1543" s="79"/>
    </row>
    <row r="1544" spans="1:31" x14ac:dyDescent="0.3">
      <c r="A1544" s="76"/>
      <c r="B1544" s="78" t="s">
        <v>1908</v>
      </c>
      <c r="C1544" s="78" t="s">
        <v>1496</v>
      </c>
      <c r="D1544" s="78" t="s">
        <v>365</v>
      </c>
      <c r="E1544" s="78" t="s">
        <v>1620</v>
      </c>
      <c r="F1544" s="78" t="s">
        <v>1495</v>
      </c>
      <c r="G1544" s="78" t="s">
        <v>1513</v>
      </c>
      <c r="H1544" s="77"/>
      <c r="I1544" s="226"/>
      <c r="J1544" s="77"/>
      <c r="K1544" s="77"/>
      <c r="L1544" s="77"/>
      <c r="M1544" s="77"/>
      <c r="N1544" s="77"/>
      <c r="O1544" s="77"/>
      <c r="P1544" s="77"/>
      <c r="Q1544" s="77"/>
      <c r="R1544" s="77"/>
      <c r="S1544" s="77"/>
      <c r="T1544" s="77"/>
      <c r="U1544" s="77"/>
      <c r="V1544" s="77"/>
      <c r="W1544" s="77"/>
      <c r="X1544" s="77"/>
      <c r="Y1544" s="77"/>
      <c r="Z1544" s="77"/>
      <c r="AA1544" s="77"/>
      <c r="AB1544" s="77"/>
      <c r="AC1544" s="77"/>
      <c r="AD1544" s="77"/>
      <c r="AE1544" s="79"/>
    </row>
    <row r="1545" spans="1:31" ht="15" thickBot="1" x14ac:dyDescent="0.35">
      <c r="A1545" s="81"/>
      <c r="B1545" s="82" t="s">
        <v>2144</v>
      </c>
      <c r="C1545" s="82" t="s">
        <v>1489</v>
      </c>
      <c r="D1545" s="82" t="s">
        <v>956</v>
      </c>
      <c r="E1545" s="82" t="s">
        <v>1545</v>
      </c>
      <c r="F1545" s="82" t="s">
        <v>1680</v>
      </c>
      <c r="G1545" s="82" t="s">
        <v>1513</v>
      </c>
      <c r="H1545" s="82"/>
      <c r="I1545" s="226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  <c r="X1545" s="83"/>
      <c r="Y1545" s="83"/>
      <c r="Z1545" s="83"/>
      <c r="AA1545" s="83"/>
      <c r="AB1545" s="83"/>
      <c r="AC1545" s="83"/>
      <c r="AD1545" s="83"/>
      <c r="AE1545" s="84"/>
    </row>
    <row r="1546" spans="1:31" x14ac:dyDescent="0.3">
      <c r="A1546" s="72" t="s">
        <v>960</v>
      </c>
      <c r="B1546" s="73" t="s">
        <v>2145</v>
      </c>
      <c r="C1546" s="74" t="s">
        <v>1479</v>
      </c>
      <c r="D1546" s="74" t="s">
        <v>961</v>
      </c>
      <c r="E1546" s="74" t="s">
        <v>1480</v>
      </c>
      <c r="F1546" s="74"/>
      <c r="G1546" s="74" t="s">
        <v>1481</v>
      </c>
      <c r="H1546" s="73" t="s">
        <v>1482</v>
      </c>
      <c r="I1546" s="226"/>
      <c r="J1546" s="73" t="s">
        <v>959</v>
      </c>
      <c r="K1546" s="73">
        <v>139</v>
      </c>
      <c r="L1546" s="73" t="s">
        <v>195</v>
      </c>
      <c r="M1546" s="73" t="s">
        <v>1483</v>
      </c>
      <c r="N1546" s="73" t="s">
        <v>1483</v>
      </c>
      <c r="O1546" s="73" t="s">
        <v>1483</v>
      </c>
      <c r="P1546" s="73" t="s">
        <v>1483</v>
      </c>
      <c r="Q1546" s="73" t="s">
        <v>1483</v>
      </c>
      <c r="R1546" s="73" t="s">
        <v>1483</v>
      </c>
      <c r="S1546" s="73" t="s">
        <v>1484</v>
      </c>
      <c r="T1546" s="73" t="s">
        <v>1484</v>
      </c>
      <c r="U1546" s="73" t="s">
        <v>1484</v>
      </c>
      <c r="V1546" s="73" t="s">
        <v>1484</v>
      </c>
      <c r="W1546" s="73" t="s">
        <v>1485</v>
      </c>
      <c r="X1546" s="73" t="s">
        <v>1484</v>
      </c>
      <c r="Y1546" s="73" t="s">
        <v>1484</v>
      </c>
      <c r="Z1546" s="73" t="s">
        <v>1485</v>
      </c>
      <c r="AA1546" s="73" t="s">
        <v>1485</v>
      </c>
      <c r="AB1546" s="73" t="s">
        <v>1484</v>
      </c>
      <c r="AC1546" s="73" t="s">
        <v>1486</v>
      </c>
      <c r="AD1546" s="73" t="s">
        <v>1487</v>
      </c>
      <c r="AE1546" s="75" t="s">
        <v>1488</v>
      </c>
    </row>
    <row r="1547" spans="1:31" x14ac:dyDescent="0.3">
      <c r="A1547" s="76"/>
      <c r="B1547" s="77"/>
      <c r="C1547" s="78" t="s">
        <v>1496</v>
      </c>
      <c r="D1547" s="78" t="s">
        <v>171</v>
      </c>
      <c r="E1547" s="78" t="s">
        <v>1500</v>
      </c>
      <c r="F1547" s="78" t="s">
        <v>1501</v>
      </c>
      <c r="G1547" s="78" t="s">
        <v>1492</v>
      </c>
      <c r="H1547" s="77"/>
      <c r="I1547" s="226"/>
      <c r="J1547" s="77"/>
      <c r="K1547" s="77"/>
      <c r="L1547" s="77"/>
      <c r="M1547" s="77"/>
      <c r="N1547" s="77"/>
      <c r="O1547" s="77"/>
      <c r="P1547" s="77"/>
      <c r="Q1547" s="77"/>
      <c r="R1547" s="77"/>
      <c r="S1547" s="77"/>
      <c r="T1547" s="77"/>
      <c r="U1547" s="77"/>
      <c r="V1547" s="77"/>
      <c r="W1547" s="77"/>
      <c r="X1547" s="77"/>
      <c r="Y1547" s="77"/>
      <c r="Z1547" s="77"/>
      <c r="AA1547" s="77"/>
      <c r="AB1547" s="77"/>
      <c r="AC1547" s="77"/>
      <c r="AD1547" s="77"/>
      <c r="AE1547" s="79"/>
    </row>
    <row r="1548" spans="1:31" x14ac:dyDescent="0.3">
      <c r="A1548" s="76"/>
      <c r="B1548" s="77"/>
      <c r="C1548" s="78" t="s">
        <v>1499</v>
      </c>
      <c r="D1548" s="78" t="s">
        <v>572</v>
      </c>
      <c r="E1548" s="78" t="s">
        <v>1620</v>
      </c>
      <c r="F1548" s="78" t="s">
        <v>1495</v>
      </c>
      <c r="G1548" s="78" t="s">
        <v>1492</v>
      </c>
      <c r="H1548" s="77"/>
      <c r="I1548" s="226"/>
      <c r="J1548" s="77"/>
      <c r="K1548" s="77"/>
      <c r="L1548" s="77"/>
      <c r="M1548" s="77"/>
      <c r="N1548" s="77"/>
      <c r="O1548" s="77"/>
      <c r="P1548" s="77"/>
      <c r="Q1548" s="77"/>
      <c r="R1548" s="77"/>
      <c r="S1548" s="77"/>
      <c r="T1548" s="77"/>
      <c r="U1548" s="77"/>
      <c r="V1548" s="77"/>
      <c r="W1548" s="77"/>
      <c r="X1548" s="77"/>
      <c r="Y1548" s="77"/>
      <c r="Z1548" s="77"/>
      <c r="AA1548" s="77"/>
      <c r="AB1548" s="77"/>
      <c r="AC1548" s="77"/>
      <c r="AD1548" s="77"/>
      <c r="AE1548" s="79"/>
    </row>
    <row r="1549" spans="1:31" x14ac:dyDescent="0.3">
      <c r="A1549" s="76"/>
      <c r="B1549" s="80"/>
      <c r="C1549" s="78" t="s">
        <v>1502</v>
      </c>
      <c r="D1549" s="78" t="s">
        <v>900</v>
      </c>
      <c r="E1549" s="78" t="s">
        <v>1497</v>
      </c>
      <c r="F1549" s="78" t="s">
        <v>1498</v>
      </c>
      <c r="G1549" s="78" t="s">
        <v>1492</v>
      </c>
      <c r="H1549" s="77"/>
      <c r="I1549" s="226"/>
      <c r="J1549" s="77"/>
      <c r="K1549" s="77"/>
      <c r="L1549" s="77"/>
      <c r="M1549" s="77"/>
      <c r="N1549" s="77"/>
      <c r="O1549" s="77"/>
      <c r="P1549" s="77"/>
      <c r="Q1549" s="77"/>
      <c r="R1549" s="77"/>
      <c r="S1549" s="77"/>
      <c r="T1549" s="77"/>
      <c r="U1549" s="77"/>
      <c r="V1549" s="77"/>
      <c r="W1549" s="77"/>
      <c r="X1549" s="77"/>
      <c r="Y1549" s="77"/>
      <c r="Z1549" s="77"/>
      <c r="AA1549" s="77"/>
      <c r="AB1549" s="77"/>
      <c r="AC1549" s="77"/>
      <c r="AD1549" s="77"/>
      <c r="AE1549" s="79"/>
    </row>
    <row r="1550" spans="1:31" ht="15" thickBot="1" x14ac:dyDescent="0.35">
      <c r="A1550" s="76"/>
      <c r="B1550" s="78" t="s">
        <v>1485</v>
      </c>
      <c r="C1550" s="78" t="s">
        <v>1485</v>
      </c>
      <c r="D1550" s="78" t="s">
        <v>2146</v>
      </c>
      <c r="E1550" s="78" t="s">
        <v>1534</v>
      </c>
      <c r="F1550" s="78" t="s">
        <v>1535</v>
      </c>
      <c r="G1550" s="78" t="s">
        <v>1513</v>
      </c>
      <c r="H1550" s="77"/>
      <c r="I1550" s="227"/>
      <c r="J1550" s="77"/>
      <c r="K1550" s="77"/>
      <c r="L1550" s="77"/>
      <c r="M1550" s="77"/>
      <c r="N1550" s="77"/>
      <c r="O1550" s="77"/>
      <c r="P1550" s="77"/>
      <c r="Q1550" s="77"/>
      <c r="R1550" s="77"/>
      <c r="S1550" s="77"/>
      <c r="T1550" s="77"/>
      <c r="U1550" s="77"/>
      <c r="V1550" s="77"/>
      <c r="W1550" s="77"/>
      <c r="X1550" s="77"/>
      <c r="Y1550" s="77"/>
      <c r="Z1550" s="77"/>
      <c r="AA1550" s="77"/>
      <c r="AB1550" s="77"/>
      <c r="AC1550" s="77"/>
      <c r="AD1550" s="77"/>
      <c r="AE1550" s="79"/>
    </row>
    <row r="1551" spans="1:31" x14ac:dyDescent="0.3">
      <c r="A1551" s="76"/>
      <c r="B1551" s="78" t="s">
        <v>1485</v>
      </c>
      <c r="C1551" s="78" t="s">
        <v>1485</v>
      </c>
      <c r="D1551" s="78" t="s">
        <v>2147</v>
      </c>
      <c r="E1551" s="78" t="s">
        <v>1709</v>
      </c>
      <c r="F1551" s="78" t="s">
        <v>1512</v>
      </c>
      <c r="G1551" s="78" t="s">
        <v>1513</v>
      </c>
      <c r="H1551" s="77"/>
      <c r="I1551" s="225" t="s">
        <v>1485</v>
      </c>
      <c r="J1551" s="77"/>
      <c r="K1551" s="77"/>
      <c r="L1551" s="77"/>
      <c r="M1551" s="77"/>
      <c r="N1551" s="77"/>
      <c r="O1551" s="77"/>
      <c r="P1551" s="77"/>
      <c r="Q1551" s="77"/>
      <c r="R1551" s="77"/>
      <c r="S1551" s="77"/>
      <c r="T1551" s="77"/>
      <c r="U1551" s="77"/>
      <c r="V1551" s="77"/>
      <c r="W1551" s="77"/>
      <c r="X1551" s="77"/>
      <c r="Y1551" s="77"/>
      <c r="Z1551" s="77"/>
      <c r="AA1551" s="77"/>
      <c r="AB1551" s="77"/>
      <c r="AC1551" s="77"/>
      <c r="AD1551" s="77"/>
      <c r="AE1551" s="79"/>
    </row>
    <row r="1552" spans="1:31" x14ac:dyDescent="0.3">
      <c r="A1552" s="76"/>
      <c r="B1552" s="78" t="s">
        <v>1930</v>
      </c>
      <c r="C1552" s="78" t="s">
        <v>1499</v>
      </c>
      <c r="D1552" s="78" t="s">
        <v>572</v>
      </c>
      <c r="E1552" s="78" t="s">
        <v>1620</v>
      </c>
      <c r="F1552" s="78" t="s">
        <v>1495</v>
      </c>
      <c r="G1552" s="78" t="s">
        <v>1513</v>
      </c>
      <c r="H1552" s="77"/>
      <c r="I1552" s="226"/>
      <c r="J1552" s="77"/>
      <c r="K1552" s="77"/>
      <c r="L1552" s="77"/>
      <c r="M1552" s="77"/>
      <c r="N1552" s="77"/>
      <c r="O1552" s="77"/>
      <c r="P1552" s="77"/>
      <c r="Q1552" s="77"/>
      <c r="R1552" s="77"/>
      <c r="S1552" s="77"/>
      <c r="T1552" s="77"/>
      <c r="U1552" s="77"/>
      <c r="V1552" s="77"/>
      <c r="W1552" s="77"/>
      <c r="X1552" s="77"/>
      <c r="Y1552" s="77"/>
      <c r="Z1552" s="77"/>
      <c r="AA1552" s="77"/>
      <c r="AB1552" s="77"/>
      <c r="AC1552" s="77"/>
      <c r="AD1552" s="77"/>
      <c r="AE1552" s="79"/>
    </row>
    <row r="1553" spans="1:31" ht="15" thickBot="1" x14ac:dyDescent="0.35">
      <c r="A1553" s="81"/>
      <c r="B1553" s="82" t="s">
        <v>1585</v>
      </c>
      <c r="C1553" s="82" t="s">
        <v>1499</v>
      </c>
      <c r="D1553" s="82" t="s">
        <v>171</v>
      </c>
      <c r="E1553" s="82" t="s">
        <v>1500</v>
      </c>
      <c r="F1553" s="82" t="s">
        <v>1501</v>
      </c>
      <c r="G1553" s="82" t="s">
        <v>1513</v>
      </c>
      <c r="H1553" s="83"/>
      <c r="I1553" s="226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  <c r="X1553" s="83"/>
      <c r="Y1553" s="83"/>
      <c r="Z1553" s="83"/>
      <c r="AA1553" s="83"/>
      <c r="AB1553" s="83"/>
      <c r="AC1553" s="83"/>
      <c r="AD1553" s="83"/>
      <c r="AE1553" s="84"/>
    </row>
    <row r="1554" spans="1:31" x14ac:dyDescent="0.3">
      <c r="A1554" s="72" t="s">
        <v>1071</v>
      </c>
      <c r="B1554" s="73" t="s">
        <v>2148</v>
      </c>
      <c r="C1554" s="74" t="s">
        <v>1479</v>
      </c>
      <c r="D1554" s="74" t="s">
        <v>1072</v>
      </c>
      <c r="E1554" s="74" t="s">
        <v>1480</v>
      </c>
      <c r="F1554" s="74"/>
      <c r="G1554" s="74" t="s">
        <v>1481</v>
      </c>
      <c r="H1554" s="73" t="s">
        <v>1482</v>
      </c>
      <c r="I1554" s="226"/>
      <c r="J1554" s="73" t="s">
        <v>1070</v>
      </c>
      <c r="K1554" s="73">
        <v>163</v>
      </c>
      <c r="L1554" s="73" t="s">
        <v>195</v>
      </c>
      <c r="M1554" s="73" t="s">
        <v>1483</v>
      </c>
      <c r="N1554" s="73" t="s">
        <v>1483</v>
      </c>
      <c r="O1554" s="73" t="s">
        <v>1483</v>
      </c>
      <c r="P1554" s="73" t="s">
        <v>1483</v>
      </c>
      <c r="Q1554" s="73" t="s">
        <v>1483</v>
      </c>
      <c r="R1554" s="73" t="s">
        <v>1483</v>
      </c>
      <c r="S1554" s="73" t="s">
        <v>1484</v>
      </c>
      <c r="T1554" s="73" t="s">
        <v>1484</v>
      </c>
      <c r="U1554" s="73" t="s">
        <v>1484</v>
      </c>
      <c r="V1554" s="73" t="s">
        <v>1484</v>
      </c>
      <c r="W1554" s="73" t="s">
        <v>1485</v>
      </c>
      <c r="X1554" s="73" t="s">
        <v>1484</v>
      </c>
      <c r="Y1554" s="73" t="s">
        <v>1484</v>
      </c>
      <c r="Z1554" s="73" t="s">
        <v>1485</v>
      </c>
      <c r="AA1554" s="73" t="s">
        <v>1485</v>
      </c>
      <c r="AB1554" s="73" t="s">
        <v>1484</v>
      </c>
      <c r="AC1554" s="73" t="s">
        <v>1486</v>
      </c>
      <c r="AD1554" s="73" t="s">
        <v>1487</v>
      </c>
      <c r="AE1554" s="75" t="s">
        <v>1488</v>
      </c>
    </row>
    <row r="1555" spans="1:31" x14ac:dyDescent="0.3">
      <c r="A1555" s="76"/>
      <c r="B1555" s="77"/>
      <c r="C1555" s="78" t="s">
        <v>1493</v>
      </c>
      <c r="D1555" s="78" t="s">
        <v>289</v>
      </c>
      <c r="E1555" s="78" t="s">
        <v>1505</v>
      </c>
      <c r="F1555" s="78" t="s">
        <v>1546</v>
      </c>
      <c r="G1555" s="78" t="s">
        <v>1492</v>
      </c>
      <c r="H1555" s="77"/>
      <c r="I1555" s="226"/>
      <c r="J1555" s="77"/>
      <c r="K1555" s="77"/>
      <c r="L1555" s="77"/>
      <c r="M1555" s="77"/>
      <c r="N1555" s="77"/>
      <c r="O1555" s="77"/>
      <c r="P1555" s="77"/>
      <c r="Q1555" s="77"/>
      <c r="R1555" s="77"/>
      <c r="S1555" s="77"/>
      <c r="T1555" s="77"/>
      <c r="U1555" s="77"/>
      <c r="V1555" s="77"/>
      <c r="W1555" s="77"/>
      <c r="X1555" s="77"/>
      <c r="Y1555" s="77"/>
      <c r="Z1555" s="77"/>
      <c r="AA1555" s="77"/>
      <c r="AB1555" s="77"/>
      <c r="AC1555" s="77"/>
      <c r="AD1555" s="77"/>
      <c r="AE1555" s="79"/>
    </row>
    <row r="1556" spans="1:31" x14ac:dyDescent="0.3">
      <c r="A1556" s="76"/>
      <c r="B1556" s="80"/>
      <c r="C1556" s="78" t="s">
        <v>1496</v>
      </c>
      <c r="D1556" s="78" t="s">
        <v>65</v>
      </c>
      <c r="E1556" s="78" t="s">
        <v>1500</v>
      </c>
      <c r="F1556" s="78" t="s">
        <v>1501</v>
      </c>
      <c r="G1556" s="78" t="s">
        <v>1492</v>
      </c>
      <c r="H1556" s="77"/>
      <c r="I1556" s="226"/>
      <c r="J1556" s="77"/>
      <c r="K1556" s="77"/>
      <c r="L1556" s="77"/>
      <c r="M1556" s="77"/>
      <c r="N1556" s="77"/>
      <c r="O1556" s="77"/>
      <c r="P1556" s="77"/>
      <c r="Q1556" s="77"/>
      <c r="R1556" s="77"/>
      <c r="S1556" s="77"/>
      <c r="T1556" s="77"/>
      <c r="U1556" s="77"/>
      <c r="V1556" s="77"/>
      <c r="W1556" s="77"/>
      <c r="X1556" s="77"/>
      <c r="Y1556" s="77"/>
      <c r="Z1556" s="77"/>
      <c r="AA1556" s="77"/>
      <c r="AB1556" s="77"/>
      <c r="AC1556" s="77"/>
      <c r="AD1556" s="77"/>
      <c r="AE1556" s="79"/>
    </row>
    <row r="1557" spans="1:31" x14ac:dyDescent="0.3">
      <c r="A1557" s="76"/>
      <c r="B1557" s="78" t="s">
        <v>1485</v>
      </c>
      <c r="C1557" s="78" t="s">
        <v>1485</v>
      </c>
      <c r="D1557" s="78" t="s">
        <v>2149</v>
      </c>
      <c r="E1557" s="78" t="s">
        <v>1534</v>
      </c>
      <c r="F1557" s="78" t="s">
        <v>1535</v>
      </c>
      <c r="G1557" s="78" t="s">
        <v>1513</v>
      </c>
      <c r="H1557" s="77"/>
      <c r="I1557" s="226"/>
      <c r="J1557" s="77"/>
      <c r="K1557" s="77"/>
      <c r="L1557" s="77"/>
      <c r="M1557" s="77"/>
      <c r="N1557" s="77"/>
      <c r="O1557" s="77"/>
      <c r="P1557" s="77"/>
      <c r="Q1557" s="77"/>
      <c r="R1557" s="77"/>
      <c r="S1557" s="77"/>
      <c r="T1557" s="77"/>
      <c r="U1557" s="77"/>
      <c r="V1557" s="77"/>
      <c r="W1557" s="77"/>
      <c r="X1557" s="77"/>
      <c r="Y1557" s="77"/>
      <c r="Z1557" s="77"/>
      <c r="AA1557" s="77"/>
      <c r="AB1557" s="77"/>
      <c r="AC1557" s="77"/>
      <c r="AD1557" s="77"/>
      <c r="AE1557" s="79"/>
    </row>
    <row r="1558" spans="1:31" x14ac:dyDescent="0.3">
      <c r="A1558" s="76"/>
      <c r="B1558" s="78" t="s">
        <v>1485</v>
      </c>
      <c r="C1558" s="78" t="s">
        <v>1485</v>
      </c>
      <c r="D1558" s="78" t="s">
        <v>2150</v>
      </c>
      <c r="E1558" s="78" t="s">
        <v>1548</v>
      </c>
      <c r="F1558" s="78" t="s">
        <v>1623</v>
      </c>
      <c r="G1558" s="78" t="s">
        <v>1513</v>
      </c>
      <c r="H1558" s="77"/>
      <c r="I1558" s="226"/>
      <c r="J1558" s="77"/>
      <c r="K1558" s="77"/>
      <c r="L1558" s="77"/>
      <c r="M1558" s="77"/>
      <c r="N1558" s="77"/>
      <c r="O1558" s="77"/>
      <c r="P1558" s="77"/>
      <c r="Q1558" s="77"/>
      <c r="R1558" s="77"/>
      <c r="S1558" s="77"/>
      <c r="T1558" s="77"/>
      <c r="U1558" s="77"/>
      <c r="V1558" s="77"/>
      <c r="W1558" s="77"/>
      <c r="X1558" s="77"/>
      <c r="Y1558" s="77"/>
      <c r="Z1558" s="77"/>
      <c r="AA1558" s="77"/>
      <c r="AB1558" s="77"/>
      <c r="AC1558" s="77"/>
      <c r="AD1558" s="77"/>
      <c r="AE1558" s="79"/>
    </row>
    <row r="1559" spans="1:31" ht="15" thickBot="1" x14ac:dyDescent="0.35">
      <c r="A1559" s="76"/>
      <c r="B1559" s="78" t="s">
        <v>1517</v>
      </c>
      <c r="C1559" s="78" t="s">
        <v>1499</v>
      </c>
      <c r="D1559" s="78" t="s">
        <v>31</v>
      </c>
      <c r="E1559" s="78" t="s">
        <v>1480</v>
      </c>
      <c r="F1559" s="78" t="s">
        <v>1518</v>
      </c>
      <c r="G1559" s="78" t="s">
        <v>1513</v>
      </c>
      <c r="H1559" s="77"/>
      <c r="I1559" s="227"/>
      <c r="J1559" s="77"/>
      <c r="K1559" s="77"/>
      <c r="L1559" s="77"/>
      <c r="M1559" s="77"/>
      <c r="N1559" s="77"/>
      <c r="O1559" s="77"/>
      <c r="P1559" s="77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  <c r="AA1559" s="77"/>
      <c r="AB1559" s="77"/>
      <c r="AC1559" s="77"/>
      <c r="AD1559" s="77"/>
      <c r="AE1559" s="79"/>
    </row>
    <row r="1560" spans="1:31" x14ac:dyDescent="0.3">
      <c r="A1560" s="76"/>
      <c r="B1560" s="78" t="s">
        <v>1538</v>
      </c>
      <c r="C1560" s="78" t="s">
        <v>1507</v>
      </c>
      <c r="D1560" s="78" t="s">
        <v>65</v>
      </c>
      <c r="E1560" s="78" t="s">
        <v>1500</v>
      </c>
      <c r="F1560" s="78" t="s">
        <v>1501</v>
      </c>
      <c r="G1560" s="78" t="s">
        <v>1513</v>
      </c>
      <c r="H1560" s="77"/>
      <c r="I1560" s="225" t="s">
        <v>1485</v>
      </c>
      <c r="J1560" s="77"/>
      <c r="K1560" s="77"/>
      <c r="L1560" s="77"/>
      <c r="M1560" s="77"/>
      <c r="N1560" s="77"/>
      <c r="O1560" s="77"/>
      <c r="P1560" s="77"/>
      <c r="Q1560" s="77"/>
      <c r="R1560" s="77"/>
      <c r="S1560" s="77"/>
      <c r="T1560" s="77"/>
      <c r="U1560" s="77"/>
      <c r="V1560" s="77"/>
      <c r="W1560" s="77"/>
      <c r="X1560" s="77"/>
      <c r="Y1560" s="77"/>
      <c r="Z1560" s="77"/>
      <c r="AA1560" s="77"/>
      <c r="AB1560" s="77"/>
      <c r="AC1560" s="77"/>
      <c r="AD1560" s="77"/>
      <c r="AE1560" s="79"/>
    </row>
    <row r="1561" spans="1:31" x14ac:dyDescent="0.3">
      <c r="A1561" s="76"/>
      <c r="B1561" s="78" t="s">
        <v>1880</v>
      </c>
      <c r="C1561" s="78" t="s">
        <v>1493</v>
      </c>
      <c r="D1561" s="78" t="s">
        <v>657</v>
      </c>
      <c r="E1561" s="78" t="s">
        <v>1881</v>
      </c>
      <c r="F1561" s="78" t="s">
        <v>1558</v>
      </c>
      <c r="G1561" s="78" t="s">
        <v>1513</v>
      </c>
      <c r="H1561" s="77"/>
      <c r="I1561" s="226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  <c r="AA1561" s="77"/>
      <c r="AB1561" s="77"/>
      <c r="AC1561" s="77"/>
      <c r="AD1561" s="77"/>
      <c r="AE1561" s="79"/>
    </row>
    <row r="1562" spans="1:31" ht="15" thickBot="1" x14ac:dyDescent="0.35">
      <c r="A1562" s="81"/>
      <c r="B1562" s="82" t="s">
        <v>2002</v>
      </c>
      <c r="C1562" s="82" t="s">
        <v>1489</v>
      </c>
      <c r="D1562" s="82" t="s">
        <v>289</v>
      </c>
      <c r="E1562" s="82" t="s">
        <v>1505</v>
      </c>
      <c r="F1562" s="82" t="s">
        <v>1546</v>
      </c>
      <c r="G1562" s="82" t="s">
        <v>1513</v>
      </c>
      <c r="H1562" s="83"/>
      <c r="I1562" s="226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  <c r="X1562" s="83"/>
      <c r="Y1562" s="83"/>
      <c r="Z1562" s="83"/>
      <c r="AA1562" s="83"/>
      <c r="AB1562" s="83"/>
      <c r="AC1562" s="83"/>
      <c r="AD1562" s="83"/>
      <c r="AE1562" s="84"/>
    </row>
    <row r="1563" spans="1:31" x14ac:dyDescent="0.3">
      <c r="A1563" s="72" t="s">
        <v>1066</v>
      </c>
      <c r="B1563" s="73" t="s">
        <v>2151</v>
      </c>
      <c r="C1563" s="74" t="s">
        <v>1479</v>
      </c>
      <c r="D1563" s="74" t="s">
        <v>1067</v>
      </c>
      <c r="E1563" s="74" t="s">
        <v>1480</v>
      </c>
      <c r="F1563" s="74"/>
      <c r="G1563" s="74" t="s">
        <v>1481</v>
      </c>
      <c r="H1563" s="73" t="s">
        <v>1482</v>
      </c>
      <c r="I1563" s="226"/>
      <c r="J1563" s="73" t="s">
        <v>1065</v>
      </c>
      <c r="K1563" s="73">
        <v>162</v>
      </c>
      <c r="L1563" s="73" t="s">
        <v>195</v>
      </c>
      <c r="M1563" s="73" t="s">
        <v>1483</v>
      </c>
      <c r="N1563" s="73" t="s">
        <v>1483</v>
      </c>
      <c r="O1563" s="73" t="s">
        <v>1483</v>
      </c>
      <c r="P1563" s="73" t="s">
        <v>1483</v>
      </c>
      <c r="Q1563" s="73" t="s">
        <v>1483</v>
      </c>
      <c r="R1563" s="73" t="s">
        <v>1483</v>
      </c>
      <c r="S1563" s="73" t="s">
        <v>1484</v>
      </c>
      <c r="T1563" s="73" t="s">
        <v>1484</v>
      </c>
      <c r="U1563" s="73" t="s">
        <v>1484</v>
      </c>
      <c r="V1563" s="73" t="s">
        <v>1484</v>
      </c>
      <c r="W1563" s="73" t="s">
        <v>1485</v>
      </c>
      <c r="X1563" s="73" t="s">
        <v>1484</v>
      </c>
      <c r="Y1563" s="73" t="s">
        <v>1484</v>
      </c>
      <c r="Z1563" s="73" t="s">
        <v>1485</v>
      </c>
      <c r="AA1563" s="73" t="s">
        <v>1485</v>
      </c>
      <c r="AB1563" s="73" t="s">
        <v>1484</v>
      </c>
      <c r="AC1563" s="73" t="s">
        <v>1486</v>
      </c>
      <c r="AD1563" s="73" t="s">
        <v>1487</v>
      </c>
      <c r="AE1563" s="75" t="s">
        <v>1488</v>
      </c>
    </row>
    <row r="1564" spans="1:31" x14ac:dyDescent="0.3">
      <c r="A1564" s="76"/>
      <c r="B1564" s="77"/>
      <c r="C1564" s="78" t="s">
        <v>1493</v>
      </c>
      <c r="D1564" s="78" t="s">
        <v>299</v>
      </c>
      <c r="E1564" s="78" t="s">
        <v>1505</v>
      </c>
      <c r="F1564" s="78" t="s">
        <v>1564</v>
      </c>
      <c r="G1564" s="78" t="s">
        <v>1492</v>
      </c>
      <c r="H1564" s="77"/>
      <c r="I1564" s="226"/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  <c r="AA1564" s="77"/>
      <c r="AB1564" s="77"/>
      <c r="AC1564" s="77"/>
      <c r="AD1564" s="77"/>
      <c r="AE1564" s="79"/>
    </row>
    <row r="1565" spans="1:31" x14ac:dyDescent="0.3">
      <c r="A1565" s="76"/>
      <c r="B1565" s="77"/>
      <c r="C1565" s="78" t="s">
        <v>1496</v>
      </c>
      <c r="D1565" s="78" t="s">
        <v>79</v>
      </c>
      <c r="E1565" s="78" t="s">
        <v>1500</v>
      </c>
      <c r="F1565" s="78" t="s">
        <v>1501</v>
      </c>
      <c r="G1565" s="78" t="s">
        <v>1492</v>
      </c>
      <c r="H1565" s="77"/>
      <c r="I1565" s="226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  <c r="AA1565" s="77"/>
      <c r="AB1565" s="77"/>
      <c r="AC1565" s="77"/>
      <c r="AD1565" s="77"/>
      <c r="AE1565" s="79"/>
    </row>
    <row r="1566" spans="1:31" ht="15" thickBot="1" x14ac:dyDescent="0.35">
      <c r="A1566" s="76"/>
      <c r="B1566" s="80"/>
      <c r="C1566" s="78" t="s">
        <v>1504</v>
      </c>
      <c r="D1566" s="78" t="s">
        <v>647</v>
      </c>
      <c r="E1566" s="78" t="s">
        <v>1881</v>
      </c>
      <c r="F1566" s="78" t="s">
        <v>1565</v>
      </c>
      <c r="G1566" s="78" t="s">
        <v>1492</v>
      </c>
      <c r="H1566" s="77"/>
      <c r="I1566" s="227"/>
      <c r="J1566" s="77"/>
      <c r="K1566" s="77"/>
      <c r="L1566" s="77"/>
      <c r="M1566" s="77"/>
      <c r="N1566" s="77"/>
      <c r="O1566" s="77"/>
      <c r="P1566" s="77"/>
      <c r="Q1566" s="77"/>
      <c r="R1566" s="77"/>
      <c r="S1566" s="77"/>
      <c r="T1566" s="77"/>
      <c r="U1566" s="77"/>
      <c r="V1566" s="77"/>
      <c r="W1566" s="77"/>
      <c r="X1566" s="77"/>
      <c r="Y1566" s="77"/>
      <c r="Z1566" s="77"/>
      <c r="AA1566" s="77"/>
      <c r="AB1566" s="77"/>
      <c r="AC1566" s="77"/>
      <c r="AD1566" s="77"/>
      <c r="AE1566" s="79"/>
    </row>
    <row r="1567" spans="1:31" x14ac:dyDescent="0.3">
      <c r="A1567" s="76"/>
      <c r="B1567" s="78" t="s">
        <v>1485</v>
      </c>
      <c r="C1567" s="78" t="s">
        <v>1485</v>
      </c>
      <c r="D1567" s="78" t="s">
        <v>1068</v>
      </c>
      <c r="E1567" s="78" t="s">
        <v>1548</v>
      </c>
      <c r="F1567" s="78" t="s">
        <v>1623</v>
      </c>
      <c r="G1567" s="78" t="s">
        <v>1513</v>
      </c>
      <c r="H1567" s="77"/>
      <c r="I1567" s="225" t="s">
        <v>1485</v>
      </c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  <c r="AA1567" s="77"/>
      <c r="AB1567" s="77"/>
      <c r="AC1567" s="77"/>
      <c r="AD1567" s="77"/>
      <c r="AE1567" s="79"/>
    </row>
    <row r="1568" spans="1:31" x14ac:dyDescent="0.3">
      <c r="A1568" s="76"/>
      <c r="B1568" s="78" t="s">
        <v>1536</v>
      </c>
      <c r="C1568" s="78" t="s">
        <v>1499</v>
      </c>
      <c r="D1568" s="78" t="s">
        <v>43</v>
      </c>
      <c r="E1568" s="78" t="s">
        <v>1480</v>
      </c>
      <c r="F1568" s="78" t="s">
        <v>1518</v>
      </c>
      <c r="G1568" s="78" t="s">
        <v>1513</v>
      </c>
      <c r="H1568" s="77"/>
      <c r="I1568" s="226"/>
      <c r="J1568" s="77"/>
      <c r="K1568" s="77"/>
      <c r="L1568" s="77"/>
      <c r="M1568" s="77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  <c r="AA1568" s="77"/>
      <c r="AB1568" s="77"/>
      <c r="AC1568" s="77"/>
      <c r="AD1568" s="77"/>
      <c r="AE1568" s="79"/>
    </row>
    <row r="1569" spans="1:31" x14ac:dyDescent="0.3">
      <c r="A1569" s="76"/>
      <c r="B1569" s="78" t="s">
        <v>1521</v>
      </c>
      <c r="C1569" s="78" t="s">
        <v>1586</v>
      </c>
      <c r="D1569" s="78" t="s">
        <v>79</v>
      </c>
      <c r="E1569" s="78" t="s">
        <v>1500</v>
      </c>
      <c r="F1569" s="78" t="s">
        <v>1501</v>
      </c>
      <c r="G1569" s="78" t="s">
        <v>1513</v>
      </c>
      <c r="H1569" s="77"/>
      <c r="I1569" s="226"/>
      <c r="J1569" s="77"/>
      <c r="K1569" s="77"/>
      <c r="L1569" s="77"/>
      <c r="M1569" s="77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  <c r="AA1569" s="77"/>
      <c r="AB1569" s="77"/>
      <c r="AC1569" s="77"/>
      <c r="AD1569" s="77"/>
      <c r="AE1569" s="79"/>
    </row>
    <row r="1570" spans="1:31" x14ac:dyDescent="0.3">
      <c r="A1570" s="76"/>
      <c r="B1570" s="78" t="s">
        <v>1996</v>
      </c>
      <c r="C1570" s="78" t="s">
        <v>1493</v>
      </c>
      <c r="D1570" s="78" t="s">
        <v>299</v>
      </c>
      <c r="E1570" s="78" t="s">
        <v>1505</v>
      </c>
      <c r="F1570" s="78" t="s">
        <v>1564</v>
      </c>
      <c r="G1570" s="78" t="s">
        <v>1513</v>
      </c>
      <c r="H1570" s="77"/>
      <c r="I1570" s="226"/>
      <c r="J1570" s="77"/>
      <c r="K1570" s="77"/>
      <c r="L1570" s="77"/>
      <c r="M1570" s="77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7"/>
      <c r="AC1570" s="77"/>
      <c r="AD1570" s="77"/>
      <c r="AE1570" s="79"/>
    </row>
    <row r="1571" spans="1:31" ht="15" thickBot="1" x14ac:dyDescent="0.35">
      <c r="A1571" s="81"/>
      <c r="B1571" s="82" t="s">
        <v>1887</v>
      </c>
      <c r="C1571" s="82" t="s">
        <v>1496</v>
      </c>
      <c r="D1571" s="82" t="s">
        <v>647</v>
      </c>
      <c r="E1571" s="82" t="s">
        <v>1881</v>
      </c>
      <c r="F1571" s="82" t="s">
        <v>1565</v>
      </c>
      <c r="G1571" s="82" t="s">
        <v>1513</v>
      </c>
      <c r="H1571" s="83"/>
      <c r="I1571" s="226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  <c r="X1571" s="83"/>
      <c r="Y1571" s="83"/>
      <c r="Z1571" s="83"/>
      <c r="AA1571" s="83"/>
      <c r="AB1571" s="83"/>
      <c r="AC1571" s="83"/>
      <c r="AD1571" s="83"/>
      <c r="AE1571" s="84"/>
    </row>
    <row r="1572" spans="1:31" x14ac:dyDescent="0.3">
      <c r="A1572" s="72" t="s">
        <v>1004</v>
      </c>
      <c r="B1572" s="73" t="s">
        <v>2152</v>
      </c>
      <c r="C1572" s="74" t="s">
        <v>1479</v>
      </c>
      <c r="D1572" s="74" t="s">
        <v>1005</v>
      </c>
      <c r="E1572" s="74" t="s">
        <v>1480</v>
      </c>
      <c r="F1572" s="74"/>
      <c r="G1572" s="74" t="s">
        <v>1481</v>
      </c>
      <c r="H1572" s="73" t="s">
        <v>1482</v>
      </c>
      <c r="I1572" s="226"/>
      <c r="J1572" s="73" t="s">
        <v>1003</v>
      </c>
      <c r="K1572" s="73">
        <v>147</v>
      </c>
      <c r="L1572" s="73" t="s">
        <v>195</v>
      </c>
      <c r="M1572" s="73" t="s">
        <v>1483</v>
      </c>
      <c r="N1572" s="73" t="s">
        <v>1483</v>
      </c>
      <c r="O1572" s="73" t="s">
        <v>1483</v>
      </c>
      <c r="P1572" s="73" t="s">
        <v>1483</v>
      </c>
      <c r="Q1572" s="73" t="s">
        <v>1483</v>
      </c>
      <c r="R1572" s="73" t="s">
        <v>1483</v>
      </c>
      <c r="S1572" s="73" t="s">
        <v>1484</v>
      </c>
      <c r="T1572" s="73" t="s">
        <v>1484</v>
      </c>
      <c r="U1572" s="73" t="s">
        <v>1484</v>
      </c>
      <c r="V1572" s="73" t="s">
        <v>1484</v>
      </c>
      <c r="W1572" s="73" t="s">
        <v>1485</v>
      </c>
      <c r="X1572" s="73" t="s">
        <v>1484</v>
      </c>
      <c r="Y1572" s="73" t="s">
        <v>1484</v>
      </c>
      <c r="Z1572" s="73" t="s">
        <v>1485</v>
      </c>
      <c r="AA1572" s="73" t="s">
        <v>1485</v>
      </c>
      <c r="AB1572" s="73" t="s">
        <v>1484</v>
      </c>
      <c r="AC1572" s="73" t="s">
        <v>1486</v>
      </c>
      <c r="AD1572" s="73" t="s">
        <v>1487</v>
      </c>
      <c r="AE1572" s="75" t="s">
        <v>1488</v>
      </c>
    </row>
    <row r="1573" spans="1:31" x14ac:dyDescent="0.3">
      <c r="A1573" s="76"/>
      <c r="B1573" s="77"/>
      <c r="C1573" s="78" t="s">
        <v>1493</v>
      </c>
      <c r="D1573" s="78" t="s">
        <v>280</v>
      </c>
      <c r="E1573" s="78" t="s">
        <v>1505</v>
      </c>
      <c r="F1573" s="78" t="s">
        <v>1619</v>
      </c>
      <c r="G1573" s="78" t="s">
        <v>1492</v>
      </c>
      <c r="H1573" s="77"/>
      <c r="I1573" s="226"/>
      <c r="J1573" s="77"/>
      <c r="K1573" s="77"/>
      <c r="L1573" s="77"/>
      <c r="M1573" s="77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  <c r="AA1573" s="77"/>
      <c r="AB1573" s="77"/>
      <c r="AC1573" s="77"/>
      <c r="AD1573" s="77"/>
      <c r="AE1573" s="79"/>
    </row>
    <row r="1574" spans="1:31" ht="15" thickBot="1" x14ac:dyDescent="0.35">
      <c r="A1574" s="76"/>
      <c r="B1574" s="77"/>
      <c r="C1574" s="78" t="s">
        <v>1496</v>
      </c>
      <c r="D1574" s="78" t="s">
        <v>103</v>
      </c>
      <c r="E1574" s="78" t="s">
        <v>1494</v>
      </c>
      <c r="F1574" s="78" t="s">
        <v>1495</v>
      </c>
      <c r="G1574" s="78" t="s">
        <v>1492</v>
      </c>
      <c r="H1574" s="77"/>
      <c r="I1574" s="227"/>
      <c r="J1574" s="77"/>
      <c r="K1574" s="77"/>
      <c r="L1574" s="77"/>
      <c r="M1574" s="77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  <c r="AA1574" s="77"/>
      <c r="AB1574" s="77"/>
      <c r="AC1574" s="77"/>
      <c r="AD1574" s="77"/>
      <c r="AE1574" s="79"/>
    </row>
    <row r="1575" spans="1:31" x14ac:dyDescent="0.3">
      <c r="A1575" s="76"/>
      <c r="B1575" s="77"/>
      <c r="C1575" s="78" t="s">
        <v>1499</v>
      </c>
      <c r="D1575" s="78" t="s">
        <v>186</v>
      </c>
      <c r="E1575" s="78" t="s">
        <v>1503</v>
      </c>
      <c r="F1575" s="78" t="s">
        <v>1495</v>
      </c>
      <c r="G1575" s="78" t="s">
        <v>1492</v>
      </c>
      <c r="H1575" s="77"/>
      <c r="I1575" s="225">
        <v>94</v>
      </c>
      <c r="J1575" s="77"/>
      <c r="K1575" s="77"/>
      <c r="L1575" s="77"/>
      <c r="M1575" s="77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  <c r="AA1575" s="77"/>
      <c r="AB1575" s="77"/>
      <c r="AC1575" s="77"/>
      <c r="AD1575" s="77"/>
      <c r="AE1575" s="79"/>
    </row>
    <row r="1576" spans="1:31" x14ac:dyDescent="0.3">
      <c r="A1576" s="76"/>
      <c r="B1576" s="77"/>
      <c r="C1576" s="78" t="s">
        <v>1504</v>
      </c>
      <c r="D1576" s="78" t="s">
        <v>432</v>
      </c>
      <c r="E1576" s="78" t="s">
        <v>1500</v>
      </c>
      <c r="F1576" s="78" t="s">
        <v>1501</v>
      </c>
      <c r="G1576" s="78" t="s">
        <v>1492</v>
      </c>
      <c r="H1576" s="77"/>
      <c r="I1576" s="226"/>
      <c r="J1576" s="77"/>
      <c r="K1576" s="77"/>
      <c r="L1576" s="77"/>
      <c r="M1576" s="77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  <c r="AA1576" s="77"/>
      <c r="AB1576" s="77"/>
      <c r="AC1576" s="77"/>
      <c r="AD1576" s="77"/>
      <c r="AE1576" s="79"/>
    </row>
    <row r="1577" spans="1:31" x14ac:dyDescent="0.3">
      <c r="A1577" s="76"/>
      <c r="B1577" s="80"/>
      <c r="C1577" s="78" t="s">
        <v>1507</v>
      </c>
      <c r="D1577" s="78" t="s">
        <v>582</v>
      </c>
      <c r="E1577" s="78" t="s">
        <v>1511</v>
      </c>
      <c r="F1577" s="78" t="s">
        <v>1791</v>
      </c>
      <c r="G1577" s="78" t="s">
        <v>1492</v>
      </c>
      <c r="H1577" s="77"/>
      <c r="I1577" s="226"/>
      <c r="J1577" s="77"/>
      <c r="K1577" s="77"/>
      <c r="L1577" s="77"/>
      <c r="M1577" s="77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  <c r="AA1577" s="77"/>
      <c r="AB1577" s="77"/>
      <c r="AC1577" s="77"/>
      <c r="AD1577" s="77"/>
      <c r="AE1577" s="79"/>
    </row>
    <row r="1578" spans="1:31" x14ac:dyDescent="0.3">
      <c r="A1578" s="76"/>
      <c r="B1578" s="78" t="s">
        <v>1485</v>
      </c>
      <c r="C1578" s="78" t="s">
        <v>1485</v>
      </c>
      <c r="D1578" s="78" t="s">
        <v>2153</v>
      </c>
      <c r="E1578" s="78" t="s">
        <v>1534</v>
      </c>
      <c r="F1578" s="78" t="s">
        <v>1535</v>
      </c>
      <c r="G1578" s="78" t="s">
        <v>1513</v>
      </c>
      <c r="H1578" s="77"/>
      <c r="I1578" s="226"/>
      <c r="J1578" s="77"/>
      <c r="K1578" s="77"/>
      <c r="L1578" s="77"/>
      <c r="M1578" s="77"/>
      <c r="N1578" s="77"/>
      <c r="O1578" s="77"/>
      <c r="P1578" s="77"/>
      <c r="Q1578" s="77"/>
      <c r="R1578" s="77"/>
      <c r="S1578" s="77"/>
      <c r="T1578" s="77"/>
      <c r="U1578" s="77"/>
      <c r="V1578" s="77"/>
      <c r="W1578" s="77"/>
      <c r="X1578" s="77"/>
      <c r="Y1578" s="77"/>
      <c r="Z1578" s="77"/>
      <c r="AA1578" s="77"/>
      <c r="AB1578" s="77"/>
      <c r="AC1578" s="77"/>
      <c r="AD1578" s="77"/>
      <c r="AE1578" s="79"/>
    </row>
    <row r="1579" spans="1:31" x14ac:dyDescent="0.3">
      <c r="A1579" s="76"/>
      <c r="B1579" s="78" t="s">
        <v>1485</v>
      </c>
      <c r="C1579" s="78" t="s">
        <v>1485</v>
      </c>
      <c r="D1579" s="78" t="s">
        <v>2154</v>
      </c>
      <c r="E1579" s="78" t="s">
        <v>1548</v>
      </c>
      <c r="F1579" s="78" t="s">
        <v>1623</v>
      </c>
      <c r="G1579" s="78" t="s">
        <v>1513</v>
      </c>
      <c r="H1579" s="77"/>
      <c r="I1579" s="226"/>
      <c r="J1579" s="77"/>
      <c r="K1579" s="77"/>
      <c r="L1579" s="77"/>
      <c r="M1579" s="77"/>
      <c r="N1579" s="77"/>
      <c r="O1579" s="77"/>
      <c r="P1579" s="77"/>
      <c r="Q1579" s="77"/>
      <c r="R1579" s="77"/>
      <c r="S1579" s="77"/>
      <c r="T1579" s="77"/>
      <c r="U1579" s="77"/>
      <c r="V1579" s="77"/>
      <c r="W1579" s="77"/>
      <c r="X1579" s="77"/>
      <c r="Y1579" s="77"/>
      <c r="Z1579" s="77"/>
      <c r="AA1579" s="77"/>
      <c r="AB1579" s="77"/>
      <c r="AC1579" s="77"/>
      <c r="AD1579" s="77"/>
      <c r="AE1579" s="79"/>
    </row>
    <row r="1580" spans="1:31" x14ac:dyDescent="0.3">
      <c r="A1580" s="76"/>
      <c r="B1580" s="78" t="s">
        <v>1552</v>
      </c>
      <c r="C1580" s="78" t="s">
        <v>1499</v>
      </c>
      <c r="D1580" s="78" t="s">
        <v>54</v>
      </c>
      <c r="E1580" s="78" t="s">
        <v>1480</v>
      </c>
      <c r="F1580" s="78" t="s">
        <v>1518</v>
      </c>
      <c r="G1580" s="78" t="s">
        <v>1513</v>
      </c>
      <c r="H1580" s="77"/>
      <c r="I1580" s="226"/>
      <c r="J1580" s="77"/>
      <c r="K1580" s="77"/>
      <c r="L1580" s="77"/>
      <c r="M1580" s="77"/>
      <c r="N1580" s="77"/>
      <c r="O1580" s="77"/>
      <c r="P1580" s="77"/>
      <c r="Q1580" s="77"/>
      <c r="R1580" s="77"/>
      <c r="S1580" s="77"/>
      <c r="T1580" s="77"/>
      <c r="U1580" s="77"/>
      <c r="V1580" s="77"/>
      <c r="W1580" s="77"/>
      <c r="X1580" s="77"/>
      <c r="Y1580" s="77"/>
      <c r="Z1580" s="77"/>
      <c r="AA1580" s="77"/>
      <c r="AB1580" s="77"/>
      <c r="AC1580" s="77"/>
      <c r="AD1580" s="77"/>
      <c r="AE1580" s="79"/>
    </row>
    <row r="1581" spans="1:31" x14ac:dyDescent="0.3">
      <c r="A1581" s="76"/>
      <c r="B1581" s="78" t="s">
        <v>1779</v>
      </c>
      <c r="C1581" s="78" t="s">
        <v>1502</v>
      </c>
      <c r="D1581" s="78" t="s">
        <v>103</v>
      </c>
      <c r="E1581" s="78" t="s">
        <v>1494</v>
      </c>
      <c r="F1581" s="78" t="s">
        <v>1495</v>
      </c>
      <c r="G1581" s="78" t="s">
        <v>1513</v>
      </c>
      <c r="H1581" s="77"/>
      <c r="I1581" s="226"/>
      <c r="J1581" s="77"/>
      <c r="K1581" s="77"/>
      <c r="L1581" s="77"/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7"/>
      <c r="AC1581" s="77"/>
      <c r="AD1581" s="77"/>
      <c r="AE1581" s="79"/>
    </row>
    <row r="1582" spans="1:31" x14ac:dyDescent="0.3">
      <c r="A1582" s="76"/>
      <c r="B1582" s="78" t="s">
        <v>1746</v>
      </c>
      <c r="C1582" s="78" t="s">
        <v>1499</v>
      </c>
      <c r="D1582" s="78" t="s">
        <v>186</v>
      </c>
      <c r="E1582" s="78" t="s">
        <v>1503</v>
      </c>
      <c r="F1582" s="78" t="s">
        <v>1495</v>
      </c>
      <c r="G1582" s="78" t="s">
        <v>1513</v>
      </c>
      <c r="H1582" s="77"/>
      <c r="I1582" s="226"/>
      <c r="J1582" s="77"/>
      <c r="K1582" s="77"/>
      <c r="L1582" s="77"/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  <c r="AA1582" s="77"/>
      <c r="AB1582" s="77"/>
      <c r="AC1582" s="77"/>
      <c r="AD1582" s="77"/>
      <c r="AE1582" s="79"/>
    </row>
    <row r="1583" spans="1:31" ht="15" thickBot="1" x14ac:dyDescent="0.35">
      <c r="A1583" s="76"/>
      <c r="B1583" s="78" t="s">
        <v>2000</v>
      </c>
      <c r="C1583" s="78" t="s">
        <v>1499</v>
      </c>
      <c r="D1583" s="78" t="s">
        <v>432</v>
      </c>
      <c r="E1583" s="78" t="s">
        <v>1500</v>
      </c>
      <c r="F1583" s="78" t="s">
        <v>1501</v>
      </c>
      <c r="G1583" s="78" t="s">
        <v>1513</v>
      </c>
      <c r="H1583" s="77"/>
      <c r="I1583" s="227"/>
      <c r="J1583" s="77"/>
      <c r="K1583" s="77"/>
      <c r="L1583" s="77"/>
      <c r="M1583" s="77"/>
      <c r="N1583" s="77"/>
      <c r="O1583" s="77"/>
      <c r="P1583" s="77"/>
      <c r="Q1583" s="77"/>
      <c r="R1583" s="77"/>
      <c r="S1583" s="77"/>
      <c r="T1583" s="77"/>
      <c r="U1583" s="77"/>
      <c r="V1583" s="77"/>
      <c r="W1583" s="77"/>
      <c r="X1583" s="77"/>
      <c r="Y1583" s="77"/>
      <c r="Z1583" s="77"/>
      <c r="AA1583" s="77"/>
      <c r="AB1583" s="77"/>
      <c r="AC1583" s="77"/>
      <c r="AD1583" s="77"/>
      <c r="AE1583" s="79"/>
    </row>
    <row r="1584" spans="1:31" x14ac:dyDescent="0.3">
      <c r="A1584" s="76"/>
      <c r="B1584" s="78" t="s">
        <v>2015</v>
      </c>
      <c r="C1584" s="78" t="s">
        <v>1489</v>
      </c>
      <c r="D1584" s="78" t="s">
        <v>642</v>
      </c>
      <c r="E1584" s="78" t="s">
        <v>2016</v>
      </c>
      <c r="F1584" s="78" t="s">
        <v>1558</v>
      </c>
      <c r="G1584" s="78" t="s">
        <v>1513</v>
      </c>
      <c r="H1584" s="77"/>
      <c r="I1584" s="225">
        <v>93</v>
      </c>
      <c r="J1584" s="77"/>
      <c r="K1584" s="77"/>
      <c r="L1584" s="77"/>
      <c r="M1584" s="77"/>
      <c r="N1584" s="77"/>
      <c r="O1584" s="77"/>
      <c r="P1584" s="77"/>
      <c r="Q1584" s="77"/>
      <c r="R1584" s="77"/>
      <c r="S1584" s="77"/>
      <c r="T1584" s="77"/>
      <c r="U1584" s="77"/>
      <c r="V1584" s="77"/>
      <c r="W1584" s="77"/>
      <c r="X1584" s="77"/>
      <c r="Y1584" s="77"/>
      <c r="Z1584" s="77"/>
      <c r="AA1584" s="77"/>
      <c r="AB1584" s="77"/>
      <c r="AC1584" s="77"/>
      <c r="AD1584" s="77"/>
      <c r="AE1584" s="79"/>
    </row>
    <row r="1585" spans="1:31" x14ac:dyDescent="0.3">
      <c r="A1585" s="76"/>
      <c r="B1585" s="78" t="s">
        <v>1767</v>
      </c>
      <c r="C1585" s="78" t="s">
        <v>1489</v>
      </c>
      <c r="D1585" s="78" t="s">
        <v>280</v>
      </c>
      <c r="E1585" s="78" t="s">
        <v>1505</v>
      </c>
      <c r="F1585" s="78" t="s">
        <v>1619</v>
      </c>
      <c r="G1585" s="78" t="s">
        <v>1513</v>
      </c>
      <c r="H1585" s="77"/>
      <c r="I1585" s="226"/>
      <c r="J1585" s="77"/>
      <c r="K1585" s="77"/>
      <c r="L1585" s="77"/>
      <c r="M1585" s="77"/>
      <c r="N1585" s="77"/>
      <c r="O1585" s="77"/>
      <c r="P1585" s="77"/>
      <c r="Q1585" s="77"/>
      <c r="R1585" s="77"/>
      <c r="S1585" s="77"/>
      <c r="T1585" s="77"/>
      <c r="U1585" s="77"/>
      <c r="V1585" s="77"/>
      <c r="W1585" s="77"/>
      <c r="X1585" s="77"/>
      <c r="Y1585" s="77"/>
      <c r="Z1585" s="77"/>
      <c r="AA1585" s="77"/>
      <c r="AB1585" s="77"/>
      <c r="AC1585" s="77"/>
      <c r="AD1585" s="77"/>
      <c r="AE1585" s="79"/>
    </row>
    <row r="1586" spans="1:31" ht="15" thickBot="1" x14ac:dyDescent="0.35">
      <c r="A1586" s="81"/>
      <c r="B1586" s="82" t="s">
        <v>1608</v>
      </c>
      <c r="C1586" s="82" t="s">
        <v>1489</v>
      </c>
      <c r="D1586" s="82" t="s">
        <v>84</v>
      </c>
      <c r="E1586" s="82" t="s">
        <v>1609</v>
      </c>
      <c r="F1586" s="82" t="s">
        <v>1526</v>
      </c>
      <c r="G1586" s="82" t="s">
        <v>1513</v>
      </c>
      <c r="H1586" s="83"/>
      <c r="I1586" s="226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  <c r="X1586" s="83"/>
      <c r="Y1586" s="83"/>
      <c r="Z1586" s="83"/>
      <c r="AA1586" s="83"/>
      <c r="AB1586" s="83"/>
      <c r="AC1586" s="83"/>
      <c r="AD1586" s="83"/>
      <c r="AE1586" s="84"/>
    </row>
    <row r="1587" spans="1:31" x14ac:dyDescent="0.3">
      <c r="A1587" s="72" t="s">
        <v>223</v>
      </c>
      <c r="B1587" s="73" t="s">
        <v>2155</v>
      </c>
      <c r="C1587" s="74" t="s">
        <v>1479</v>
      </c>
      <c r="D1587" s="74" t="s">
        <v>224</v>
      </c>
      <c r="E1587" s="74" t="s">
        <v>1480</v>
      </c>
      <c r="F1587" s="74"/>
      <c r="G1587" s="74" t="s">
        <v>1481</v>
      </c>
      <c r="H1587" s="73" t="s">
        <v>1575</v>
      </c>
      <c r="I1587" s="226"/>
      <c r="J1587" s="73" t="s">
        <v>222</v>
      </c>
      <c r="K1587" s="73">
        <v>27</v>
      </c>
      <c r="L1587" s="73" t="s">
        <v>320</v>
      </c>
      <c r="M1587" s="73" t="s">
        <v>1483</v>
      </c>
      <c r="N1587" s="73" t="s">
        <v>1483</v>
      </c>
      <c r="O1587" s="73" t="s">
        <v>1483</v>
      </c>
      <c r="P1587" s="73" t="s">
        <v>1483</v>
      </c>
      <c r="Q1587" s="73" t="s">
        <v>1483</v>
      </c>
      <c r="R1587" s="73" t="s">
        <v>1483</v>
      </c>
      <c r="S1587" s="73" t="s">
        <v>1484</v>
      </c>
      <c r="T1587" s="73" t="s">
        <v>1484</v>
      </c>
      <c r="U1587" s="73" t="s">
        <v>1484</v>
      </c>
      <c r="V1587" s="73" t="s">
        <v>1484</v>
      </c>
      <c r="W1587" s="73" t="s">
        <v>1485</v>
      </c>
      <c r="X1587" s="73" t="s">
        <v>1484</v>
      </c>
      <c r="Y1587" s="73" t="s">
        <v>1484</v>
      </c>
      <c r="Z1587" s="73" t="s">
        <v>1484</v>
      </c>
      <c r="AA1587" s="73" t="s">
        <v>1485</v>
      </c>
      <c r="AB1587" s="73" t="s">
        <v>1484</v>
      </c>
      <c r="AC1587" s="73" t="s">
        <v>1486</v>
      </c>
      <c r="AD1587" s="73" t="s">
        <v>1487</v>
      </c>
      <c r="AE1587" s="75" t="s">
        <v>1579</v>
      </c>
    </row>
    <row r="1588" spans="1:31" x14ac:dyDescent="0.3">
      <c r="A1588" s="76"/>
      <c r="B1588" s="77"/>
      <c r="C1588" s="78" t="s">
        <v>1489</v>
      </c>
      <c r="D1588" s="78" t="s">
        <v>225</v>
      </c>
      <c r="E1588" s="78" t="s">
        <v>1795</v>
      </c>
      <c r="F1588" s="78" t="s">
        <v>1611</v>
      </c>
      <c r="G1588" s="78" t="s">
        <v>1492</v>
      </c>
      <c r="H1588" s="77"/>
      <c r="I1588" s="226"/>
      <c r="J1588" s="77"/>
      <c r="K1588" s="77"/>
      <c r="L1588" s="77"/>
      <c r="M1588" s="77"/>
      <c r="N1588" s="77"/>
      <c r="O1588" s="77"/>
      <c r="P1588" s="77"/>
      <c r="Q1588" s="77"/>
      <c r="R1588" s="77"/>
      <c r="S1588" s="77"/>
      <c r="T1588" s="77"/>
      <c r="U1588" s="77"/>
      <c r="V1588" s="77"/>
      <c r="W1588" s="77"/>
      <c r="X1588" s="77"/>
      <c r="Y1588" s="77"/>
      <c r="Z1588" s="77"/>
      <c r="AA1588" s="77"/>
      <c r="AB1588" s="77"/>
      <c r="AC1588" s="77"/>
      <c r="AD1588" s="77"/>
      <c r="AE1588" s="79"/>
    </row>
    <row r="1589" spans="1:31" x14ac:dyDescent="0.3">
      <c r="A1589" s="76"/>
      <c r="B1589" s="77"/>
      <c r="C1589" s="78" t="s">
        <v>1496</v>
      </c>
      <c r="D1589" s="78" t="s">
        <v>157</v>
      </c>
      <c r="E1589" s="78" t="s">
        <v>1494</v>
      </c>
      <c r="F1589" s="78" t="s">
        <v>1495</v>
      </c>
      <c r="G1589" s="78" t="s">
        <v>1492</v>
      </c>
      <c r="H1589" s="77"/>
      <c r="I1589" s="226"/>
      <c r="J1589" s="77"/>
      <c r="K1589" s="77"/>
      <c r="L1589" s="77"/>
      <c r="M1589" s="77"/>
      <c r="N1589" s="77"/>
      <c r="O1589" s="77"/>
      <c r="P1589" s="77"/>
      <c r="Q1589" s="77"/>
      <c r="R1589" s="77"/>
      <c r="S1589" s="77"/>
      <c r="T1589" s="77"/>
      <c r="U1589" s="77"/>
      <c r="V1589" s="77"/>
      <c r="W1589" s="77"/>
      <c r="X1589" s="77"/>
      <c r="Y1589" s="77"/>
      <c r="Z1589" s="77"/>
      <c r="AA1589" s="77"/>
      <c r="AB1589" s="77"/>
      <c r="AC1589" s="77"/>
      <c r="AD1589" s="77"/>
      <c r="AE1589" s="79"/>
    </row>
    <row r="1590" spans="1:31" x14ac:dyDescent="0.3">
      <c r="A1590" s="76"/>
      <c r="B1590" s="77"/>
      <c r="C1590" s="78" t="s">
        <v>1499</v>
      </c>
      <c r="D1590" s="78" t="s">
        <v>171</v>
      </c>
      <c r="E1590" s="78" t="s">
        <v>1500</v>
      </c>
      <c r="F1590" s="78" t="s">
        <v>1501</v>
      </c>
      <c r="G1590" s="78" t="s">
        <v>1492</v>
      </c>
      <c r="H1590" s="77"/>
      <c r="I1590" s="226"/>
      <c r="J1590" s="77"/>
      <c r="K1590" s="77"/>
      <c r="L1590" s="77"/>
      <c r="M1590" s="77"/>
      <c r="N1590" s="77"/>
      <c r="O1590" s="77"/>
      <c r="P1590" s="77"/>
      <c r="Q1590" s="77"/>
      <c r="R1590" s="77"/>
      <c r="S1590" s="77"/>
      <c r="T1590" s="77"/>
      <c r="U1590" s="77"/>
      <c r="V1590" s="77"/>
      <c r="W1590" s="77"/>
      <c r="X1590" s="77"/>
      <c r="Y1590" s="77"/>
      <c r="Z1590" s="77"/>
      <c r="AA1590" s="77"/>
      <c r="AB1590" s="77"/>
      <c r="AC1590" s="77"/>
      <c r="AD1590" s="77"/>
      <c r="AE1590" s="79"/>
    </row>
    <row r="1591" spans="1:31" x14ac:dyDescent="0.3">
      <c r="A1591" s="76"/>
      <c r="B1591" s="77"/>
      <c r="C1591" s="78" t="s">
        <v>1502</v>
      </c>
      <c r="D1591" s="78" t="s">
        <v>226</v>
      </c>
      <c r="E1591" s="78" t="s">
        <v>1628</v>
      </c>
      <c r="F1591" s="78" t="s">
        <v>1529</v>
      </c>
      <c r="G1591" s="78" t="s">
        <v>1492</v>
      </c>
      <c r="H1591" s="77"/>
      <c r="I1591" s="226"/>
      <c r="J1591" s="77"/>
      <c r="K1591" s="77"/>
      <c r="L1591" s="77"/>
      <c r="M1591" s="77"/>
      <c r="N1591" s="77"/>
      <c r="O1591" s="77"/>
      <c r="P1591" s="77"/>
      <c r="Q1591" s="77"/>
      <c r="R1591" s="77"/>
      <c r="S1591" s="77"/>
      <c r="T1591" s="77"/>
      <c r="U1591" s="77"/>
      <c r="V1591" s="77"/>
      <c r="W1591" s="77"/>
      <c r="X1591" s="77"/>
      <c r="Y1591" s="77"/>
      <c r="Z1591" s="77"/>
      <c r="AA1591" s="77"/>
      <c r="AB1591" s="77"/>
      <c r="AC1591" s="77"/>
      <c r="AD1591" s="77"/>
      <c r="AE1591" s="79"/>
    </row>
    <row r="1592" spans="1:31" ht="15" thickBot="1" x14ac:dyDescent="0.35">
      <c r="A1592" s="76"/>
      <c r="B1592" s="77"/>
      <c r="C1592" s="78" t="s">
        <v>1504</v>
      </c>
      <c r="D1592" s="78" t="s">
        <v>227</v>
      </c>
      <c r="E1592" s="78" t="s">
        <v>1749</v>
      </c>
      <c r="F1592" s="78" t="s">
        <v>1750</v>
      </c>
      <c r="G1592" s="78" t="s">
        <v>1492</v>
      </c>
      <c r="H1592" s="77"/>
      <c r="I1592" s="227"/>
      <c r="J1592" s="77"/>
      <c r="K1592" s="77"/>
      <c r="L1592" s="77"/>
      <c r="M1592" s="77"/>
      <c r="N1592" s="77"/>
      <c r="O1592" s="77"/>
      <c r="P1592" s="77"/>
      <c r="Q1592" s="77"/>
      <c r="R1592" s="77"/>
      <c r="S1592" s="77"/>
      <c r="T1592" s="77"/>
      <c r="U1592" s="77"/>
      <c r="V1592" s="77"/>
      <c r="W1592" s="77"/>
      <c r="X1592" s="77"/>
      <c r="Y1592" s="77"/>
      <c r="Z1592" s="77"/>
      <c r="AA1592" s="77"/>
      <c r="AB1592" s="77"/>
      <c r="AC1592" s="77"/>
      <c r="AD1592" s="77"/>
      <c r="AE1592" s="79"/>
    </row>
    <row r="1593" spans="1:31" x14ac:dyDescent="0.3">
      <c r="A1593" s="76"/>
      <c r="B1593" s="80"/>
      <c r="C1593" s="78" t="s">
        <v>1507</v>
      </c>
      <c r="D1593" s="78" t="s">
        <v>228</v>
      </c>
      <c r="E1593" s="78" t="s">
        <v>1580</v>
      </c>
      <c r="F1593" s="78" t="s">
        <v>1581</v>
      </c>
      <c r="G1593" s="78" t="s">
        <v>1492</v>
      </c>
      <c r="H1593" s="77"/>
      <c r="I1593" s="225">
        <v>85</v>
      </c>
      <c r="J1593" s="77"/>
      <c r="K1593" s="77"/>
      <c r="L1593" s="77"/>
      <c r="M1593" s="77"/>
      <c r="N1593" s="77"/>
      <c r="O1593" s="77"/>
      <c r="P1593" s="77"/>
      <c r="Q1593" s="77"/>
      <c r="R1593" s="77"/>
      <c r="S1593" s="77"/>
      <c r="T1593" s="77"/>
      <c r="U1593" s="77"/>
      <c r="V1593" s="77"/>
      <c r="W1593" s="77"/>
      <c r="X1593" s="77"/>
      <c r="Y1593" s="77"/>
      <c r="Z1593" s="77"/>
      <c r="AA1593" s="77"/>
      <c r="AB1593" s="77"/>
      <c r="AC1593" s="77"/>
      <c r="AD1593" s="77"/>
      <c r="AE1593" s="79"/>
    </row>
    <row r="1594" spans="1:31" x14ac:dyDescent="0.3">
      <c r="A1594" s="76"/>
      <c r="B1594" s="78" t="s">
        <v>1566</v>
      </c>
      <c r="C1594" s="78" t="s">
        <v>1499</v>
      </c>
      <c r="D1594" s="78" t="s">
        <v>96</v>
      </c>
      <c r="E1594" s="78" t="s">
        <v>1480</v>
      </c>
      <c r="F1594" s="78" t="s">
        <v>1518</v>
      </c>
      <c r="G1594" s="78" t="s">
        <v>1513</v>
      </c>
      <c r="H1594" s="77"/>
      <c r="I1594" s="226"/>
      <c r="J1594" s="77"/>
      <c r="K1594" s="77"/>
      <c r="L1594" s="77"/>
      <c r="M1594" s="77"/>
      <c r="N1594" s="77"/>
      <c r="O1594" s="77"/>
      <c r="P1594" s="77"/>
      <c r="Q1594" s="77"/>
      <c r="R1594" s="77"/>
      <c r="S1594" s="77"/>
      <c r="T1594" s="77"/>
      <c r="U1594" s="77"/>
      <c r="V1594" s="77"/>
      <c r="W1594" s="77"/>
      <c r="X1594" s="77"/>
      <c r="Y1594" s="77"/>
      <c r="Z1594" s="77"/>
      <c r="AA1594" s="77"/>
      <c r="AB1594" s="77"/>
      <c r="AC1594" s="77"/>
      <c r="AD1594" s="77"/>
      <c r="AE1594" s="79"/>
    </row>
    <row r="1595" spans="1:31" x14ac:dyDescent="0.3">
      <c r="A1595" s="76"/>
      <c r="B1595" s="78" t="s">
        <v>2093</v>
      </c>
      <c r="C1595" s="78" t="s">
        <v>1499</v>
      </c>
      <c r="D1595" s="78" t="s">
        <v>157</v>
      </c>
      <c r="E1595" s="78" t="s">
        <v>1494</v>
      </c>
      <c r="F1595" s="78" t="s">
        <v>1495</v>
      </c>
      <c r="G1595" s="78" t="s">
        <v>1513</v>
      </c>
      <c r="H1595" s="77"/>
      <c r="I1595" s="226"/>
      <c r="J1595" s="77"/>
      <c r="K1595" s="77"/>
      <c r="L1595" s="77"/>
      <c r="M1595" s="77"/>
      <c r="N1595" s="77"/>
      <c r="O1595" s="77"/>
      <c r="P1595" s="77"/>
      <c r="Q1595" s="77"/>
      <c r="R1595" s="77"/>
      <c r="S1595" s="77"/>
      <c r="T1595" s="77"/>
      <c r="U1595" s="77"/>
      <c r="V1595" s="77"/>
      <c r="W1595" s="77"/>
      <c r="X1595" s="77"/>
      <c r="Y1595" s="77"/>
      <c r="Z1595" s="77"/>
      <c r="AA1595" s="77"/>
      <c r="AB1595" s="77"/>
      <c r="AC1595" s="77"/>
      <c r="AD1595" s="77"/>
      <c r="AE1595" s="79"/>
    </row>
    <row r="1596" spans="1:31" x14ac:dyDescent="0.3">
      <c r="A1596" s="76"/>
      <c r="B1596" s="78" t="s">
        <v>1753</v>
      </c>
      <c r="C1596" s="78" t="s">
        <v>1489</v>
      </c>
      <c r="D1596" s="78" t="s">
        <v>227</v>
      </c>
      <c r="E1596" s="78" t="s">
        <v>1749</v>
      </c>
      <c r="F1596" s="78" t="s">
        <v>1750</v>
      </c>
      <c r="G1596" s="78" t="s">
        <v>1513</v>
      </c>
      <c r="H1596" s="77"/>
      <c r="I1596" s="226"/>
      <c r="J1596" s="77"/>
      <c r="K1596" s="77"/>
      <c r="L1596" s="77"/>
      <c r="M1596" s="77"/>
      <c r="N1596" s="77"/>
      <c r="O1596" s="77"/>
      <c r="P1596" s="77"/>
      <c r="Q1596" s="77"/>
      <c r="R1596" s="77"/>
      <c r="S1596" s="77"/>
      <c r="T1596" s="77"/>
      <c r="U1596" s="77"/>
      <c r="V1596" s="77"/>
      <c r="W1596" s="77"/>
      <c r="X1596" s="77"/>
      <c r="Y1596" s="77"/>
      <c r="Z1596" s="77"/>
      <c r="AA1596" s="77"/>
      <c r="AB1596" s="77"/>
      <c r="AC1596" s="77"/>
      <c r="AD1596" s="77"/>
      <c r="AE1596" s="79"/>
    </row>
    <row r="1597" spans="1:31" x14ac:dyDescent="0.3">
      <c r="A1597" s="76"/>
      <c r="B1597" s="78" t="s">
        <v>1585</v>
      </c>
      <c r="C1597" s="78" t="s">
        <v>1504</v>
      </c>
      <c r="D1597" s="78" t="s">
        <v>171</v>
      </c>
      <c r="E1597" s="78" t="s">
        <v>1500</v>
      </c>
      <c r="F1597" s="78" t="s">
        <v>1501</v>
      </c>
      <c r="G1597" s="78" t="s">
        <v>1513</v>
      </c>
      <c r="H1597" s="77"/>
      <c r="I1597" s="226"/>
      <c r="J1597" s="77"/>
      <c r="K1597" s="77"/>
      <c r="L1597" s="77"/>
      <c r="M1597" s="77"/>
      <c r="N1597" s="77"/>
      <c r="O1597" s="77"/>
      <c r="P1597" s="77"/>
      <c r="Q1597" s="77"/>
      <c r="R1597" s="77"/>
      <c r="S1597" s="77"/>
      <c r="T1597" s="77"/>
      <c r="U1597" s="77"/>
      <c r="V1597" s="77"/>
      <c r="W1597" s="77"/>
      <c r="X1597" s="77"/>
      <c r="Y1597" s="77"/>
      <c r="Z1597" s="77"/>
      <c r="AA1597" s="77"/>
      <c r="AB1597" s="77"/>
      <c r="AC1597" s="77"/>
      <c r="AD1597" s="77"/>
      <c r="AE1597" s="79"/>
    </row>
    <row r="1598" spans="1:31" x14ac:dyDescent="0.3">
      <c r="A1598" s="76"/>
      <c r="B1598" s="78" t="s">
        <v>1939</v>
      </c>
      <c r="C1598" s="78" t="s">
        <v>1489</v>
      </c>
      <c r="D1598" s="78" t="s">
        <v>120</v>
      </c>
      <c r="E1598" s="78" t="s">
        <v>1933</v>
      </c>
      <c r="F1598" s="78" t="s">
        <v>1558</v>
      </c>
      <c r="G1598" s="78" t="s">
        <v>1513</v>
      </c>
      <c r="H1598" s="77"/>
      <c r="I1598" s="226"/>
      <c r="J1598" s="77"/>
      <c r="K1598" s="77"/>
      <c r="L1598" s="77"/>
      <c r="M1598" s="77"/>
      <c r="N1598" s="77"/>
      <c r="O1598" s="77"/>
      <c r="P1598" s="77"/>
      <c r="Q1598" s="77"/>
      <c r="R1598" s="77"/>
      <c r="S1598" s="77"/>
      <c r="T1598" s="77"/>
      <c r="U1598" s="77"/>
      <c r="V1598" s="77"/>
      <c r="W1598" s="77"/>
      <c r="X1598" s="77"/>
      <c r="Y1598" s="77"/>
      <c r="Z1598" s="77"/>
      <c r="AA1598" s="77"/>
      <c r="AB1598" s="77"/>
      <c r="AC1598" s="77"/>
      <c r="AD1598" s="77"/>
      <c r="AE1598" s="79"/>
    </row>
    <row r="1599" spans="1:31" ht="15" thickBot="1" x14ac:dyDescent="0.35">
      <c r="A1599" s="81"/>
      <c r="B1599" s="82" t="s">
        <v>2156</v>
      </c>
      <c r="C1599" s="82" t="s">
        <v>1489</v>
      </c>
      <c r="D1599" s="82" t="s">
        <v>229</v>
      </c>
      <c r="E1599" s="82" t="s">
        <v>1508</v>
      </c>
      <c r="F1599" s="82" t="s">
        <v>1718</v>
      </c>
      <c r="G1599" s="82" t="s">
        <v>1513</v>
      </c>
      <c r="H1599" s="83"/>
      <c r="I1599" s="226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  <c r="X1599" s="83"/>
      <c r="Y1599" s="83"/>
      <c r="Z1599" s="83"/>
      <c r="AA1599" s="83"/>
      <c r="AB1599" s="83"/>
      <c r="AC1599" s="83"/>
      <c r="AD1599" s="83"/>
      <c r="AE1599" s="84"/>
    </row>
    <row r="1600" spans="1:31" x14ac:dyDescent="0.3">
      <c r="A1600" s="72" t="s">
        <v>164</v>
      </c>
      <c r="B1600" s="73" t="s">
        <v>2157</v>
      </c>
      <c r="C1600" s="74" t="s">
        <v>1479</v>
      </c>
      <c r="D1600" s="74" t="s">
        <v>165</v>
      </c>
      <c r="E1600" s="74" t="s">
        <v>1480</v>
      </c>
      <c r="F1600" s="74"/>
      <c r="G1600" s="74" t="s">
        <v>1481</v>
      </c>
      <c r="H1600" s="73" t="s">
        <v>1482</v>
      </c>
      <c r="I1600" s="226"/>
      <c r="J1600" s="73" t="s">
        <v>163</v>
      </c>
      <c r="K1600" s="73">
        <v>13</v>
      </c>
      <c r="L1600" s="73" t="s">
        <v>195</v>
      </c>
      <c r="M1600" s="73" t="s">
        <v>1483</v>
      </c>
      <c r="N1600" s="73" t="s">
        <v>1483</v>
      </c>
      <c r="O1600" s="73" t="s">
        <v>1483</v>
      </c>
      <c r="P1600" s="73" t="s">
        <v>1483</v>
      </c>
      <c r="Q1600" s="73" t="s">
        <v>1483</v>
      </c>
      <c r="R1600" s="73" t="s">
        <v>1483</v>
      </c>
      <c r="S1600" s="73" t="s">
        <v>1484</v>
      </c>
      <c r="T1600" s="73" t="s">
        <v>1484</v>
      </c>
      <c r="U1600" s="73" t="s">
        <v>1484</v>
      </c>
      <c r="V1600" s="73" t="s">
        <v>1484</v>
      </c>
      <c r="W1600" s="73" t="s">
        <v>1485</v>
      </c>
      <c r="X1600" s="73" t="s">
        <v>1484</v>
      </c>
      <c r="Y1600" s="73" t="s">
        <v>1484</v>
      </c>
      <c r="Z1600" s="73" t="s">
        <v>1485</v>
      </c>
      <c r="AA1600" s="73" t="s">
        <v>1485</v>
      </c>
      <c r="AB1600" s="73" t="s">
        <v>1484</v>
      </c>
      <c r="AC1600" s="73" t="s">
        <v>1486</v>
      </c>
      <c r="AD1600" s="73" t="s">
        <v>1487</v>
      </c>
      <c r="AE1600" s="75" t="s">
        <v>1488</v>
      </c>
    </row>
    <row r="1601" spans="1:31" x14ac:dyDescent="0.3">
      <c r="A1601" s="76"/>
      <c r="B1601" s="77"/>
      <c r="C1601" s="78" t="s">
        <v>1489</v>
      </c>
      <c r="D1601" s="78" t="s">
        <v>166</v>
      </c>
      <c r="E1601" s="78" t="s">
        <v>1505</v>
      </c>
      <c r="F1601" s="78" t="s">
        <v>1631</v>
      </c>
      <c r="G1601" s="78" t="s">
        <v>1492</v>
      </c>
      <c r="H1601" s="77"/>
      <c r="I1601" s="226"/>
      <c r="J1601" s="77"/>
      <c r="K1601" s="77"/>
      <c r="L1601" s="77"/>
      <c r="M1601" s="77"/>
      <c r="N1601" s="77"/>
      <c r="O1601" s="77"/>
      <c r="P1601" s="77"/>
      <c r="Q1601" s="77"/>
      <c r="R1601" s="77"/>
      <c r="S1601" s="77"/>
      <c r="T1601" s="77"/>
      <c r="U1601" s="77"/>
      <c r="V1601" s="77"/>
      <c r="W1601" s="77"/>
      <c r="X1601" s="77"/>
      <c r="Y1601" s="77"/>
      <c r="Z1601" s="77"/>
      <c r="AA1601" s="77"/>
      <c r="AB1601" s="77"/>
      <c r="AC1601" s="77"/>
      <c r="AD1601" s="77"/>
      <c r="AE1601" s="79"/>
    </row>
    <row r="1602" spans="1:31" x14ac:dyDescent="0.3">
      <c r="A1602" s="76"/>
      <c r="B1602" s="77"/>
      <c r="C1602" s="78" t="s">
        <v>1493</v>
      </c>
      <c r="D1602" s="78" t="s">
        <v>167</v>
      </c>
      <c r="E1602" s="78" t="s">
        <v>1560</v>
      </c>
      <c r="F1602" s="78" t="s">
        <v>1528</v>
      </c>
      <c r="G1602" s="78" t="s">
        <v>1492</v>
      </c>
      <c r="H1602" s="77"/>
      <c r="I1602" s="226"/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7"/>
      <c r="AE1602" s="79"/>
    </row>
    <row r="1603" spans="1:31" x14ac:dyDescent="0.3">
      <c r="A1603" s="76"/>
      <c r="B1603" s="77"/>
      <c r="C1603" s="78" t="s">
        <v>1496</v>
      </c>
      <c r="D1603" s="78" t="s">
        <v>168</v>
      </c>
      <c r="E1603" s="78" t="s">
        <v>1503</v>
      </c>
      <c r="F1603" s="78" t="s">
        <v>1495</v>
      </c>
      <c r="G1603" s="78" t="s">
        <v>1492</v>
      </c>
      <c r="H1603" s="77"/>
      <c r="I1603" s="226"/>
      <c r="J1603" s="77"/>
      <c r="K1603" s="77"/>
      <c r="L1603" s="77"/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  <c r="AA1603" s="77"/>
      <c r="AB1603" s="77"/>
      <c r="AC1603" s="77"/>
      <c r="AD1603" s="77"/>
      <c r="AE1603" s="79"/>
    </row>
    <row r="1604" spans="1:31" x14ac:dyDescent="0.3">
      <c r="A1604" s="76"/>
      <c r="B1604" s="77"/>
      <c r="C1604" s="78" t="s">
        <v>1499</v>
      </c>
      <c r="D1604" s="78" t="s">
        <v>169</v>
      </c>
      <c r="E1604" s="78" t="s">
        <v>1494</v>
      </c>
      <c r="F1604" s="78" t="s">
        <v>1495</v>
      </c>
      <c r="G1604" s="78" t="s">
        <v>1492</v>
      </c>
      <c r="H1604" s="77"/>
      <c r="I1604" s="226"/>
      <c r="J1604" s="77"/>
      <c r="K1604" s="77"/>
      <c r="L1604" s="77"/>
      <c r="M1604" s="77"/>
      <c r="N1604" s="77"/>
      <c r="O1604" s="77"/>
      <c r="P1604" s="77"/>
      <c r="Q1604" s="77"/>
      <c r="R1604" s="77"/>
      <c r="S1604" s="77"/>
      <c r="T1604" s="77"/>
      <c r="U1604" s="77"/>
      <c r="V1604" s="77"/>
      <c r="W1604" s="77"/>
      <c r="X1604" s="77"/>
      <c r="Y1604" s="77"/>
      <c r="Z1604" s="77"/>
      <c r="AA1604" s="77"/>
      <c r="AB1604" s="77"/>
      <c r="AC1604" s="77"/>
      <c r="AD1604" s="77"/>
      <c r="AE1604" s="79"/>
    </row>
    <row r="1605" spans="1:31" x14ac:dyDescent="0.3">
      <c r="A1605" s="76"/>
      <c r="B1605" s="77"/>
      <c r="C1605" s="78" t="s">
        <v>1502</v>
      </c>
      <c r="D1605" s="78" t="s">
        <v>170</v>
      </c>
      <c r="E1605" s="78" t="s">
        <v>2052</v>
      </c>
      <c r="F1605" s="78" t="s">
        <v>1565</v>
      </c>
      <c r="G1605" s="78" t="s">
        <v>1492</v>
      </c>
      <c r="H1605" s="77"/>
      <c r="I1605" s="226"/>
      <c r="J1605" s="77"/>
      <c r="K1605" s="77"/>
      <c r="L1605" s="77"/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  <c r="AA1605" s="77"/>
      <c r="AB1605" s="77"/>
      <c r="AC1605" s="77"/>
      <c r="AD1605" s="77"/>
      <c r="AE1605" s="79"/>
    </row>
    <row r="1606" spans="1:31" x14ac:dyDescent="0.3">
      <c r="A1606" s="76"/>
      <c r="B1606" s="80"/>
      <c r="C1606" s="78" t="s">
        <v>1504</v>
      </c>
      <c r="D1606" s="78" t="s">
        <v>171</v>
      </c>
      <c r="E1606" s="78" t="s">
        <v>1500</v>
      </c>
      <c r="F1606" s="78" t="s">
        <v>1501</v>
      </c>
      <c r="G1606" s="78" t="s">
        <v>1492</v>
      </c>
      <c r="H1606" s="77"/>
      <c r="I1606" s="226"/>
      <c r="J1606" s="77"/>
      <c r="K1606" s="77"/>
      <c r="L1606" s="77"/>
      <c r="M1606" s="77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  <c r="AA1606" s="77"/>
      <c r="AB1606" s="77"/>
      <c r="AC1606" s="77"/>
      <c r="AD1606" s="77"/>
      <c r="AE1606" s="79"/>
    </row>
    <row r="1607" spans="1:31" ht="15" thickBot="1" x14ac:dyDescent="0.35">
      <c r="A1607" s="76"/>
      <c r="B1607" s="78" t="s">
        <v>1485</v>
      </c>
      <c r="C1607" s="78" t="s">
        <v>1485</v>
      </c>
      <c r="D1607" s="78" t="s">
        <v>172</v>
      </c>
      <c r="E1607" s="78" t="s">
        <v>1709</v>
      </c>
      <c r="F1607" s="78" t="s">
        <v>1512</v>
      </c>
      <c r="G1607" s="78" t="s">
        <v>1513</v>
      </c>
      <c r="H1607" s="77"/>
      <c r="I1607" s="227"/>
      <c r="J1607" s="77"/>
      <c r="K1607" s="77"/>
      <c r="L1607" s="77"/>
      <c r="M1607" s="77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  <c r="AA1607" s="77"/>
      <c r="AB1607" s="77"/>
      <c r="AC1607" s="77"/>
      <c r="AD1607" s="77"/>
      <c r="AE1607" s="79"/>
    </row>
    <row r="1608" spans="1:31" x14ac:dyDescent="0.3">
      <c r="A1608" s="76"/>
      <c r="B1608" s="78" t="s">
        <v>1584</v>
      </c>
      <c r="C1608" s="78" t="s">
        <v>1499</v>
      </c>
      <c r="D1608" s="78" t="s">
        <v>173</v>
      </c>
      <c r="E1608" s="78" t="s">
        <v>1480</v>
      </c>
      <c r="F1608" s="78" t="s">
        <v>1518</v>
      </c>
      <c r="G1608" s="78" t="s">
        <v>1513</v>
      </c>
      <c r="H1608" s="77"/>
      <c r="I1608" s="225">
        <v>18</v>
      </c>
      <c r="J1608" s="77"/>
      <c r="K1608" s="77"/>
      <c r="L1608" s="77"/>
      <c r="M1608" s="77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  <c r="AA1608" s="77"/>
      <c r="AB1608" s="77"/>
      <c r="AC1608" s="77"/>
      <c r="AD1608" s="77"/>
      <c r="AE1608" s="79"/>
    </row>
    <row r="1609" spans="1:31" x14ac:dyDescent="0.3">
      <c r="A1609" s="76"/>
      <c r="B1609" s="78" t="s">
        <v>2109</v>
      </c>
      <c r="C1609" s="78" t="s">
        <v>1493</v>
      </c>
      <c r="D1609" s="78" t="s">
        <v>169</v>
      </c>
      <c r="E1609" s="78" t="s">
        <v>1494</v>
      </c>
      <c r="F1609" s="78" t="s">
        <v>1495</v>
      </c>
      <c r="G1609" s="78" t="s">
        <v>1513</v>
      </c>
      <c r="H1609" s="77"/>
      <c r="I1609" s="226"/>
      <c r="J1609" s="77"/>
      <c r="K1609" s="77"/>
      <c r="L1609" s="77"/>
      <c r="M1609" s="77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  <c r="AA1609" s="77"/>
      <c r="AB1609" s="77"/>
      <c r="AC1609" s="77"/>
      <c r="AD1609" s="77"/>
      <c r="AE1609" s="79"/>
    </row>
    <row r="1610" spans="1:31" x14ac:dyDescent="0.3">
      <c r="A1610" s="76"/>
      <c r="B1610" s="78" t="s">
        <v>1682</v>
      </c>
      <c r="C1610" s="78" t="s">
        <v>1499</v>
      </c>
      <c r="D1610" s="78" t="s">
        <v>168</v>
      </c>
      <c r="E1610" s="78" t="s">
        <v>1503</v>
      </c>
      <c r="F1610" s="78" t="s">
        <v>1495</v>
      </c>
      <c r="G1610" s="78" t="s">
        <v>1513</v>
      </c>
      <c r="H1610" s="77"/>
      <c r="I1610" s="226"/>
      <c r="J1610" s="77"/>
      <c r="K1610" s="77"/>
      <c r="L1610" s="77"/>
      <c r="M1610" s="77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  <c r="AA1610" s="77"/>
      <c r="AB1610" s="77"/>
      <c r="AC1610" s="77"/>
      <c r="AD1610" s="77"/>
      <c r="AE1610" s="79"/>
    </row>
    <row r="1611" spans="1:31" x14ac:dyDescent="0.3">
      <c r="A1611" s="76"/>
      <c r="B1611" s="78" t="s">
        <v>1585</v>
      </c>
      <c r="C1611" s="78" t="s">
        <v>1489</v>
      </c>
      <c r="D1611" s="78" t="s">
        <v>171</v>
      </c>
      <c r="E1611" s="78" t="s">
        <v>1500</v>
      </c>
      <c r="F1611" s="78" t="s">
        <v>1501</v>
      </c>
      <c r="G1611" s="78" t="s">
        <v>1513</v>
      </c>
      <c r="H1611" s="77"/>
      <c r="I1611" s="226"/>
      <c r="J1611" s="77"/>
      <c r="K1611" s="77"/>
      <c r="L1611" s="77"/>
      <c r="M1611" s="77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  <c r="AA1611" s="77"/>
      <c r="AB1611" s="77"/>
      <c r="AC1611" s="77"/>
      <c r="AD1611" s="77"/>
      <c r="AE1611" s="79"/>
    </row>
    <row r="1612" spans="1:31" x14ac:dyDescent="0.3">
      <c r="A1612" s="76"/>
      <c r="B1612" s="78" t="s">
        <v>1754</v>
      </c>
      <c r="C1612" s="78" t="s">
        <v>1502</v>
      </c>
      <c r="D1612" s="78" t="s">
        <v>166</v>
      </c>
      <c r="E1612" s="78" t="s">
        <v>1505</v>
      </c>
      <c r="F1612" s="78" t="s">
        <v>1631</v>
      </c>
      <c r="G1612" s="78" t="s">
        <v>1513</v>
      </c>
      <c r="H1612" s="77"/>
      <c r="I1612" s="226"/>
      <c r="J1612" s="77"/>
      <c r="K1612" s="77"/>
      <c r="L1612" s="77"/>
      <c r="M1612" s="77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  <c r="AA1612" s="77"/>
      <c r="AB1612" s="77"/>
      <c r="AC1612" s="77"/>
      <c r="AD1612" s="77"/>
      <c r="AE1612" s="79"/>
    </row>
    <row r="1613" spans="1:31" x14ac:dyDescent="0.3">
      <c r="A1613" s="76"/>
      <c r="B1613" s="78" t="s">
        <v>1606</v>
      </c>
      <c r="C1613" s="78" t="s">
        <v>1502</v>
      </c>
      <c r="D1613" s="78" t="s">
        <v>167</v>
      </c>
      <c r="E1613" s="78" t="s">
        <v>1560</v>
      </c>
      <c r="F1613" s="78" t="s">
        <v>1528</v>
      </c>
      <c r="G1613" s="78" t="s">
        <v>1513</v>
      </c>
      <c r="H1613" s="77"/>
      <c r="I1613" s="226"/>
      <c r="J1613" s="77"/>
      <c r="K1613" s="77"/>
      <c r="L1613" s="77"/>
      <c r="M1613" s="77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  <c r="AA1613" s="77"/>
      <c r="AB1613" s="77"/>
      <c r="AC1613" s="77"/>
      <c r="AD1613" s="77"/>
      <c r="AE1613" s="79"/>
    </row>
    <row r="1614" spans="1:31" ht="15" thickBot="1" x14ac:dyDescent="0.35">
      <c r="A1614" s="81"/>
      <c r="B1614" s="82" t="s">
        <v>2055</v>
      </c>
      <c r="C1614" s="82" t="s">
        <v>1493</v>
      </c>
      <c r="D1614" s="82" t="s">
        <v>170</v>
      </c>
      <c r="E1614" s="82" t="s">
        <v>2052</v>
      </c>
      <c r="F1614" s="82" t="s">
        <v>1565</v>
      </c>
      <c r="G1614" s="82" t="s">
        <v>1513</v>
      </c>
      <c r="H1614" s="83"/>
      <c r="I1614" s="226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  <c r="X1614" s="83"/>
      <c r="Y1614" s="83"/>
      <c r="Z1614" s="83"/>
      <c r="AA1614" s="83"/>
      <c r="AB1614" s="83"/>
      <c r="AC1614" s="83"/>
      <c r="AD1614" s="83"/>
      <c r="AE1614" s="84"/>
    </row>
    <row r="1615" spans="1:31" x14ac:dyDescent="0.3">
      <c r="A1615" s="72" t="s">
        <v>155</v>
      </c>
      <c r="B1615" s="73" t="s">
        <v>2158</v>
      </c>
      <c r="C1615" s="74" t="s">
        <v>1479</v>
      </c>
      <c r="D1615" s="74" t="s">
        <v>156</v>
      </c>
      <c r="E1615" s="74" t="s">
        <v>1480</v>
      </c>
      <c r="F1615" s="74"/>
      <c r="G1615" s="74" t="s">
        <v>1481</v>
      </c>
      <c r="H1615" s="73" t="s">
        <v>1482</v>
      </c>
      <c r="I1615" s="226"/>
      <c r="J1615" s="73" t="s">
        <v>154</v>
      </c>
      <c r="K1615" s="73">
        <v>12</v>
      </c>
      <c r="L1615" s="73" t="s">
        <v>195</v>
      </c>
      <c r="M1615" s="73" t="s">
        <v>1483</v>
      </c>
      <c r="N1615" s="73" t="s">
        <v>1483</v>
      </c>
      <c r="O1615" s="73" t="s">
        <v>1483</v>
      </c>
      <c r="P1615" s="73" t="s">
        <v>1483</v>
      </c>
      <c r="Q1615" s="73" t="s">
        <v>1483</v>
      </c>
      <c r="R1615" s="73" t="s">
        <v>1483</v>
      </c>
      <c r="S1615" s="73" t="s">
        <v>1484</v>
      </c>
      <c r="T1615" s="73" t="s">
        <v>1484</v>
      </c>
      <c r="U1615" s="73" t="s">
        <v>1484</v>
      </c>
      <c r="V1615" s="73" t="s">
        <v>1484</v>
      </c>
      <c r="W1615" s="73" t="s">
        <v>1485</v>
      </c>
      <c r="X1615" s="73" t="s">
        <v>1484</v>
      </c>
      <c r="Y1615" s="73" t="s">
        <v>1484</v>
      </c>
      <c r="Z1615" s="73" t="s">
        <v>1485</v>
      </c>
      <c r="AA1615" s="73" t="s">
        <v>1485</v>
      </c>
      <c r="AB1615" s="73" t="s">
        <v>1484</v>
      </c>
      <c r="AC1615" s="73" t="s">
        <v>1486</v>
      </c>
      <c r="AD1615" s="73" t="s">
        <v>1487</v>
      </c>
      <c r="AE1615" s="75" t="s">
        <v>1488</v>
      </c>
    </row>
    <row r="1616" spans="1:31" x14ac:dyDescent="0.3">
      <c r="A1616" s="76"/>
      <c r="B1616" s="77"/>
      <c r="C1616" s="78" t="s">
        <v>1496</v>
      </c>
      <c r="D1616" s="78" t="s">
        <v>150</v>
      </c>
      <c r="E1616" s="78" t="s">
        <v>1503</v>
      </c>
      <c r="F1616" s="78" t="s">
        <v>1495</v>
      </c>
      <c r="G1616" s="78" t="s">
        <v>1492</v>
      </c>
      <c r="H1616" s="77"/>
      <c r="I1616" s="226"/>
      <c r="J1616" s="77"/>
      <c r="K1616" s="77"/>
      <c r="L1616" s="77"/>
      <c r="M1616" s="77"/>
      <c r="N1616" s="77"/>
      <c r="O1616" s="77"/>
      <c r="P1616" s="77"/>
      <c r="Q1616" s="77"/>
      <c r="R1616" s="77"/>
      <c r="S1616" s="77"/>
      <c r="T1616" s="77"/>
      <c r="U1616" s="77"/>
      <c r="V1616" s="77"/>
      <c r="W1616" s="77"/>
      <c r="X1616" s="77"/>
      <c r="Y1616" s="77"/>
      <c r="Z1616" s="77"/>
      <c r="AA1616" s="77"/>
      <c r="AB1616" s="77"/>
      <c r="AC1616" s="77"/>
      <c r="AD1616" s="77"/>
      <c r="AE1616" s="79"/>
    </row>
    <row r="1617" spans="1:31" x14ac:dyDescent="0.3">
      <c r="A1617" s="76"/>
      <c r="B1617" s="77"/>
      <c r="C1617" s="78" t="s">
        <v>1499</v>
      </c>
      <c r="D1617" s="78" t="s">
        <v>157</v>
      </c>
      <c r="E1617" s="78" t="s">
        <v>1494</v>
      </c>
      <c r="F1617" s="78" t="s">
        <v>1495</v>
      </c>
      <c r="G1617" s="78" t="s">
        <v>1492</v>
      </c>
      <c r="H1617" s="77"/>
      <c r="I1617" s="226"/>
      <c r="J1617" s="77"/>
      <c r="K1617" s="77"/>
      <c r="L1617" s="77"/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  <c r="AA1617" s="77"/>
      <c r="AB1617" s="77"/>
      <c r="AC1617" s="77"/>
      <c r="AD1617" s="77"/>
      <c r="AE1617" s="79"/>
    </row>
    <row r="1618" spans="1:31" x14ac:dyDescent="0.3">
      <c r="A1618" s="76"/>
      <c r="B1618" s="80"/>
      <c r="C1618" s="78" t="s">
        <v>1504</v>
      </c>
      <c r="D1618" s="78" t="s">
        <v>158</v>
      </c>
      <c r="E1618" s="78" t="s">
        <v>1500</v>
      </c>
      <c r="F1618" s="78" t="s">
        <v>1501</v>
      </c>
      <c r="G1618" s="78" t="s">
        <v>1492</v>
      </c>
      <c r="H1618" s="77"/>
      <c r="I1618" s="226"/>
      <c r="J1618" s="77"/>
      <c r="K1618" s="77"/>
      <c r="L1618" s="77"/>
      <c r="M1618" s="77"/>
      <c r="N1618" s="77"/>
      <c r="O1618" s="77"/>
      <c r="P1618" s="77"/>
      <c r="Q1618" s="77"/>
      <c r="R1618" s="77"/>
      <c r="S1618" s="77"/>
      <c r="T1618" s="77"/>
      <c r="U1618" s="77"/>
      <c r="V1618" s="77"/>
      <c r="W1618" s="77"/>
      <c r="X1618" s="77"/>
      <c r="Y1618" s="77"/>
      <c r="Z1618" s="77"/>
      <c r="AA1618" s="77"/>
      <c r="AB1618" s="77"/>
      <c r="AC1618" s="77"/>
      <c r="AD1618" s="77"/>
      <c r="AE1618" s="79"/>
    </row>
    <row r="1619" spans="1:31" x14ac:dyDescent="0.3">
      <c r="A1619" s="76"/>
      <c r="B1619" s="78" t="s">
        <v>1485</v>
      </c>
      <c r="C1619" s="78" t="s">
        <v>1485</v>
      </c>
      <c r="D1619" s="78" t="s">
        <v>1868</v>
      </c>
      <c r="E1619" s="78" t="s">
        <v>1709</v>
      </c>
      <c r="F1619" s="78" t="s">
        <v>1512</v>
      </c>
      <c r="G1619" s="78" t="s">
        <v>1513</v>
      </c>
      <c r="H1619" s="77"/>
      <c r="I1619" s="226"/>
      <c r="J1619" s="77"/>
      <c r="K1619" s="77"/>
      <c r="L1619" s="77"/>
      <c r="M1619" s="77"/>
      <c r="N1619" s="77"/>
      <c r="O1619" s="77"/>
      <c r="P1619" s="77"/>
      <c r="Q1619" s="77"/>
      <c r="R1619" s="77"/>
      <c r="S1619" s="77"/>
      <c r="T1619" s="77"/>
      <c r="U1619" s="77"/>
      <c r="V1619" s="77"/>
      <c r="W1619" s="77"/>
      <c r="X1619" s="77"/>
      <c r="Y1619" s="77"/>
      <c r="Z1619" s="77"/>
      <c r="AA1619" s="77"/>
      <c r="AB1619" s="77"/>
      <c r="AC1619" s="77"/>
      <c r="AD1619" s="77"/>
      <c r="AE1619" s="79"/>
    </row>
    <row r="1620" spans="1:31" ht="15" thickBot="1" x14ac:dyDescent="0.35">
      <c r="A1620" s="76"/>
      <c r="B1620" s="78" t="s">
        <v>1485</v>
      </c>
      <c r="C1620" s="78" t="s">
        <v>1485</v>
      </c>
      <c r="D1620" s="78" t="s">
        <v>2159</v>
      </c>
      <c r="E1620" s="78" t="s">
        <v>1534</v>
      </c>
      <c r="F1620" s="78" t="s">
        <v>1535</v>
      </c>
      <c r="G1620" s="78" t="s">
        <v>1513</v>
      </c>
      <c r="H1620" s="77"/>
      <c r="I1620" s="227"/>
      <c r="J1620" s="77"/>
      <c r="K1620" s="77"/>
      <c r="L1620" s="77"/>
      <c r="M1620" s="77"/>
      <c r="N1620" s="77"/>
      <c r="O1620" s="77"/>
      <c r="P1620" s="77"/>
      <c r="Q1620" s="77"/>
      <c r="R1620" s="77"/>
      <c r="S1620" s="77"/>
      <c r="T1620" s="77"/>
      <c r="U1620" s="77"/>
      <c r="V1620" s="77"/>
      <c r="W1620" s="77"/>
      <c r="X1620" s="77"/>
      <c r="Y1620" s="77"/>
      <c r="Z1620" s="77"/>
      <c r="AA1620" s="77"/>
      <c r="AB1620" s="77"/>
      <c r="AC1620" s="77"/>
      <c r="AD1620" s="77"/>
      <c r="AE1620" s="79"/>
    </row>
    <row r="1621" spans="1:31" x14ac:dyDescent="0.3">
      <c r="A1621" s="76"/>
      <c r="B1621" s="78" t="s">
        <v>1593</v>
      </c>
      <c r="C1621" s="78" t="s">
        <v>1499</v>
      </c>
      <c r="D1621" s="78" t="s">
        <v>160</v>
      </c>
      <c r="E1621" s="78" t="s">
        <v>1480</v>
      </c>
      <c r="F1621" s="78" t="s">
        <v>1518</v>
      </c>
      <c r="G1621" s="78" t="s">
        <v>1513</v>
      </c>
      <c r="H1621" s="77"/>
      <c r="I1621" s="225" t="s">
        <v>1485</v>
      </c>
      <c r="J1621" s="77"/>
      <c r="K1621" s="77"/>
      <c r="L1621" s="77"/>
      <c r="M1621" s="77"/>
      <c r="N1621" s="77"/>
      <c r="O1621" s="77"/>
      <c r="P1621" s="77"/>
      <c r="Q1621" s="77"/>
      <c r="R1621" s="77"/>
      <c r="S1621" s="77"/>
      <c r="T1621" s="77"/>
      <c r="U1621" s="77"/>
      <c r="V1621" s="77"/>
      <c r="W1621" s="77"/>
      <c r="X1621" s="77"/>
      <c r="Y1621" s="77"/>
      <c r="Z1621" s="77"/>
      <c r="AA1621" s="77"/>
      <c r="AB1621" s="77"/>
      <c r="AC1621" s="77"/>
      <c r="AD1621" s="77"/>
      <c r="AE1621" s="79"/>
    </row>
    <row r="1622" spans="1:31" x14ac:dyDescent="0.3">
      <c r="A1622" s="76"/>
      <c r="B1622" s="78" t="s">
        <v>2093</v>
      </c>
      <c r="C1622" s="78" t="s">
        <v>1489</v>
      </c>
      <c r="D1622" s="78" t="s">
        <v>157</v>
      </c>
      <c r="E1622" s="78" t="s">
        <v>1494</v>
      </c>
      <c r="F1622" s="78" t="s">
        <v>1495</v>
      </c>
      <c r="G1622" s="78" t="s">
        <v>1513</v>
      </c>
      <c r="H1622" s="77"/>
      <c r="I1622" s="226"/>
      <c r="J1622" s="77"/>
      <c r="K1622" s="77"/>
      <c r="L1622" s="77"/>
      <c r="M1622" s="77"/>
      <c r="N1622" s="77"/>
      <c r="O1622" s="77"/>
      <c r="P1622" s="77"/>
      <c r="Q1622" s="77"/>
      <c r="R1622" s="77"/>
      <c r="S1622" s="77"/>
      <c r="T1622" s="77"/>
      <c r="U1622" s="77"/>
      <c r="V1622" s="77"/>
      <c r="W1622" s="77"/>
      <c r="X1622" s="77"/>
      <c r="Y1622" s="77"/>
      <c r="Z1622" s="77"/>
      <c r="AA1622" s="77"/>
      <c r="AB1622" s="77"/>
      <c r="AC1622" s="77"/>
      <c r="AD1622" s="77"/>
      <c r="AE1622" s="79"/>
    </row>
    <row r="1623" spans="1:31" x14ac:dyDescent="0.3">
      <c r="A1623" s="76"/>
      <c r="B1623" s="78" t="s">
        <v>1786</v>
      </c>
      <c r="C1623" s="78" t="s">
        <v>1499</v>
      </c>
      <c r="D1623" s="78" t="s">
        <v>150</v>
      </c>
      <c r="E1623" s="78" t="s">
        <v>1503</v>
      </c>
      <c r="F1623" s="78" t="s">
        <v>1495</v>
      </c>
      <c r="G1623" s="78" t="s">
        <v>1513</v>
      </c>
      <c r="H1623" s="77"/>
      <c r="I1623" s="226"/>
      <c r="J1623" s="77"/>
      <c r="K1623" s="77"/>
      <c r="L1623" s="77"/>
      <c r="M1623" s="77"/>
      <c r="N1623" s="77"/>
      <c r="O1623" s="77"/>
      <c r="P1623" s="77"/>
      <c r="Q1623" s="77"/>
      <c r="R1623" s="77"/>
      <c r="S1623" s="77"/>
      <c r="T1623" s="77"/>
      <c r="U1623" s="77"/>
      <c r="V1623" s="77"/>
      <c r="W1623" s="77"/>
      <c r="X1623" s="77"/>
      <c r="Y1623" s="77"/>
      <c r="Z1623" s="77"/>
      <c r="AA1623" s="77"/>
      <c r="AB1623" s="77"/>
      <c r="AC1623" s="77"/>
      <c r="AD1623" s="77"/>
      <c r="AE1623" s="79"/>
    </row>
    <row r="1624" spans="1:31" x14ac:dyDescent="0.3">
      <c r="A1624" s="76"/>
      <c r="B1624" s="78" t="s">
        <v>1636</v>
      </c>
      <c r="C1624" s="78" t="s">
        <v>1489</v>
      </c>
      <c r="D1624" s="78" t="s">
        <v>158</v>
      </c>
      <c r="E1624" s="78" t="s">
        <v>1500</v>
      </c>
      <c r="F1624" s="78" t="s">
        <v>1501</v>
      </c>
      <c r="G1624" s="78" t="s">
        <v>1513</v>
      </c>
      <c r="H1624" s="77"/>
      <c r="I1624" s="226"/>
      <c r="J1624" s="77"/>
      <c r="K1624" s="77"/>
      <c r="L1624" s="77"/>
      <c r="M1624" s="77"/>
      <c r="N1624" s="77"/>
      <c r="O1624" s="77"/>
      <c r="P1624" s="77"/>
      <c r="Q1624" s="77"/>
      <c r="R1624" s="77"/>
      <c r="S1624" s="77"/>
      <c r="T1624" s="77"/>
      <c r="U1624" s="77"/>
      <c r="V1624" s="77"/>
      <c r="W1624" s="77"/>
      <c r="X1624" s="77"/>
      <c r="Y1624" s="77"/>
      <c r="Z1624" s="77"/>
      <c r="AA1624" s="77"/>
      <c r="AB1624" s="77"/>
      <c r="AC1624" s="77"/>
      <c r="AD1624" s="77"/>
      <c r="AE1624" s="79"/>
    </row>
    <row r="1625" spans="1:31" ht="15" thickBot="1" x14ac:dyDescent="0.35">
      <c r="A1625" s="81"/>
      <c r="B1625" s="82" t="s">
        <v>2059</v>
      </c>
      <c r="C1625" s="82" t="s">
        <v>1489</v>
      </c>
      <c r="D1625" s="82" t="s">
        <v>161</v>
      </c>
      <c r="E1625" s="82" t="s">
        <v>2052</v>
      </c>
      <c r="F1625" s="82" t="s">
        <v>1558</v>
      </c>
      <c r="G1625" s="82" t="s">
        <v>1513</v>
      </c>
      <c r="H1625" s="82"/>
      <c r="I1625" s="226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  <c r="X1625" s="83"/>
      <c r="Y1625" s="83"/>
      <c r="Z1625" s="83"/>
      <c r="AA1625" s="83"/>
      <c r="AB1625" s="83"/>
      <c r="AC1625" s="83"/>
      <c r="AD1625" s="83"/>
      <c r="AE1625" s="84"/>
    </row>
    <row r="1626" spans="1:31" x14ac:dyDescent="0.3">
      <c r="A1626" s="72" t="s">
        <v>999</v>
      </c>
      <c r="B1626" s="73" t="s">
        <v>2160</v>
      </c>
      <c r="C1626" s="74" t="s">
        <v>1479</v>
      </c>
      <c r="D1626" s="74" t="s">
        <v>1000</v>
      </c>
      <c r="E1626" s="74" t="s">
        <v>1480</v>
      </c>
      <c r="F1626" s="74"/>
      <c r="G1626" s="74" t="s">
        <v>1481</v>
      </c>
      <c r="H1626" s="73" t="s">
        <v>1482</v>
      </c>
      <c r="I1626" s="226"/>
      <c r="J1626" s="73" t="s">
        <v>998</v>
      </c>
      <c r="K1626" s="73">
        <v>146</v>
      </c>
      <c r="L1626" s="73" t="s">
        <v>195</v>
      </c>
      <c r="M1626" s="73" t="s">
        <v>1483</v>
      </c>
      <c r="N1626" s="73" t="s">
        <v>1483</v>
      </c>
      <c r="O1626" s="73" t="s">
        <v>1483</v>
      </c>
      <c r="P1626" s="73" t="s">
        <v>1483</v>
      </c>
      <c r="Q1626" s="73" t="s">
        <v>1483</v>
      </c>
      <c r="R1626" s="73" t="s">
        <v>1483</v>
      </c>
      <c r="S1626" s="73" t="s">
        <v>1484</v>
      </c>
      <c r="T1626" s="73" t="s">
        <v>1484</v>
      </c>
      <c r="U1626" s="73" t="s">
        <v>1484</v>
      </c>
      <c r="V1626" s="73" t="s">
        <v>1484</v>
      </c>
      <c r="W1626" s="73" t="s">
        <v>1485</v>
      </c>
      <c r="X1626" s="73" t="s">
        <v>1484</v>
      </c>
      <c r="Y1626" s="73" t="s">
        <v>1484</v>
      </c>
      <c r="Z1626" s="73" t="s">
        <v>1485</v>
      </c>
      <c r="AA1626" s="73" t="s">
        <v>1485</v>
      </c>
      <c r="AB1626" s="73" t="s">
        <v>1484</v>
      </c>
      <c r="AC1626" s="73" t="s">
        <v>1486</v>
      </c>
      <c r="AD1626" s="73" t="s">
        <v>1487</v>
      </c>
      <c r="AE1626" s="75" t="s">
        <v>1488</v>
      </c>
    </row>
    <row r="1627" spans="1:31" x14ac:dyDescent="0.3">
      <c r="A1627" s="76"/>
      <c r="B1627" s="77"/>
      <c r="C1627" s="78" t="s">
        <v>1493</v>
      </c>
      <c r="D1627" s="78" t="s">
        <v>412</v>
      </c>
      <c r="E1627" s="78" t="s">
        <v>1505</v>
      </c>
      <c r="F1627" s="78" t="s">
        <v>1491</v>
      </c>
      <c r="G1627" s="78" t="s">
        <v>1492</v>
      </c>
      <c r="H1627" s="77"/>
      <c r="I1627" s="226"/>
      <c r="J1627" s="77"/>
      <c r="K1627" s="77"/>
      <c r="L1627" s="77"/>
      <c r="M1627" s="77"/>
      <c r="N1627" s="77"/>
      <c r="O1627" s="77"/>
      <c r="P1627" s="77"/>
      <c r="Q1627" s="77"/>
      <c r="R1627" s="77"/>
      <c r="S1627" s="77"/>
      <c r="T1627" s="77"/>
      <c r="U1627" s="77"/>
      <c r="V1627" s="77"/>
      <c r="W1627" s="77"/>
      <c r="X1627" s="77"/>
      <c r="Y1627" s="77"/>
      <c r="Z1627" s="77"/>
      <c r="AA1627" s="77"/>
      <c r="AB1627" s="77"/>
      <c r="AC1627" s="77"/>
      <c r="AD1627" s="77"/>
      <c r="AE1627" s="79"/>
    </row>
    <row r="1628" spans="1:31" x14ac:dyDescent="0.3">
      <c r="A1628" s="76"/>
      <c r="B1628" s="77"/>
      <c r="C1628" s="78" t="s">
        <v>1496</v>
      </c>
      <c r="D1628" s="78" t="s">
        <v>64</v>
      </c>
      <c r="E1628" s="78" t="s">
        <v>1609</v>
      </c>
      <c r="F1628" s="78" t="s">
        <v>1529</v>
      </c>
      <c r="G1628" s="78" t="s">
        <v>1492</v>
      </c>
      <c r="H1628" s="77"/>
      <c r="I1628" s="226"/>
      <c r="J1628" s="77"/>
      <c r="K1628" s="77"/>
      <c r="L1628" s="77"/>
      <c r="M1628" s="77"/>
      <c r="N1628" s="77"/>
      <c r="O1628" s="77"/>
      <c r="P1628" s="77"/>
      <c r="Q1628" s="77"/>
      <c r="R1628" s="77"/>
      <c r="S1628" s="77"/>
      <c r="T1628" s="77"/>
      <c r="U1628" s="77"/>
      <c r="V1628" s="77"/>
      <c r="W1628" s="77"/>
      <c r="X1628" s="77"/>
      <c r="Y1628" s="77"/>
      <c r="Z1628" s="77"/>
      <c r="AA1628" s="77"/>
      <c r="AB1628" s="77"/>
      <c r="AC1628" s="77"/>
      <c r="AD1628" s="77"/>
      <c r="AE1628" s="79"/>
    </row>
    <row r="1629" spans="1:31" x14ac:dyDescent="0.3">
      <c r="A1629" s="76"/>
      <c r="B1629" s="77"/>
      <c r="C1629" s="78" t="s">
        <v>1499</v>
      </c>
      <c r="D1629" s="78" t="s">
        <v>298</v>
      </c>
      <c r="E1629" s="78" t="s">
        <v>1503</v>
      </c>
      <c r="F1629" s="78" t="s">
        <v>1495</v>
      </c>
      <c r="G1629" s="78" t="s">
        <v>1492</v>
      </c>
      <c r="H1629" s="77"/>
      <c r="I1629" s="226"/>
      <c r="J1629" s="77"/>
      <c r="K1629" s="77"/>
      <c r="L1629" s="77"/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  <c r="X1629" s="77"/>
      <c r="Y1629" s="77"/>
      <c r="Z1629" s="77"/>
      <c r="AA1629" s="77"/>
      <c r="AB1629" s="77"/>
      <c r="AC1629" s="77"/>
      <c r="AD1629" s="77"/>
      <c r="AE1629" s="79"/>
    </row>
    <row r="1630" spans="1:31" x14ac:dyDescent="0.3">
      <c r="A1630" s="76"/>
      <c r="B1630" s="77"/>
      <c r="C1630" s="78" t="s">
        <v>1502</v>
      </c>
      <c r="D1630" s="78" t="s">
        <v>623</v>
      </c>
      <c r="E1630" s="78" t="s">
        <v>2016</v>
      </c>
      <c r="F1630" s="78" t="s">
        <v>1565</v>
      </c>
      <c r="G1630" s="78" t="s">
        <v>1492</v>
      </c>
      <c r="H1630" s="77"/>
      <c r="I1630" s="226"/>
      <c r="J1630" s="77"/>
      <c r="K1630" s="77"/>
      <c r="L1630" s="77"/>
      <c r="M1630" s="77"/>
      <c r="N1630" s="77"/>
      <c r="O1630" s="77"/>
      <c r="P1630" s="77"/>
      <c r="Q1630" s="77"/>
      <c r="R1630" s="77"/>
      <c r="S1630" s="77"/>
      <c r="T1630" s="77"/>
      <c r="U1630" s="77"/>
      <c r="V1630" s="77"/>
      <c r="W1630" s="77"/>
      <c r="X1630" s="77"/>
      <c r="Y1630" s="77"/>
      <c r="Z1630" s="77"/>
      <c r="AA1630" s="77"/>
      <c r="AB1630" s="77"/>
      <c r="AC1630" s="77"/>
      <c r="AD1630" s="77"/>
      <c r="AE1630" s="79"/>
    </row>
    <row r="1631" spans="1:31" x14ac:dyDescent="0.3">
      <c r="A1631" s="76"/>
      <c r="B1631" s="77"/>
      <c r="C1631" s="78" t="s">
        <v>1504</v>
      </c>
      <c r="D1631" s="78" t="s">
        <v>383</v>
      </c>
      <c r="E1631" s="78" t="s">
        <v>1500</v>
      </c>
      <c r="F1631" s="78" t="s">
        <v>1501</v>
      </c>
      <c r="G1631" s="78" t="s">
        <v>1492</v>
      </c>
      <c r="H1631" s="77"/>
      <c r="I1631" s="226"/>
      <c r="J1631" s="77"/>
      <c r="K1631" s="77"/>
      <c r="L1631" s="77"/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  <c r="X1631" s="77"/>
      <c r="Y1631" s="77"/>
      <c r="Z1631" s="77"/>
      <c r="AA1631" s="77"/>
      <c r="AB1631" s="77"/>
      <c r="AC1631" s="77"/>
      <c r="AD1631" s="77"/>
      <c r="AE1631" s="79"/>
    </row>
    <row r="1632" spans="1:31" x14ac:dyDescent="0.3">
      <c r="A1632" s="76"/>
      <c r="B1632" s="80"/>
      <c r="C1632" s="78" t="s">
        <v>1507</v>
      </c>
      <c r="D1632" s="78" t="s">
        <v>555</v>
      </c>
      <c r="E1632" s="78" t="s">
        <v>1511</v>
      </c>
      <c r="F1632" s="78" t="s">
        <v>1791</v>
      </c>
      <c r="G1632" s="78" t="s">
        <v>1492</v>
      </c>
      <c r="H1632" s="77"/>
      <c r="I1632" s="226"/>
      <c r="J1632" s="77"/>
      <c r="K1632" s="77"/>
      <c r="L1632" s="77"/>
      <c r="M1632" s="77"/>
      <c r="N1632" s="77"/>
      <c r="O1632" s="77"/>
      <c r="P1632" s="77"/>
      <c r="Q1632" s="77"/>
      <c r="R1632" s="77"/>
      <c r="S1632" s="77"/>
      <c r="T1632" s="77"/>
      <c r="U1632" s="77"/>
      <c r="V1632" s="77"/>
      <c r="W1632" s="77"/>
      <c r="X1632" s="77"/>
      <c r="Y1632" s="77"/>
      <c r="Z1632" s="77"/>
      <c r="AA1632" s="77"/>
      <c r="AB1632" s="77"/>
      <c r="AC1632" s="77"/>
      <c r="AD1632" s="77"/>
      <c r="AE1632" s="79"/>
    </row>
    <row r="1633" spans="1:31" x14ac:dyDescent="0.3">
      <c r="A1633" s="76"/>
      <c r="B1633" s="78" t="s">
        <v>1485</v>
      </c>
      <c r="C1633" s="78" t="s">
        <v>1485</v>
      </c>
      <c r="D1633" s="78" t="s">
        <v>2161</v>
      </c>
      <c r="E1633" s="78" t="s">
        <v>1548</v>
      </c>
      <c r="F1633" s="78" t="s">
        <v>1623</v>
      </c>
      <c r="G1633" s="78" t="s">
        <v>1513</v>
      </c>
      <c r="H1633" s="77"/>
      <c r="I1633" s="226"/>
      <c r="J1633" s="77"/>
      <c r="K1633" s="77"/>
      <c r="L1633" s="77"/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  <c r="X1633" s="77"/>
      <c r="Y1633" s="77"/>
      <c r="Z1633" s="77"/>
      <c r="AA1633" s="77"/>
      <c r="AB1633" s="77"/>
      <c r="AC1633" s="77"/>
      <c r="AD1633" s="77"/>
      <c r="AE1633" s="79"/>
    </row>
    <row r="1634" spans="1:31" x14ac:dyDescent="0.3">
      <c r="A1634" s="76"/>
      <c r="B1634" s="78" t="s">
        <v>1485</v>
      </c>
      <c r="C1634" s="78" t="s">
        <v>1485</v>
      </c>
      <c r="D1634" s="78" t="s">
        <v>2162</v>
      </c>
      <c r="E1634" s="78" t="s">
        <v>1534</v>
      </c>
      <c r="F1634" s="78" t="s">
        <v>1535</v>
      </c>
      <c r="G1634" s="78" t="s">
        <v>1513</v>
      </c>
      <c r="H1634" s="77"/>
      <c r="I1634" s="226"/>
      <c r="J1634" s="77"/>
      <c r="K1634" s="77"/>
      <c r="L1634" s="77"/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7"/>
      <c r="Z1634" s="77"/>
      <c r="AA1634" s="77"/>
      <c r="AB1634" s="77"/>
      <c r="AC1634" s="77"/>
      <c r="AD1634" s="77"/>
      <c r="AE1634" s="79"/>
    </row>
    <row r="1635" spans="1:31" ht="15" thickBot="1" x14ac:dyDescent="0.35">
      <c r="A1635" s="76"/>
      <c r="B1635" s="78" t="s">
        <v>1601</v>
      </c>
      <c r="C1635" s="78" t="s">
        <v>1499</v>
      </c>
      <c r="D1635" s="78" t="s">
        <v>255</v>
      </c>
      <c r="E1635" s="78" t="s">
        <v>1480</v>
      </c>
      <c r="F1635" s="78" t="s">
        <v>1518</v>
      </c>
      <c r="G1635" s="78" t="s">
        <v>1513</v>
      </c>
      <c r="H1635" s="77"/>
      <c r="I1635" s="227"/>
      <c r="J1635" s="77"/>
      <c r="K1635" s="77"/>
      <c r="L1635" s="77"/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  <c r="AA1635" s="77"/>
      <c r="AB1635" s="77"/>
      <c r="AC1635" s="77"/>
      <c r="AD1635" s="77"/>
      <c r="AE1635" s="79"/>
    </row>
    <row r="1636" spans="1:31" x14ac:dyDescent="0.3">
      <c r="A1636" s="76"/>
      <c r="B1636" s="78" t="s">
        <v>1769</v>
      </c>
      <c r="C1636" s="78" t="s">
        <v>1502</v>
      </c>
      <c r="D1636" s="78" t="s">
        <v>298</v>
      </c>
      <c r="E1636" s="78" t="s">
        <v>1503</v>
      </c>
      <c r="F1636" s="78" t="s">
        <v>1495</v>
      </c>
      <c r="G1636" s="78" t="s">
        <v>1513</v>
      </c>
      <c r="H1636" s="77"/>
      <c r="I1636" s="225" t="s">
        <v>1485</v>
      </c>
      <c r="J1636" s="77"/>
      <c r="K1636" s="77"/>
      <c r="L1636" s="77"/>
      <c r="M1636" s="77"/>
      <c r="N1636" s="77"/>
      <c r="O1636" s="77"/>
      <c r="P1636" s="77"/>
      <c r="Q1636" s="77"/>
      <c r="R1636" s="77"/>
      <c r="S1636" s="77"/>
      <c r="T1636" s="77"/>
      <c r="U1636" s="77"/>
      <c r="V1636" s="77"/>
      <c r="W1636" s="77"/>
      <c r="X1636" s="77"/>
      <c r="Y1636" s="77"/>
      <c r="Z1636" s="77"/>
      <c r="AA1636" s="77"/>
      <c r="AB1636" s="77"/>
      <c r="AC1636" s="77"/>
      <c r="AD1636" s="77"/>
      <c r="AE1636" s="79"/>
    </row>
    <row r="1637" spans="1:31" x14ac:dyDescent="0.3">
      <c r="A1637" s="76"/>
      <c r="B1637" s="78" t="s">
        <v>1994</v>
      </c>
      <c r="C1637" s="78" t="s">
        <v>1499</v>
      </c>
      <c r="D1637" s="78" t="s">
        <v>383</v>
      </c>
      <c r="E1637" s="78" t="s">
        <v>1500</v>
      </c>
      <c r="F1637" s="78" t="s">
        <v>1501</v>
      </c>
      <c r="G1637" s="78" t="s">
        <v>1513</v>
      </c>
      <c r="H1637" s="77"/>
      <c r="I1637" s="226"/>
      <c r="J1637" s="77"/>
      <c r="K1637" s="77"/>
      <c r="L1637" s="77"/>
      <c r="M1637" s="77"/>
      <c r="N1637" s="77"/>
      <c r="O1637" s="77"/>
      <c r="P1637" s="77"/>
      <c r="Q1637" s="77"/>
      <c r="R1637" s="77"/>
      <c r="S1637" s="77"/>
      <c r="T1637" s="77"/>
      <c r="U1637" s="77"/>
      <c r="V1637" s="77"/>
      <c r="W1637" s="77"/>
      <c r="X1637" s="77"/>
      <c r="Y1637" s="77"/>
      <c r="Z1637" s="77"/>
      <c r="AA1637" s="77"/>
      <c r="AB1637" s="77"/>
      <c r="AC1637" s="77"/>
      <c r="AD1637" s="77"/>
      <c r="AE1637" s="79"/>
    </row>
    <row r="1638" spans="1:31" x14ac:dyDescent="0.3">
      <c r="A1638" s="76"/>
      <c r="B1638" s="78" t="s">
        <v>1965</v>
      </c>
      <c r="C1638" s="78" t="s">
        <v>1489</v>
      </c>
      <c r="D1638" s="78" t="s">
        <v>412</v>
      </c>
      <c r="E1638" s="78" t="s">
        <v>1505</v>
      </c>
      <c r="F1638" s="78" t="s">
        <v>1491</v>
      </c>
      <c r="G1638" s="78" t="s">
        <v>1513</v>
      </c>
      <c r="H1638" s="77"/>
      <c r="I1638" s="226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  <c r="AA1638" s="77"/>
      <c r="AB1638" s="77"/>
      <c r="AC1638" s="77"/>
      <c r="AD1638" s="77"/>
      <c r="AE1638" s="79"/>
    </row>
    <row r="1639" spans="1:31" ht="15" thickBot="1" x14ac:dyDescent="0.35">
      <c r="A1639" s="81"/>
      <c r="B1639" s="82" t="s">
        <v>2023</v>
      </c>
      <c r="C1639" s="82" t="s">
        <v>1493</v>
      </c>
      <c r="D1639" s="82" t="s">
        <v>623</v>
      </c>
      <c r="E1639" s="82" t="s">
        <v>2016</v>
      </c>
      <c r="F1639" s="82" t="s">
        <v>1565</v>
      </c>
      <c r="G1639" s="82" t="s">
        <v>1513</v>
      </c>
      <c r="H1639" s="83"/>
      <c r="I1639" s="226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  <c r="X1639" s="83"/>
      <c r="Y1639" s="83"/>
      <c r="Z1639" s="83"/>
      <c r="AA1639" s="83"/>
      <c r="AB1639" s="83"/>
      <c r="AC1639" s="83"/>
      <c r="AD1639" s="83"/>
      <c r="AE1639" s="84"/>
    </row>
    <row r="1640" spans="1:31" x14ac:dyDescent="0.3">
      <c r="A1640" s="72" t="s">
        <v>775</v>
      </c>
      <c r="B1640" s="73" t="s">
        <v>2163</v>
      </c>
      <c r="C1640" s="74" t="s">
        <v>1479</v>
      </c>
      <c r="D1640" s="74" t="s">
        <v>776</v>
      </c>
      <c r="E1640" s="74" t="s">
        <v>1480</v>
      </c>
      <c r="F1640" s="74"/>
      <c r="G1640" s="74" t="s">
        <v>1481</v>
      </c>
      <c r="H1640" s="73" t="s">
        <v>1482</v>
      </c>
      <c r="I1640" s="226"/>
      <c r="J1640" s="73" t="s">
        <v>774</v>
      </c>
      <c r="K1640" s="73">
        <v>104</v>
      </c>
      <c r="L1640" s="73" t="s">
        <v>195</v>
      </c>
      <c r="M1640" s="73" t="s">
        <v>1483</v>
      </c>
      <c r="N1640" s="73" t="s">
        <v>1483</v>
      </c>
      <c r="O1640" s="73" t="s">
        <v>1483</v>
      </c>
      <c r="P1640" s="73" t="s">
        <v>1483</v>
      </c>
      <c r="Q1640" s="73" t="s">
        <v>1483</v>
      </c>
      <c r="R1640" s="73" t="s">
        <v>1483</v>
      </c>
      <c r="S1640" s="73" t="s">
        <v>1484</v>
      </c>
      <c r="T1640" s="73" t="s">
        <v>1484</v>
      </c>
      <c r="U1640" s="73" t="s">
        <v>1484</v>
      </c>
      <c r="V1640" s="73" t="s">
        <v>1484</v>
      </c>
      <c r="W1640" s="73" t="s">
        <v>1485</v>
      </c>
      <c r="X1640" s="73" t="s">
        <v>1484</v>
      </c>
      <c r="Y1640" s="73" t="s">
        <v>1484</v>
      </c>
      <c r="Z1640" s="73" t="s">
        <v>1485</v>
      </c>
      <c r="AA1640" s="73" t="s">
        <v>1485</v>
      </c>
      <c r="AB1640" s="73" t="s">
        <v>1484</v>
      </c>
      <c r="AC1640" s="73" t="s">
        <v>1486</v>
      </c>
      <c r="AD1640" s="73" t="s">
        <v>1487</v>
      </c>
      <c r="AE1640" s="75" t="s">
        <v>1488</v>
      </c>
    </row>
    <row r="1641" spans="1:31" x14ac:dyDescent="0.3">
      <c r="A1641" s="76"/>
      <c r="B1641" s="77"/>
      <c r="C1641" s="78" t="s">
        <v>1493</v>
      </c>
      <c r="D1641" s="78" t="s">
        <v>312</v>
      </c>
      <c r="E1641" s="78" t="s">
        <v>1494</v>
      </c>
      <c r="F1641" s="78" t="s">
        <v>1495</v>
      </c>
      <c r="G1641" s="78" t="s">
        <v>1492</v>
      </c>
      <c r="H1641" s="77"/>
      <c r="I1641" s="226"/>
      <c r="J1641" s="77"/>
      <c r="K1641" s="77"/>
      <c r="L1641" s="77"/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  <c r="AA1641" s="77"/>
      <c r="AB1641" s="77"/>
      <c r="AC1641" s="77"/>
      <c r="AD1641" s="77"/>
      <c r="AE1641" s="79"/>
    </row>
    <row r="1642" spans="1:31" x14ac:dyDescent="0.3">
      <c r="A1642" s="76"/>
      <c r="B1642" s="77"/>
      <c r="C1642" s="78" t="s">
        <v>1504</v>
      </c>
      <c r="D1642" s="78" t="s">
        <v>104</v>
      </c>
      <c r="E1642" s="78" t="s">
        <v>1595</v>
      </c>
      <c r="F1642" s="78" t="s">
        <v>1564</v>
      </c>
      <c r="G1642" s="78" t="s">
        <v>1492</v>
      </c>
      <c r="H1642" s="77"/>
      <c r="I1642" s="226"/>
      <c r="J1642" s="77"/>
      <c r="K1642" s="77"/>
      <c r="L1642" s="77"/>
      <c r="M1642" s="77"/>
      <c r="N1642" s="77"/>
      <c r="O1642" s="77"/>
      <c r="P1642" s="77"/>
      <c r="Q1642" s="77"/>
      <c r="R1642" s="77"/>
      <c r="S1642" s="77"/>
      <c r="T1642" s="77"/>
      <c r="U1642" s="77"/>
      <c r="V1642" s="77"/>
      <c r="W1642" s="77"/>
      <c r="X1642" s="77"/>
      <c r="Y1642" s="77"/>
      <c r="Z1642" s="77"/>
      <c r="AA1642" s="77"/>
      <c r="AB1642" s="77"/>
      <c r="AC1642" s="77"/>
      <c r="AD1642" s="77"/>
      <c r="AE1642" s="79"/>
    </row>
    <row r="1643" spans="1:31" x14ac:dyDescent="0.3">
      <c r="A1643" s="76"/>
      <c r="B1643" s="80"/>
      <c r="C1643" s="78" t="s">
        <v>1507</v>
      </c>
      <c r="D1643" s="78" t="s">
        <v>315</v>
      </c>
      <c r="E1643" s="78" t="s">
        <v>1500</v>
      </c>
      <c r="F1643" s="78" t="s">
        <v>1501</v>
      </c>
      <c r="G1643" s="78" t="s">
        <v>1492</v>
      </c>
      <c r="H1643" s="77"/>
      <c r="I1643" s="226"/>
      <c r="J1643" s="77"/>
      <c r="K1643" s="77"/>
      <c r="L1643" s="77"/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  <c r="AA1643" s="77"/>
      <c r="AB1643" s="77"/>
      <c r="AC1643" s="77"/>
      <c r="AD1643" s="77"/>
      <c r="AE1643" s="79"/>
    </row>
    <row r="1644" spans="1:31" x14ac:dyDescent="0.3">
      <c r="A1644" s="76"/>
      <c r="B1644" s="78" t="s">
        <v>1485</v>
      </c>
      <c r="C1644" s="78" t="s">
        <v>1485</v>
      </c>
      <c r="D1644" s="78" t="s">
        <v>777</v>
      </c>
      <c r="E1644" s="78" t="s">
        <v>1709</v>
      </c>
      <c r="F1644" s="78" t="s">
        <v>1512</v>
      </c>
      <c r="G1644" s="78" t="s">
        <v>1513</v>
      </c>
      <c r="H1644" s="77"/>
      <c r="I1644" s="226"/>
      <c r="J1644" s="77"/>
      <c r="K1644" s="77"/>
      <c r="L1644" s="77"/>
      <c r="M1644" s="77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  <c r="AA1644" s="77"/>
      <c r="AB1644" s="77"/>
      <c r="AC1644" s="77"/>
      <c r="AD1644" s="77"/>
      <c r="AE1644" s="79"/>
    </row>
    <row r="1645" spans="1:31" x14ac:dyDescent="0.3">
      <c r="A1645" s="76"/>
      <c r="B1645" s="78" t="s">
        <v>1785</v>
      </c>
      <c r="C1645" s="78" t="s">
        <v>1493</v>
      </c>
      <c r="D1645" s="78" t="s">
        <v>312</v>
      </c>
      <c r="E1645" s="78" t="s">
        <v>1494</v>
      </c>
      <c r="F1645" s="78" t="s">
        <v>1495</v>
      </c>
      <c r="G1645" s="78" t="s">
        <v>1513</v>
      </c>
      <c r="H1645" s="77"/>
      <c r="I1645" s="226"/>
      <c r="J1645" s="77"/>
      <c r="K1645" s="77"/>
      <c r="L1645" s="77"/>
      <c r="M1645" s="77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  <c r="AA1645" s="77"/>
      <c r="AB1645" s="77"/>
      <c r="AC1645" s="77"/>
      <c r="AD1645" s="77"/>
      <c r="AE1645" s="79"/>
    </row>
    <row r="1646" spans="1:31" ht="15" thickBot="1" x14ac:dyDescent="0.35">
      <c r="A1646" s="76"/>
      <c r="B1646" s="78" t="s">
        <v>1945</v>
      </c>
      <c r="C1646" s="78" t="s">
        <v>1499</v>
      </c>
      <c r="D1646" s="78" t="s">
        <v>315</v>
      </c>
      <c r="E1646" s="78" t="s">
        <v>1500</v>
      </c>
      <c r="F1646" s="78" t="s">
        <v>1501</v>
      </c>
      <c r="G1646" s="78" t="s">
        <v>1513</v>
      </c>
      <c r="H1646" s="77"/>
      <c r="I1646" s="227"/>
      <c r="J1646" s="77"/>
      <c r="K1646" s="77"/>
      <c r="L1646" s="77"/>
      <c r="M1646" s="77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  <c r="AA1646" s="77"/>
      <c r="AB1646" s="77"/>
      <c r="AC1646" s="77"/>
      <c r="AD1646" s="77"/>
      <c r="AE1646" s="79"/>
    </row>
    <row r="1647" spans="1:31" x14ac:dyDescent="0.3">
      <c r="A1647" s="76"/>
      <c r="B1647" s="78" t="s">
        <v>1898</v>
      </c>
      <c r="C1647" s="78" t="s">
        <v>1499</v>
      </c>
      <c r="D1647" s="78" t="s">
        <v>145</v>
      </c>
      <c r="E1647" s="78" t="s">
        <v>1708</v>
      </c>
      <c r="F1647" s="78" t="s">
        <v>1558</v>
      </c>
      <c r="G1647" s="78" t="s">
        <v>1513</v>
      </c>
      <c r="H1647" s="77"/>
      <c r="I1647" s="225">
        <v>84</v>
      </c>
      <c r="J1647" s="77"/>
      <c r="K1647" s="77"/>
      <c r="L1647" s="77"/>
      <c r="M1647" s="77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  <c r="AA1647" s="77"/>
      <c r="AB1647" s="77"/>
      <c r="AC1647" s="77"/>
      <c r="AD1647" s="77"/>
      <c r="AE1647" s="79"/>
    </row>
    <row r="1648" spans="1:31" ht="15" thickBot="1" x14ac:dyDescent="0.35">
      <c r="A1648" s="81"/>
      <c r="B1648" s="82" t="s">
        <v>2040</v>
      </c>
      <c r="C1648" s="82" t="s">
        <v>1493</v>
      </c>
      <c r="D1648" s="82" t="s">
        <v>104</v>
      </c>
      <c r="E1648" s="82" t="s">
        <v>1595</v>
      </c>
      <c r="F1648" s="82" t="s">
        <v>1564</v>
      </c>
      <c r="G1648" s="82" t="s">
        <v>1513</v>
      </c>
      <c r="H1648" s="83"/>
      <c r="I1648" s="226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  <c r="X1648" s="83"/>
      <c r="Y1648" s="83"/>
      <c r="Z1648" s="83"/>
      <c r="AA1648" s="83"/>
      <c r="AB1648" s="83"/>
      <c r="AC1648" s="83"/>
      <c r="AD1648" s="83"/>
      <c r="AE1648" s="84"/>
    </row>
    <row r="1649" spans="1:31" x14ac:dyDescent="0.3">
      <c r="A1649" s="72" t="s">
        <v>378</v>
      </c>
      <c r="B1649" s="73" t="s">
        <v>2164</v>
      </c>
      <c r="C1649" s="74" t="s">
        <v>1479</v>
      </c>
      <c r="D1649" s="74" t="s">
        <v>379</v>
      </c>
      <c r="E1649" s="74" t="s">
        <v>1480</v>
      </c>
      <c r="F1649" s="74"/>
      <c r="G1649" s="74" t="s">
        <v>1481</v>
      </c>
      <c r="H1649" s="73" t="s">
        <v>1641</v>
      </c>
      <c r="I1649" s="226"/>
      <c r="J1649" s="73" t="s">
        <v>377</v>
      </c>
      <c r="K1649" s="73">
        <v>46</v>
      </c>
      <c r="L1649" s="73" t="s">
        <v>320</v>
      </c>
      <c r="M1649" s="73" t="s">
        <v>1483</v>
      </c>
      <c r="N1649" s="73" t="s">
        <v>1483</v>
      </c>
      <c r="O1649" s="73" t="s">
        <v>1483</v>
      </c>
      <c r="P1649" s="73" t="s">
        <v>1483</v>
      </c>
      <c r="Q1649" s="73" t="s">
        <v>1483</v>
      </c>
      <c r="R1649" s="73" t="s">
        <v>1483</v>
      </c>
      <c r="S1649" s="73" t="s">
        <v>1484</v>
      </c>
      <c r="T1649" s="73" t="s">
        <v>1484</v>
      </c>
      <c r="U1649" s="73" t="s">
        <v>1484</v>
      </c>
      <c r="V1649" s="73" t="s">
        <v>1484</v>
      </c>
      <c r="W1649" s="73" t="s">
        <v>1576</v>
      </c>
      <c r="X1649" s="73" t="s">
        <v>1484</v>
      </c>
      <c r="Y1649" s="73" t="s">
        <v>1484</v>
      </c>
      <c r="Z1649" s="73" t="s">
        <v>1484</v>
      </c>
      <c r="AA1649" s="73" t="s">
        <v>1485</v>
      </c>
      <c r="AB1649" s="73" t="s">
        <v>1484</v>
      </c>
      <c r="AC1649" s="73" t="s">
        <v>1486</v>
      </c>
      <c r="AD1649" s="73" t="s">
        <v>1960</v>
      </c>
      <c r="AE1649" s="75" t="s">
        <v>1644</v>
      </c>
    </row>
    <row r="1650" spans="1:31" x14ac:dyDescent="0.3">
      <c r="A1650" s="76"/>
      <c r="B1650" s="77"/>
      <c r="C1650" s="78" t="s">
        <v>1489</v>
      </c>
      <c r="D1650" s="78" t="s">
        <v>380</v>
      </c>
      <c r="E1650" s="78" t="s">
        <v>1595</v>
      </c>
      <c r="F1650" s="78" t="s">
        <v>1528</v>
      </c>
      <c r="G1650" s="78" t="s">
        <v>1492</v>
      </c>
      <c r="H1650" s="77"/>
      <c r="I1650" s="226"/>
      <c r="J1650" s="77"/>
      <c r="K1650" s="77"/>
      <c r="L1650" s="77"/>
      <c r="M1650" s="77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  <c r="AA1650" s="77"/>
      <c r="AB1650" s="77"/>
      <c r="AC1650" s="77"/>
      <c r="AD1650" s="77"/>
      <c r="AE1650" s="79"/>
    </row>
    <row r="1651" spans="1:31" x14ac:dyDescent="0.3">
      <c r="A1651" s="76"/>
      <c r="B1651" s="77"/>
      <c r="C1651" s="78" t="s">
        <v>1493</v>
      </c>
      <c r="D1651" s="78" t="s">
        <v>381</v>
      </c>
      <c r="E1651" s="78" t="s">
        <v>1494</v>
      </c>
      <c r="F1651" s="78" t="s">
        <v>1495</v>
      </c>
      <c r="G1651" s="78" t="s">
        <v>1492</v>
      </c>
      <c r="H1651" s="77"/>
      <c r="I1651" s="226"/>
      <c r="J1651" s="77"/>
      <c r="K1651" s="77"/>
      <c r="L1651" s="77"/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7"/>
      <c r="AE1651" s="79"/>
    </row>
    <row r="1652" spans="1:31" x14ac:dyDescent="0.3">
      <c r="A1652" s="76"/>
      <c r="B1652" s="77"/>
      <c r="C1652" s="78" t="s">
        <v>1496</v>
      </c>
      <c r="D1652" s="78" t="s">
        <v>382</v>
      </c>
      <c r="E1652" s="78" t="s">
        <v>1545</v>
      </c>
      <c r="F1652" s="78" t="s">
        <v>1528</v>
      </c>
      <c r="G1652" s="78" t="s">
        <v>1492</v>
      </c>
      <c r="H1652" s="77"/>
      <c r="I1652" s="226"/>
      <c r="J1652" s="77"/>
      <c r="K1652" s="77"/>
      <c r="L1652" s="77"/>
      <c r="M1652" s="77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  <c r="AA1652" s="77"/>
      <c r="AB1652" s="77"/>
      <c r="AC1652" s="77"/>
      <c r="AD1652" s="77"/>
      <c r="AE1652" s="79"/>
    </row>
    <row r="1653" spans="1:31" x14ac:dyDescent="0.3">
      <c r="A1653" s="76"/>
      <c r="B1653" s="77"/>
      <c r="C1653" s="78" t="s">
        <v>1499</v>
      </c>
      <c r="D1653" s="78" t="s">
        <v>383</v>
      </c>
      <c r="E1653" s="78" t="s">
        <v>1500</v>
      </c>
      <c r="F1653" s="78" t="s">
        <v>1501</v>
      </c>
      <c r="G1653" s="78" t="s">
        <v>1492</v>
      </c>
      <c r="H1653" s="77"/>
      <c r="I1653" s="226"/>
      <c r="J1653" s="77"/>
      <c r="K1653" s="77"/>
      <c r="L1653" s="77"/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7"/>
      <c r="AE1653" s="79"/>
    </row>
    <row r="1654" spans="1:31" x14ac:dyDescent="0.3">
      <c r="A1654" s="76"/>
      <c r="B1654" s="77"/>
      <c r="C1654" s="78" t="s">
        <v>1502</v>
      </c>
      <c r="D1654" s="78" t="s">
        <v>262</v>
      </c>
      <c r="E1654" s="78" t="s">
        <v>1749</v>
      </c>
      <c r="F1654" s="78" t="s">
        <v>1820</v>
      </c>
      <c r="G1654" s="78" t="s">
        <v>1492</v>
      </c>
      <c r="H1654" s="77"/>
      <c r="I1654" s="226"/>
      <c r="J1654" s="77"/>
      <c r="K1654" s="77"/>
      <c r="L1654" s="77"/>
      <c r="M1654" s="77"/>
      <c r="N1654" s="77"/>
      <c r="O1654" s="77"/>
      <c r="P1654" s="77"/>
      <c r="Q1654" s="77"/>
      <c r="R1654" s="77"/>
      <c r="S1654" s="77"/>
      <c r="T1654" s="77"/>
      <c r="U1654" s="77"/>
      <c r="V1654" s="77"/>
      <c r="W1654" s="77"/>
      <c r="X1654" s="77"/>
      <c r="Y1654" s="77"/>
      <c r="Z1654" s="77"/>
      <c r="AA1654" s="77"/>
      <c r="AB1654" s="77"/>
      <c r="AC1654" s="77"/>
      <c r="AD1654" s="77"/>
      <c r="AE1654" s="79"/>
    </row>
    <row r="1655" spans="1:31" x14ac:dyDescent="0.3">
      <c r="A1655" s="76"/>
      <c r="B1655" s="77"/>
      <c r="C1655" s="78" t="s">
        <v>1504</v>
      </c>
      <c r="D1655" s="78" t="s">
        <v>384</v>
      </c>
      <c r="E1655" s="78" t="s">
        <v>2112</v>
      </c>
      <c r="F1655" s="78" t="s">
        <v>2013</v>
      </c>
      <c r="G1655" s="78" t="s">
        <v>1492</v>
      </c>
      <c r="H1655" s="77"/>
      <c r="I1655" s="226"/>
      <c r="J1655" s="77"/>
      <c r="K1655" s="77"/>
      <c r="L1655" s="77"/>
      <c r="M1655" s="77"/>
      <c r="N1655" s="77"/>
      <c r="O1655" s="77"/>
      <c r="P1655" s="77"/>
      <c r="Q1655" s="77"/>
      <c r="R1655" s="77"/>
      <c r="S1655" s="77"/>
      <c r="T1655" s="77"/>
      <c r="U1655" s="77"/>
      <c r="V1655" s="77"/>
      <c r="W1655" s="77"/>
      <c r="X1655" s="77"/>
      <c r="Y1655" s="77"/>
      <c r="Z1655" s="77"/>
      <c r="AA1655" s="77"/>
      <c r="AB1655" s="77"/>
      <c r="AC1655" s="77"/>
      <c r="AD1655" s="77"/>
      <c r="AE1655" s="79"/>
    </row>
    <row r="1656" spans="1:31" x14ac:dyDescent="0.3">
      <c r="A1656" s="76"/>
      <c r="B1656" s="80"/>
      <c r="C1656" s="78" t="s">
        <v>1507</v>
      </c>
      <c r="D1656" s="78" t="s">
        <v>246</v>
      </c>
      <c r="E1656" s="78" t="s">
        <v>1500</v>
      </c>
      <c r="F1656" s="78" t="s">
        <v>1501</v>
      </c>
      <c r="G1656" s="78" t="s">
        <v>1492</v>
      </c>
      <c r="H1656" s="77"/>
      <c r="I1656" s="226"/>
      <c r="J1656" s="77"/>
      <c r="K1656" s="77"/>
      <c r="L1656" s="77"/>
      <c r="M1656" s="77"/>
      <c r="N1656" s="77"/>
      <c r="O1656" s="77"/>
      <c r="P1656" s="77"/>
      <c r="Q1656" s="77"/>
      <c r="R1656" s="77"/>
      <c r="S1656" s="77"/>
      <c r="T1656" s="77"/>
      <c r="U1656" s="77"/>
      <c r="V1656" s="77"/>
      <c r="W1656" s="77"/>
      <c r="X1656" s="77"/>
      <c r="Y1656" s="77"/>
      <c r="Z1656" s="77"/>
      <c r="AA1656" s="77"/>
      <c r="AB1656" s="77"/>
      <c r="AC1656" s="77"/>
      <c r="AD1656" s="77"/>
      <c r="AE1656" s="79"/>
    </row>
    <row r="1657" spans="1:31" x14ac:dyDescent="0.3">
      <c r="A1657" s="76"/>
      <c r="B1657" s="78" t="s">
        <v>1485</v>
      </c>
      <c r="C1657" s="78" t="s">
        <v>1485</v>
      </c>
      <c r="D1657" s="78" t="s">
        <v>385</v>
      </c>
      <c r="E1657" s="78" t="s">
        <v>1580</v>
      </c>
      <c r="F1657" s="78" t="s">
        <v>1516</v>
      </c>
      <c r="G1657" s="78" t="s">
        <v>1513</v>
      </c>
      <c r="H1657" s="77"/>
      <c r="I1657" s="226"/>
      <c r="J1657" s="77"/>
      <c r="K1657" s="77"/>
      <c r="L1657" s="77"/>
      <c r="M1657" s="77"/>
      <c r="N1657" s="77"/>
      <c r="O1657" s="77"/>
      <c r="P1657" s="77"/>
      <c r="Q1657" s="77"/>
      <c r="R1657" s="77"/>
      <c r="S1657" s="77"/>
      <c r="T1657" s="77"/>
      <c r="U1657" s="77"/>
      <c r="V1657" s="77"/>
      <c r="W1657" s="77"/>
      <c r="X1657" s="77"/>
      <c r="Y1657" s="77"/>
      <c r="Z1657" s="77"/>
      <c r="AA1657" s="77"/>
      <c r="AB1657" s="77"/>
      <c r="AC1657" s="77"/>
      <c r="AD1657" s="77"/>
      <c r="AE1657" s="79"/>
    </row>
    <row r="1658" spans="1:31" x14ac:dyDescent="0.3">
      <c r="A1658" s="76"/>
      <c r="B1658" s="78" t="s">
        <v>1612</v>
      </c>
      <c r="C1658" s="78" t="s">
        <v>1499</v>
      </c>
      <c r="D1658" s="78" t="s">
        <v>283</v>
      </c>
      <c r="E1658" s="78" t="s">
        <v>1480</v>
      </c>
      <c r="F1658" s="78" t="s">
        <v>1518</v>
      </c>
      <c r="G1658" s="78" t="s">
        <v>1513</v>
      </c>
      <c r="H1658" s="77"/>
      <c r="I1658" s="226"/>
      <c r="J1658" s="77"/>
      <c r="K1658" s="77"/>
      <c r="L1658" s="77"/>
      <c r="M1658" s="77"/>
      <c r="N1658" s="77"/>
      <c r="O1658" s="77"/>
      <c r="P1658" s="77"/>
      <c r="Q1658" s="77"/>
      <c r="R1658" s="77"/>
      <c r="S1658" s="77"/>
      <c r="T1658" s="77"/>
      <c r="U1658" s="77"/>
      <c r="V1658" s="77"/>
      <c r="W1658" s="77"/>
      <c r="X1658" s="77"/>
      <c r="Y1658" s="77"/>
      <c r="Z1658" s="77"/>
      <c r="AA1658" s="77"/>
      <c r="AB1658" s="77"/>
      <c r="AC1658" s="77"/>
      <c r="AD1658" s="77"/>
      <c r="AE1658" s="79"/>
    </row>
    <row r="1659" spans="1:31" x14ac:dyDescent="0.3">
      <c r="A1659" s="76"/>
      <c r="B1659" s="78" t="s">
        <v>1710</v>
      </c>
      <c r="C1659" s="78" t="s">
        <v>1489</v>
      </c>
      <c r="D1659" s="78" t="s">
        <v>381</v>
      </c>
      <c r="E1659" s="78" t="s">
        <v>1494</v>
      </c>
      <c r="F1659" s="78" t="s">
        <v>1495</v>
      </c>
      <c r="G1659" s="78" t="s">
        <v>1513</v>
      </c>
      <c r="H1659" s="77"/>
      <c r="I1659" s="226"/>
      <c r="J1659" s="77"/>
      <c r="K1659" s="77"/>
      <c r="L1659" s="77"/>
      <c r="M1659" s="77"/>
      <c r="N1659" s="77"/>
      <c r="O1659" s="77"/>
      <c r="P1659" s="77"/>
      <c r="Q1659" s="77"/>
      <c r="R1659" s="77"/>
      <c r="S1659" s="77"/>
      <c r="T1659" s="77"/>
      <c r="U1659" s="77"/>
      <c r="V1659" s="77"/>
      <c r="W1659" s="77"/>
      <c r="X1659" s="77"/>
      <c r="Y1659" s="77"/>
      <c r="Z1659" s="77"/>
      <c r="AA1659" s="77"/>
      <c r="AB1659" s="77"/>
      <c r="AC1659" s="77"/>
      <c r="AD1659" s="77"/>
      <c r="AE1659" s="79"/>
    </row>
    <row r="1660" spans="1:31" ht="15" thickBot="1" x14ac:dyDescent="0.35">
      <c r="A1660" s="76"/>
      <c r="B1660" s="78" t="s">
        <v>1676</v>
      </c>
      <c r="C1660" s="78" t="s">
        <v>1502</v>
      </c>
      <c r="D1660" s="78" t="s">
        <v>246</v>
      </c>
      <c r="E1660" s="78" t="s">
        <v>1500</v>
      </c>
      <c r="F1660" s="78" t="s">
        <v>1501</v>
      </c>
      <c r="G1660" s="78" t="s">
        <v>1513</v>
      </c>
      <c r="H1660" s="77"/>
      <c r="I1660" s="227"/>
      <c r="J1660" s="77"/>
      <c r="K1660" s="77"/>
      <c r="L1660" s="77"/>
      <c r="M1660" s="77"/>
      <c r="N1660" s="77"/>
      <c r="O1660" s="77"/>
      <c r="P1660" s="77"/>
      <c r="Q1660" s="77"/>
      <c r="R1660" s="77"/>
      <c r="S1660" s="77"/>
      <c r="T1660" s="77"/>
      <c r="U1660" s="77"/>
      <c r="V1660" s="77"/>
      <c r="W1660" s="77"/>
      <c r="X1660" s="77"/>
      <c r="Y1660" s="77"/>
      <c r="Z1660" s="77"/>
      <c r="AA1660" s="77"/>
      <c r="AB1660" s="77"/>
      <c r="AC1660" s="77"/>
      <c r="AD1660" s="77"/>
      <c r="AE1660" s="79"/>
    </row>
    <row r="1661" spans="1:31" x14ac:dyDescent="0.3">
      <c r="A1661" s="76"/>
      <c r="B1661" s="78" t="s">
        <v>1994</v>
      </c>
      <c r="C1661" s="78" t="s">
        <v>1489</v>
      </c>
      <c r="D1661" s="78" t="s">
        <v>383</v>
      </c>
      <c r="E1661" s="78" t="s">
        <v>1500</v>
      </c>
      <c r="F1661" s="78" t="s">
        <v>1501</v>
      </c>
      <c r="G1661" s="78" t="s">
        <v>1513</v>
      </c>
      <c r="H1661" s="77"/>
      <c r="I1661" s="225" t="s">
        <v>1485</v>
      </c>
      <c r="J1661" s="77"/>
      <c r="K1661" s="77"/>
      <c r="L1661" s="77"/>
      <c r="M1661" s="77"/>
      <c r="N1661" s="77"/>
      <c r="O1661" s="77"/>
      <c r="P1661" s="77"/>
      <c r="Q1661" s="77"/>
      <c r="R1661" s="77"/>
      <c r="S1661" s="77"/>
      <c r="T1661" s="77"/>
      <c r="U1661" s="77"/>
      <c r="V1661" s="77"/>
      <c r="W1661" s="77"/>
      <c r="X1661" s="77"/>
      <c r="Y1661" s="77"/>
      <c r="Z1661" s="77"/>
      <c r="AA1661" s="77"/>
      <c r="AB1661" s="77"/>
      <c r="AC1661" s="77"/>
      <c r="AD1661" s="77"/>
      <c r="AE1661" s="79"/>
    </row>
    <row r="1662" spans="1:31" x14ac:dyDescent="0.3">
      <c r="A1662" s="76"/>
      <c r="B1662" s="78" t="s">
        <v>1607</v>
      </c>
      <c r="C1662" s="78" t="s">
        <v>1489</v>
      </c>
      <c r="D1662" s="78" t="s">
        <v>380</v>
      </c>
      <c r="E1662" s="78" t="s">
        <v>1595</v>
      </c>
      <c r="F1662" s="78" t="s">
        <v>1528</v>
      </c>
      <c r="G1662" s="78" t="s">
        <v>1513</v>
      </c>
      <c r="H1662" s="77"/>
      <c r="I1662" s="226"/>
      <c r="J1662" s="77"/>
      <c r="K1662" s="77"/>
      <c r="L1662" s="77"/>
      <c r="M1662" s="77"/>
      <c r="N1662" s="77"/>
      <c r="O1662" s="77"/>
      <c r="P1662" s="77"/>
      <c r="Q1662" s="77"/>
      <c r="R1662" s="77"/>
      <c r="S1662" s="77"/>
      <c r="T1662" s="77"/>
      <c r="U1662" s="77"/>
      <c r="V1662" s="77"/>
      <c r="W1662" s="77"/>
      <c r="X1662" s="77"/>
      <c r="Y1662" s="77"/>
      <c r="Z1662" s="77"/>
      <c r="AA1662" s="77"/>
      <c r="AB1662" s="77"/>
      <c r="AC1662" s="77"/>
      <c r="AD1662" s="77"/>
      <c r="AE1662" s="79"/>
    </row>
    <row r="1663" spans="1:31" x14ac:dyDescent="0.3">
      <c r="A1663" s="76"/>
      <c r="B1663" s="78" t="s">
        <v>1686</v>
      </c>
      <c r="C1663" s="78" t="s">
        <v>1489</v>
      </c>
      <c r="D1663" s="78" t="s">
        <v>382</v>
      </c>
      <c r="E1663" s="78" t="s">
        <v>1545</v>
      </c>
      <c r="F1663" s="78" t="s">
        <v>1528</v>
      </c>
      <c r="G1663" s="78" t="s">
        <v>1513</v>
      </c>
      <c r="H1663" s="77"/>
      <c r="I1663" s="226"/>
      <c r="J1663" s="77"/>
      <c r="K1663" s="77"/>
      <c r="L1663" s="77"/>
      <c r="M1663" s="77"/>
      <c r="N1663" s="77"/>
      <c r="O1663" s="77"/>
      <c r="P1663" s="77"/>
      <c r="Q1663" s="77"/>
      <c r="R1663" s="77"/>
      <c r="S1663" s="77"/>
      <c r="T1663" s="77"/>
      <c r="U1663" s="77"/>
      <c r="V1663" s="77"/>
      <c r="W1663" s="77"/>
      <c r="X1663" s="77"/>
      <c r="Y1663" s="77"/>
      <c r="Z1663" s="77"/>
      <c r="AA1663" s="77"/>
      <c r="AB1663" s="77"/>
      <c r="AC1663" s="77"/>
      <c r="AD1663" s="77"/>
      <c r="AE1663" s="79"/>
    </row>
    <row r="1664" spans="1:31" ht="15" thickBot="1" x14ac:dyDescent="0.35">
      <c r="A1664" s="81"/>
      <c r="B1664" s="82" t="s">
        <v>2165</v>
      </c>
      <c r="C1664" s="82" t="s">
        <v>1489</v>
      </c>
      <c r="D1664" s="82" t="s">
        <v>384</v>
      </c>
      <c r="E1664" s="82" t="s">
        <v>2112</v>
      </c>
      <c r="F1664" s="82" t="s">
        <v>2013</v>
      </c>
      <c r="G1664" s="82" t="s">
        <v>1513</v>
      </c>
      <c r="H1664" s="83"/>
      <c r="I1664" s="226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  <c r="X1664" s="83"/>
      <c r="Y1664" s="83"/>
      <c r="Z1664" s="83"/>
      <c r="AA1664" s="83"/>
      <c r="AB1664" s="83"/>
      <c r="AC1664" s="83"/>
      <c r="AD1664" s="83"/>
      <c r="AE1664" s="84"/>
    </row>
    <row r="1665" spans="1:31" x14ac:dyDescent="0.3">
      <c r="A1665" s="72" t="s">
        <v>309</v>
      </c>
      <c r="B1665" s="73" t="s">
        <v>2166</v>
      </c>
      <c r="C1665" s="74" t="s">
        <v>1479</v>
      </c>
      <c r="D1665" s="74" t="s">
        <v>310</v>
      </c>
      <c r="E1665" s="74" t="s">
        <v>1480</v>
      </c>
      <c r="F1665" s="74"/>
      <c r="G1665" s="74" t="s">
        <v>1481</v>
      </c>
      <c r="H1665" s="73" t="s">
        <v>1575</v>
      </c>
      <c r="I1665" s="226"/>
      <c r="J1665" s="73" t="s">
        <v>308</v>
      </c>
      <c r="K1665" s="73">
        <v>36</v>
      </c>
      <c r="L1665" s="73" t="s">
        <v>320</v>
      </c>
      <c r="M1665" s="73" t="s">
        <v>1483</v>
      </c>
      <c r="N1665" s="73" t="s">
        <v>1483</v>
      </c>
      <c r="O1665" s="73" t="s">
        <v>1483</v>
      </c>
      <c r="P1665" s="73" t="s">
        <v>1483</v>
      </c>
      <c r="Q1665" s="73" t="s">
        <v>1483</v>
      </c>
      <c r="R1665" s="73" t="s">
        <v>1483</v>
      </c>
      <c r="S1665" s="73" t="s">
        <v>1484</v>
      </c>
      <c r="T1665" s="73" t="s">
        <v>1484</v>
      </c>
      <c r="U1665" s="73" t="s">
        <v>1484</v>
      </c>
      <c r="V1665" s="73" t="s">
        <v>1484</v>
      </c>
      <c r="W1665" s="73" t="s">
        <v>1485</v>
      </c>
      <c r="X1665" s="73" t="s">
        <v>1484</v>
      </c>
      <c r="Y1665" s="73" t="s">
        <v>1484</v>
      </c>
      <c r="Z1665" s="73" t="s">
        <v>1484</v>
      </c>
      <c r="AA1665" s="73" t="s">
        <v>1485</v>
      </c>
      <c r="AB1665" s="73" t="s">
        <v>1484</v>
      </c>
      <c r="AC1665" s="73" t="s">
        <v>1486</v>
      </c>
      <c r="AD1665" s="73" t="s">
        <v>1487</v>
      </c>
      <c r="AE1665" s="75" t="s">
        <v>1579</v>
      </c>
    </row>
    <row r="1666" spans="1:31" x14ac:dyDescent="0.3">
      <c r="A1666" s="76"/>
      <c r="B1666" s="77"/>
      <c r="C1666" s="78" t="s">
        <v>1489</v>
      </c>
      <c r="D1666" s="78" t="s">
        <v>311</v>
      </c>
      <c r="E1666" s="78" t="s">
        <v>1545</v>
      </c>
      <c r="F1666" s="78" t="s">
        <v>1619</v>
      </c>
      <c r="G1666" s="78" t="s">
        <v>1492</v>
      </c>
      <c r="H1666" s="77"/>
      <c r="I1666" s="226"/>
      <c r="J1666" s="77"/>
      <c r="K1666" s="77"/>
      <c r="L1666" s="77"/>
      <c r="M1666" s="77"/>
      <c r="N1666" s="77"/>
      <c r="O1666" s="77"/>
      <c r="P1666" s="77"/>
      <c r="Q1666" s="77"/>
      <c r="R1666" s="77"/>
      <c r="S1666" s="77"/>
      <c r="T1666" s="77"/>
      <c r="U1666" s="77"/>
      <c r="V1666" s="77"/>
      <c r="W1666" s="77"/>
      <c r="X1666" s="77"/>
      <c r="Y1666" s="77"/>
      <c r="Z1666" s="77"/>
      <c r="AA1666" s="77"/>
      <c r="AB1666" s="77"/>
      <c r="AC1666" s="77"/>
      <c r="AD1666" s="77"/>
      <c r="AE1666" s="79"/>
    </row>
    <row r="1667" spans="1:31" x14ac:dyDescent="0.3">
      <c r="A1667" s="76"/>
      <c r="B1667" s="77"/>
      <c r="C1667" s="78" t="s">
        <v>1493</v>
      </c>
      <c r="D1667" s="78" t="s">
        <v>312</v>
      </c>
      <c r="E1667" s="78" t="s">
        <v>1494</v>
      </c>
      <c r="F1667" s="78" t="s">
        <v>1495</v>
      </c>
      <c r="G1667" s="78" t="s">
        <v>1492</v>
      </c>
      <c r="H1667" s="77"/>
      <c r="I1667" s="226"/>
      <c r="J1667" s="77"/>
      <c r="K1667" s="77"/>
      <c r="L1667" s="77"/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  <c r="AA1667" s="77"/>
      <c r="AB1667" s="77"/>
      <c r="AC1667" s="77"/>
      <c r="AD1667" s="77"/>
      <c r="AE1667" s="79"/>
    </row>
    <row r="1668" spans="1:31" x14ac:dyDescent="0.3">
      <c r="A1668" s="76"/>
      <c r="B1668" s="77"/>
      <c r="C1668" s="78" t="s">
        <v>1496</v>
      </c>
      <c r="D1668" s="78" t="s">
        <v>279</v>
      </c>
      <c r="E1668" s="78" t="s">
        <v>1503</v>
      </c>
      <c r="F1668" s="78" t="s">
        <v>1495</v>
      </c>
      <c r="G1668" s="78" t="s">
        <v>1492</v>
      </c>
      <c r="H1668" s="77"/>
      <c r="I1668" s="226"/>
      <c r="J1668" s="77"/>
      <c r="K1668" s="77"/>
      <c r="L1668" s="77"/>
      <c r="M1668" s="77"/>
      <c r="N1668" s="77"/>
      <c r="O1668" s="77"/>
      <c r="P1668" s="77"/>
      <c r="Q1668" s="77"/>
      <c r="R1668" s="77"/>
      <c r="S1668" s="77"/>
      <c r="T1668" s="77"/>
      <c r="U1668" s="77"/>
      <c r="V1668" s="77"/>
      <c r="W1668" s="77"/>
      <c r="X1668" s="77"/>
      <c r="Y1668" s="77"/>
      <c r="Z1668" s="77"/>
      <c r="AA1668" s="77"/>
      <c r="AB1668" s="77"/>
      <c r="AC1668" s="77"/>
      <c r="AD1668" s="77"/>
      <c r="AE1668" s="79"/>
    </row>
    <row r="1669" spans="1:31" ht="15" thickBot="1" x14ac:dyDescent="0.35">
      <c r="A1669" s="76"/>
      <c r="B1669" s="77"/>
      <c r="C1669" s="78" t="s">
        <v>1499</v>
      </c>
      <c r="D1669" s="78" t="s">
        <v>313</v>
      </c>
      <c r="E1669" s="78" t="s">
        <v>1948</v>
      </c>
      <c r="F1669" s="78" t="s">
        <v>1611</v>
      </c>
      <c r="G1669" s="78" t="s">
        <v>1492</v>
      </c>
      <c r="H1669" s="77"/>
      <c r="I1669" s="227"/>
      <c r="J1669" s="77"/>
      <c r="K1669" s="77"/>
      <c r="L1669" s="77"/>
      <c r="M1669" s="77"/>
      <c r="N1669" s="77"/>
      <c r="O1669" s="77"/>
      <c r="P1669" s="77"/>
      <c r="Q1669" s="77"/>
      <c r="R1669" s="77"/>
      <c r="S1669" s="77"/>
      <c r="T1669" s="77"/>
      <c r="U1669" s="77"/>
      <c r="V1669" s="77"/>
      <c r="W1669" s="77"/>
      <c r="X1669" s="77"/>
      <c r="Y1669" s="77"/>
      <c r="Z1669" s="77"/>
      <c r="AA1669" s="77"/>
      <c r="AB1669" s="77"/>
      <c r="AC1669" s="77"/>
      <c r="AD1669" s="77"/>
      <c r="AE1669" s="79"/>
    </row>
    <row r="1670" spans="1:31" x14ac:dyDescent="0.3">
      <c r="A1670" s="76"/>
      <c r="B1670" s="77"/>
      <c r="C1670" s="78" t="s">
        <v>1502</v>
      </c>
      <c r="D1670" s="78" t="s">
        <v>245</v>
      </c>
      <c r="E1670" s="78" t="s">
        <v>1749</v>
      </c>
      <c r="F1670" s="78" t="s">
        <v>1750</v>
      </c>
      <c r="G1670" s="78" t="s">
        <v>1492</v>
      </c>
      <c r="H1670" s="77"/>
      <c r="I1670" s="225">
        <v>26</v>
      </c>
      <c r="J1670" s="77"/>
      <c r="K1670" s="77"/>
      <c r="L1670" s="77"/>
      <c r="M1670" s="77"/>
      <c r="N1670" s="77"/>
      <c r="O1670" s="77"/>
      <c r="P1670" s="77"/>
      <c r="Q1670" s="77"/>
      <c r="R1670" s="77"/>
      <c r="S1670" s="77"/>
      <c r="T1670" s="77"/>
      <c r="U1670" s="77"/>
      <c r="V1670" s="77"/>
      <c r="W1670" s="77"/>
      <c r="X1670" s="77"/>
      <c r="Y1670" s="77"/>
      <c r="Z1670" s="77"/>
      <c r="AA1670" s="77"/>
      <c r="AB1670" s="77"/>
      <c r="AC1670" s="77"/>
      <c r="AD1670" s="77"/>
      <c r="AE1670" s="79"/>
    </row>
    <row r="1671" spans="1:31" x14ac:dyDescent="0.3">
      <c r="A1671" s="76"/>
      <c r="B1671" s="77"/>
      <c r="C1671" s="78" t="s">
        <v>1504</v>
      </c>
      <c r="D1671" s="78" t="s">
        <v>314</v>
      </c>
      <c r="E1671" s="78" t="s">
        <v>1749</v>
      </c>
      <c r="F1671" s="78" t="s">
        <v>2105</v>
      </c>
      <c r="G1671" s="78" t="s">
        <v>1492</v>
      </c>
      <c r="H1671" s="85"/>
      <c r="I1671" s="226"/>
      <c r="J1671" s="77"/>
      <c r="K1671" s="77"/>
      <c r="L1671" s="77"/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  <c r="AA1671" s="77"/>
      <c r="AB1671" s="77"/>
      <c r="AC1671" s="77"/>
      <c r="AD1671" s="77"/>
      <c r="AE1671" s="79"/>
    </row>
    <row r="1672" spans="1:31" x14ac:dyDescent="0.3">
      <c r="A1672" s="76"/>
      <c r="B1672" s="80"/>
      <c r="C1672" s="78" t="s">
        <v>1507</v>
      </c>
      <c r="D1672" s="78" t="s">
        <v>315</v>
      </c>
      <c r="E1672" s="78" t="s">
        <v>1500</v>
      </c>
      <c r="F1672" s="78" t="s">
        <v>1501</v>
      </c>
      <c r="G1672" s="78" t="s">
        <v>1492</v>
      </c>
      <c r="H1672" s="85"/>
      <c r="I1672" s="226"/>
      <c r="J1672" s="77"/>
      <c r="K1672" s="77"/>
      <c r="L1672" s="77"/>
      <c r="M1672" s="77"/>
      <c r="N1672" s="77"/>
      <c r="O1672" s="77"/>
      <c r="P1672" s="77"/>
      <c r="Q1672" s="77"/>
      <c r="R1672" s="77"/>
      <c r="S1672" s="77"/>
      <c r="T1672" s="77"/>
      <c r="U1672" s="77"/>
      <c r="V1672" s="77"/>
      <c r="W1672" s="77"/>
      <c r="X1672" s="77"/>
      <c r="Y1672" s="77"/>
      <c r="Z1672" s="77"/>
      <c r="AA1672" s="77"/>
      <c r="AB1672" s="77"/>
      <c r="AC1672" s="77"/>
      <c r="AD1672" s="77"/>
      <c r="AE1672" s="79"/>
    </row>
    <row r="1673" spans="1:31" x14ac:dyDescent="0.3">
      <c r="A1673" s="76"/>
      <c r="B1673" s="78" t="s">
        <v>1485</v>
      </c>
      <c r="C1673" s="78" t="s">
        <v>1485</v>
      </c>
      <c r="D1673" s="78" t="s">
        <v>316</v>
      </c>
      <c r="E1673" s="78" t="s">
        <v>1580</v>
      </c>
      <c r="F1673" s="78" t="s">
        <v>1516</v>
      </c>
      <c r="G1673" s="78" t="s">
        <v>1513</v>
      </c>
      <c r="H1673" s="77"/>
      <c r="I1673" s="226"/>
      <c r="J1673" s="77"/>
      <c r="K1673" s="77"/>
      <c r="L1673" s="77"/>
      <c r="M1673" s="77"/>
      <c r="N1673" s="77"/>
      <c r="O1673" s="77"/>
      <c r="P1673" s="77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  <c r="AA1673" s="77"/>
      <c r="AB1673" s="77"/>
      <c r="AC1673" s="77"/>
      <c r="AD1673" s="77"/>
      <c r="AE1673" s="79"/>
    </row>
    <row r="1674" spans="1:31" x14ac:dyDescent="0.3">
      <c r="A1674" s="76"/>
      <c r="B1674" s="78" t="s">
        <v>1778</v>
      </c>
      <c r="C1674" s="78" t="s">
        <v>1499</v>
      </c>
      <c r="D1674" s="78" t="s">
        <v>119</v>
      </c>
      <c r="E1674" s="78" t="s">
        <v>1480</v>
      </c>
      <c r="F1674" s="78" t="s">
        <v>1518</v>
      </c>
      <c r="G1674" s="78" t="s">
        <v>1513</v>
      </c>
      <c r="H1674" s="77"/>
      <c r="I1674" s="226"/>
      <c r="J1674" s="77"/>
      <c r="K1674" s="77"/>
      <c r="L1674" s="77"/>
      <c r="M1674" s="77"/>
      <c r="N1674" s="77"/>
      <c r="O1674" s="77"/>
      <c r="P1674" s="77"/>
      <c r="Q1674" s="77"/>
      <c r="R1674" s="77"/>
      <c r="S1674" s="77"/>
      <c r="T1674" s="77"/>
      <c r="U1674" s="77"/>
      <c r="V1674" s="77"/>
      <c r="W1674" s="77"/>
      <c r="X1674" s="77"/>
      <c r="Y1674" s="77"/>
      <c r="Z1674" s="77"/>
      <c r="AA1674" s="77"/>
      <c r="AB1674" s="77"/>
      <c r="AC1674" s="77"/>
      <c r="AD1674" s="77"/>
      <c r="AE1674" s="79"/>
    </row>
    <row r="1675" spans="1:31" x14ac:dyDescent="0.3">
      <c r="A1675" s="76"/>
      <c r="B1675" s="78" t="s">
        <v>1785</v>
      </c>
      <c r="C1675" s="78" t="s">
        <v>1489</v>
      </c>
      <c r="D1675" s="78" t="s">
        <v>312</v>
      </c>
      <c r="E1675" s="78" t="s">
        <v>1494</v>
      </c>
      <c r="F1675" s="78" t="s">
        <v>1495</v>
      </c>
      <c r="G1675" s="78" t="s">
        <v>1513</v>
      </c>
      <c r="H1675" s="77"/>
      <c r="I1675" s="226"/>
      <c r="J1675" s="77"/>
      <c r="K1675" s="77"/>
      <c r="L1675" s="77"/>
      <c r="M1675" s="77"/>
      <c r="N1675" s="77"/>
      <c r="O1675" s="77"/>
      <c r="P1675" s="77"/>
      <c r="Q1675" s="77"/>
      <c r="R1675" s="77"/>
      <c r="S1675" s="77"/>
      <c r="T1675" s="77"/>
      <c r="U1675" s="77"/>
      <c r="V1675" s="77"/>
      <c r="W1675" s="77"/>
      <c r="X1675" s="77"/>
      <c r="Y1675" s="77"/>
      <c r="Z1675" s="77"/>
      <c r="AA1675" s="77"/>
      <c r="AB1675" s="77"/>
      <c r="AC1675" s="77"/>
      <c r="AD1675" s="77"/>
      <c r="AE1675" s="79"/>
    </row>
    <row r="1676" spans="1:31" x14ac:dyDescent="0.3">
      <c r="A1676" s="76"/>
      <c r="B1676" s="78" t="s">
        <v>1602</v>
      </c>
      <c r="C1676" s="78" t="s">
        <v>1502</v>
      </c>
      <c r="D1676" s="78" t="s">
        <v>279</v>
      </c>
      <c r="E1676" s="78" t="s">
        <v>1503</v>
      </c>
      <c r="F1676" s="78" t="s">
        <v>1495</v>
      </c>
      <c r="G1676" s="78" t="s">
        <v>1513</v>
      </c>
      <c r="H1676" s="77"/>
      <c r="I1676" s="226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U1676" s="77"/>
      <c r="V1676" s="77"/>
      <c r="W1676" s="77"/>
      <c r="X1676" s="77"/>
      <c r="Y1676" s="77"/>
      <c r="Z1676" s="77"/>
      <c r="AA1676" s="77"/>
      <c r="AB1676" s="77"/>
      <c r="AC1676" s="77"/>
      <c r="AD1676" s="77"/>
      <c r="AE1676" s="79"/>
    </row>
    <row r="1677" spans="1:31" x14ac:dyDescent="0.3">
      <c r="A1677" s="76"/>
      <c r="B1677" s="78" t="s">
        <v>1938</v>
      </c>
      <c r="C1677" s="78" t="s">
        <v>1489</v>
      </c>
      <c r="D1677" s="78" t="s">
        <v>245</v>
      </c>
      <c r="E1677" s="78" t="s">
        <v>1749</v>
      </c>
      <c r="F1677" s="78" t="s">
        <v>1750</v>
      </c>
      <c r="G1677" s="78" t="s">
        <v>1513</v>
      </c>
      <c r="H1677" s="77"/>
      <c r="I1677" s="226"/>
      <c r="J1677" s="77"/>
      <c r="K1677" s="77"/>
      <c r="L1677" s="77"/>
      <c r="M1677" s="77"/>
      <c r="N1677" s="77"/>
      <c r="O1677" s="77"/>
      <c r="P1677" s="77"/>
      <c r="Q1677" s="77"/>
      <c r="R1677" s="77"/>
      <c r="S1677" s="77"/>
      <c r="T1677" s="77"/>
      <c r="U1677" s="77"/>
      <c r="V1677" s="77"/>
      <c r="W1677" s="77"/>
      <c r="X1677" s="77"/>
      <c r="Y1677" s="77"/>
      <c r="Z1677" s="77"/>
      <c r="AA1677" s="77"/>
      <c r="AB1677" s="77"/>
      <c r="AC1677" s="77"/>
      <c r="AD1677" s="77"/>
      <c r="AE1677" s="79"/>
    </row>
    <row r="1678" spans="1:31" x14ac:dyDescent="0.3">
      <c r="A1678" s="76"/>
      <c r="B1678" s="78" t="s">
        <v>1945</v>
      </c>
      <c r="C1678" s="78" t="s">
        <v>1489</v>
      </c>
      <c r="D1678" s="78" t="s">
        <v>315</v>
      </c>
      <c r="E1678" s="78" t="s">
        <v>1500</v>
      </c>
      <c r="F1678" s="78" t="s">
        <v>1501</v>
      </c>
      <c r="G1678" s="78" t="s">
        <v>1513</v>
      </c>
      <c r="H1678" s="77"/>
      <c r="I1678" s="226"/>
      <c r="J1678" s="77"/>
      <c r="K1678" s="77"/>
      <c r="L1678" s="77"/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  <c r="AA1678" s="77"/>
      <c r="AB1678" s="77"/>
      <c r="AC1678" s="77"/>
      <c r="AD1678" s="77"/>
      <c r="AE1678" s="79"/>
    </row>
    <row r="1679" spans="1:31" x14ac:dyDescent="0.3">
      <c r="A1679" s="76"/>
      <c r="B1679" s="78" t="s">
        <v>2080</v>
      </c>
      <c r="C1679" s="78" t="s">
        <v>1489</v>
      </c>
      <c r="D1679" s="78" t="s">
        <v>311</v>
      </c>
      <c r="E1679" s="78" t="s">
        <v>1545</v>
      </c>
      <c r="F1679" s="78" t="s">
        <v>1619</v>
      </c>
      <c r="G1679" s="78" t="s">
        <v>1513</v>
      </c>
      <c r="H1679" s="77"/>
      <c r="I1679" s="226"/>
      <c r="J1679" s="77"/>
      <c r="K1679" s="77"/>
      <c r="L1679" s="77"/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  <c r="AA1679" s="77"/>
      <c r="AB1679" s="77"/>
      <c r="AC1679" s="77"/>
      <c r="AD1679" s="77"/>
      <c r="AE1679" s="79"/>
    </row>
    <row r="1680" spans="1:31" ht="15" thickBot="1" x14ac:dyDescent="0.35">
      <c r="A1680" s="81"/>
      <c r="B1680" s="82" t="s">
        <v>2107</v>
      </c>
      <c r="C1680" s="82" t="s">
        <v>1496</v>
      </c>
      <c r="D1680" s="82" t="s">
        <v>305</v>
      </c>
      <c r="E1680" s="82" t="s">
        <v>1628</v>
      </c>
      <c r="F1680" s="82" t="s">
        <v>1526</v>
      </c>
      <c r="G1680" s="82" t="s">
        <v>1513</v>
      </c>
      <c r="H1680" s="82"/>
      <c r="I1680" s="226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  <c r="X1680" s="83"/>
      <c r="Y1680" s="83"/>
      <c r="Z1680" s="83"/>
      <c r="AA1680" s="83"/>
      <c r="AB1680" s="83"/>
      <c r="AC1680" s="83"/>
      <c r="AD1680" s="83"/>
      <c r="AE1680" s="84"/>
    </row>
    <row r="1681" spans="1:31" x14ac:dyDescent="0.3">
      <c r="A1681" s="72" t="s">
        <v>136</v>
      </c>
      <c r="B1681" s="73" t="s">
        <v>2167</v>
      </c>
      <c r="C1681" s="74" t="s">
        <v>1479</v>
      </c>
      <c r="D1681" s="74" t="s">
        <v>137</v>
      </c>
      <c r="E1681" s="74" t="s">
        <v>1480</v>
      </c>
      <c r="F1681" s="74"/>
      <c r="G1681" s="74" t="s">
        <v>1481</v>
      </c>
      <c r="H1681" s="73" t="s">
        <v>1482</v>
      </c>
      <c r="I1681" s="226"/>
      <c r="J1681" s="73" t="s">
        <v>135</v>
      </c>
      <c r="K1681" s="73">
        <v>10</v>
      </c>
      <c r="L1681" s="73" t="s">
        <v>195</v>
      </c>
      <c r="M1681" s="73" t="s">
        <v>1483</v>
      </c>
      <c r="N1681" s="73" t="s">
        <v>1483</v>
      </c>
      <c r="O1681" s="73" t="s">
        <v>1483</v>
      </c>
      <c r="P1681" s="73" t="s">
        <v>1483</v>
      </c>
      <c r="Q1681" s="73" t="s">
        <v>1483</v>
      </c>
      <c r="R1681" s="73" t="s">
        <v>1483</v>
      </c>
      <c r="S1681" s="73" t="s">
        <v>1484</v>
      </c>
      <c r="T1681" s="73" t="s">
        <v>1484</v>
      </c>
      <c r="U1681" s="73" t="s">
        <v>1484</v>
      </c>
      <c r="V1681" s="73" t="s">
        <v>1484</v>
      </c>
      <c r="W1681" s="73" t="s">
        <v>1485</v>
      </c>
      <c r="X1681" s="73" t="s">
        <v>1484</v>
      </c>
      <c r="Y1681" s="73" t="s">
        <v>1484</v>
      </c>
      <c r="Z1681" s="73" t="s">
        <v>1485</v>
      </c>
      <c r="AA1681" s="73" t="s">
        <v>1485</v>
      </c>
      <c r="AB1681" s="73" t="s">
        <v>1484</v>
      </c>
      <c r="AC1681" s="73" t="s">
        <v>1486</v>
      </c>
      <c r="AD1681" s="73" t="s">
        <v>1487</v>
      </c>
      <c r="AE1681" s="75" t="s">
        <v>1488</v>
      </c>
    </row>
    <row r="1682" spans="1:31" x14ac:dyDescent="0.3">
      <c r="A1682" s="76"/>
      <c r="B1682" s="77"/>
      <c r="C1682" s="78" t="s">
        <v>1493</v>
      </c>
      <c r="D1682" s="78" t="s">
        <v>138</v>
      </c>
      <c r="E1682" s="78" t="s">
        <v>1595</v>
      </c>
      <c r="F1682" s="78" t="s">
        <v>1546</v>
      </c>
      <c r="G1682" s="78" t="s">
        <v>1492</v>
      </c>
      <c r="H1682" s="77"/>
      <c r="I1682" s="226"/>
      <c r="J1682" s="77"/>
      <c r="K1682" s="77"/>
      <c r="L1682" s="77"/>
      <c r="M1682" s="77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  <c r="AA1682" s="77"/>
      <c r="AB1682" s="77"/>
      <c r="AC1682" s="77"/>
      <c r="AD1682" s="77"/>
      <c r="AE1682" s="79"/>
    </row>
    <row r="1683" spans="1:31" x14ac:dyDescent="0.3">
      <c r="A1683" s="76"/>
      <c r="B1683" s="77"/>
      <c r="C1683" s="78" t="s">
        <v>1496</v>
      </c>
      <c r="D1683" s="78" t="s">
        <v>139</v>
      </c>
      <c r="E1683" s="78" t="s">
        <v>1618</v>
      </c>
      <c r="F1683" s="78" t="s">
        <v>1528</v>
      </c>
      <c r="G1683" s="78" t="s">
        <v>1492</v>
      </c>
      <c r="H1683" s="77"/>
      <c r="I1683" s="226"/>
      <c r="J1683" s="77"/>
      <c r="K1683" s="77"/>
      <c r="L1683" s="77"/>
      <c r="M1683" s="77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  <c r="AA1683" s="77"/>
      <c r="AB1683" s="77"/>
      <c r="AC1683" s="77"/>
      <c r="AD1683" s="77"/>
      <c r="AE1683" s="79"/>
    </row>
    <row r="1684" spans="1:31" x14ac:dyDescent="0.3">
      <c r="A1684" s="76"/>
      <c r="B1684" s="77"/>
      <c r="C1684" s="78" t="s">
        <v>1499</v>
      </c>
      <c r="D1684" s="78" t="s">
        <v>140</v>
      </c>
      <c r="E1684" s="78" t="s">
        <v>1494</v>
      </c>
      <c r="F1684" s="78" t="s">
        <v>1495</v>
      </c>
      <c r="G1684" s="78" t="s">
        <v>1492</v>
      </c>
      <c r="H1684" s="77"/>
      <c r="I1684" s="226"/>
      <c r="J1684" s="77"/>
      <c r="K1684" s="77"/>
      <c r="L1684" s="77"/>
      <c r="M1684" s="77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  <c r="AA1684" s="77"/>
      <c r="AB1684" s="77"/>
      <c r="AC1684" s="77"/>
      <c r="AD1684" s="77"/>
      <c r="AE1684" s="79"/>
    </row>
    <row r="1685" spans="1:31" ht="15" thickBot="1" x14ac:dyDescent="0.35">
      <c r="A1685" s="76"/>
      <c r="B1685" s="77"/>
      <c r="C1685" s="78" t="s">
        <v>1502</v>
      </c>
      <c r="D1685" s="78" t="s">
        <v>141</v>
      </c>
      <c r="E1685" s="78" t="s">
        <v>1591</v>
      </c>
      <c r="F1685" s="78" t="s">
        <v>1819</v>
      </c>
      <c r="G1685" s="78" t="s">
        <v>1492</v>
      </c>
      <c r="H1685" s="77"/>
      <c r="I1685" s="227"/>
      <c r="J1685" s="77"/>
      <c r="K1685" s="77"/>
      <c r="L1685" s="77"/>
      <c r="M1685" s="77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  <c r="AA1685" s="77"/>
      <c r="AB1685" s="77"/>
      <c r="AC1685" s="77"/>
      <c r="AD1685" s="77"/>
      <c r="AE1685" s="79"/>
    </row>
    <row r="1686" spans="1:31" x14ac:dyDescent="0.3">
      <c r="A1686" s="76"/>
      <c r="B1686" s="77"/>
      <c r="C1686" s="78" t="s">
        <v>1504</v>
      </c>
      <c r="D1686" s="78" t="s">
        <v>142</v>
      </c>
      <c r="E1686" s="78" t="s">
        <v>1500</v>
      </c>
      <c r="F1686" s="78" t="s">
        <v>1501</v>
      </c>
      <c r="G1686" s="78" t="s">
        <v>1492</v>
      </c>
      <c r="H1686" s="77"/>
      <c r="I1686" s="225">
        <v>23</v>
      </c>
      <c r="J1686" s="77"/>
      <c r="K1686" s="77"/>
      <c r="L1686" s="77"/>
      <c r="M1686" s="77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  <c r="AA1686" s="77"/>
      <c r="AB1686" s="77"/>
      <c r="AC1686" s="77"/>
      <c r="AD1686" s="77"/>
      <c r="AE1686" s="79"/>
    </row>
    <row r="1687" spans="1:31" x14ac:dyDescent="0.3">
      <c r="A1687" s="76"/>
      <c r="B1687" s="80"/>
      <c r="C1687" s="78" t="s">
        <v>1507</v>
      </c>
      <c r="D1687" s="78" t="s">
        <v>143</v>
      </c>
      <c r="E1687" s="78" t="s">
        <v>1508</v>
      </c>
      <c r="F1687" s="78" t="s">
        <v>1509</v>
      </c>
      <c r="G1687" s="78" t="s">
        <v>1492</v>
      </c>
      <c r="H1687" s="77"/>
      <c r="I1687" s="226"/>
      <c r="J1687" s="77"/>
      <c r="K1687" s="77"/>
      <c r="L1687" s="77"/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7"/>
      <c r="AE1687" s="79"/>
    </row>
    <row r="1688" spans="1:31" x14ac:dyDescent="0.3">
      <c r="A1688" s="76"/>
      <c r="B1688" s="78" t="s">
        <v>1485</v>
      </c>
      <c r="C1688" s="78" t="s">
        <v>1485</v>
      </c>
      <c r="D1688" s="78" t="s">
        <v>144</v>
      </c>
      <c r="E1688" s="78" t="s">
        <v>1511</v>
      </c>
      <c r="F1688" s="78" t="s">
        <v>1623</v>
      </c>
      <c r="G1688" s="78" t="s">
        <v>1513</v>
      </c>
      <c r="H1688" s="77"/>
      <c r="I1688" s="226"/>
      <c r="J1688" s="77"/>
      <c r="K1688" s="77"/>
      <c r="L1688" s="77"/>
      <c r="M1688" s="77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  <c r="AA1688" s="77"/>
      <c r="AB1688" s="77"/>
      <c r="AC1688" s="77"/>
      <c r="AD1688" s="77"/>
      <c r="AE1688" s="79"/>
    </row>
    <row r="1689" spans="1:31" x14ac:dyDescent="0.3">
      <c r="A1689" s="76"/>
      <c r="B1689" s="78" t="s">
        <v>1784</v>
      </c>
      <c r="C1689" s="78" t="s">
        <v>1499</v>
      </c>
      <c r="D1689" s="78" t="s">
        <v>109</v>
      </c>
      <c r="E1689" s="78" t="s">
        <v>1480</v>
      </c>
      <c r="F1689" s="78" t="s">
        <v>1518</v>
      </c>
      <c r="G1689" s="78" t="s">
        <v>1513</v>
      </c>
      <c r="H1689" s="77"/>
      <c r="I1689" s="226"/>
      <c r="J1689" s="77"/>
      <c r="K1689" s="77"/>
      <c r="L1689" s="77"/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7"/>
      <c r="AE1689" s="79"/>
    </row>
    <row r="1690" spans="1:31" x14ac:dyDescent="0.3">
      <c r="A1690" s="76"/>
      <c r="B1690" s="78" t="s">
        <v>2113</v>
      </c>
      <c r="C1690" s="78" t="s">
        <v>1493</v>
      </c>
      <c r="D1690" s="78" t="s">
        <v>140</v>
      </c>
      <c r="E1690" s="78" t="s">
        <v>1494</v>
      </c>
      <c r="F1690" s="78" t="s">
        <v>1495</v>
      </c>
      <c r="G1690" s="78" t="s">
        <v>1513</v>
      </c>
      <c r="H1690" s="77"/>
      <c r="I1690" s="226"/>
      <c r="J1690" s="77"/>
      <c r="K1690" s="77"/>
      <c r="L1690" s="77"/>
      <c r="M1690" s="77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  <c r="AA1690" s="77"/>
      <c r="AB1690" s="77"/>
      <c r="AC1690" s="77"/>
      <c r="AD1690" s="77"/>
      <c r="AE1690" s="79"/>
    </row>
    <row r="1691" spans="1:31" x14ac:dyDescent="0.3">
      <c r="A1691" s="76"/>
      <c r="B1691" s="78" t="s">
        <v>1556</v>
      </c>
      <c r="C1691" s="78" t="s">
        <v>1493</v>
      </c>
      <c r="D1691" s="78" t="s">
        <v>142</v>
      </c>
      <c r="E1691" s="78" t="s">
        <v>1500</v>
      </c>
      <c r="F1691" s="78" t="s">
        <v>1501</v>
      </c>
      <c r="G1691" s="78" t="s">
        <v>1513</v>
      </c>
      <c r="H1691" s="77"/>
      <c r="I1691" s="226"/>
      <c r="J1691" s="77"/>
      <c r="K1691" s="77"/>
      <c r="L1691" s="77"/>
      <c r="M1691" s="77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  <c r="AA1691" s="77"/>
      <c r="AB1691" s="77"/>
      <c r="AC1691" s="77"/>
      <c r="AD1691" s="77"/>
      <c r="AE1691" s="79"/>
    </row>
    <row r="1692" spans="1:31" x14ac:dyDescent="0.3">
      <c r="A1692" s="76"/>
      <c r="B1692" s="78" t="s">
        <v>1898</v>
      </c>
      <c r="C1692" s="78" t="s">
        <v>1493</v>
      </c>
      <c r="D1692" s="78" t="s">
        <v>145</v>
      </c>
      <c r="E1692" s="78" t="s">
        <v>1708</v>
      </c>
      <c r="F1692" s="78" t="s">
        <v>1558</v>
      </c>
      <c r="G1692" s="78" t="s">
        <v>1513</v>
      </c>
      <c r="H1692" s="77"/>
      <c r="I1692" s="226"/>
      <c r="J1692" s="77"/>
      <c r="K1692" s="77"/>
      <c r="L1692" s="77"/>
      <c r="M1692" s="77"/>
      <c r="N1692" s="77"/>
      <c r="O1692" s="77"/>
      <c r="P1692" s="77"/>
      <c r="Q1692" s="77"/>
      <c r="R1692" s="77"/>
      <c r="S1692" s="77"/>
      <c r="T1692" s="77"/>
      <c r="U1692" s="77"/>
      <c r="V1692" s="77"/>
      <c r="W1692" s="77"/>
      <c r="X1692" s="77"/>
      <c r="Y1692" s="77"/>
      <c r="Z1692" s="77"/>
      <c r="AA1692" s="77"/>
      <c r="AB1692" s="77"/>
      <c r="AC1692" s="77"/>
      <c r="AD1692" s="77"/>
      <c r="AE1692" s="79"/>
    </row>
    <row r="1693" spans="1:31" x14ac:dyDescent="0.3">
      <c r="A1693" s="76"/>
      <c r="B1693" s="78" t="s">
        <v>2005</v>
      </c>
      <c r="C1693" s="78" t="s">
        <v>1489</v>
      </c>
      <c r="D1693" s="78" t="s">
        <v>139</v>
      </c>
      <c r="E1693" s="78" t="s">
        <v>1618</v>
      </c>
      <c r="F1693" s="78" t="s">
        <v>1528</v>
      </c>
      <c r="G1693" s="78" t="s">
        <v>1513</v>
      </c>
      <c r="H1693" s="77"/>
      <c r="I1693" s="226"/>
      <c r="J1693" s="77"/>
      <c r="K1693" s="77"/>
      <c r="L1693" s="77"/>
      <c r="M1693" s="77"/>
      <c r="N1693" s="77"/>
      <c r="O1693" s="77"/>
      <c r="P1693" s="77"/>
      <c r="Q1693" s="77"/>
      <c r="R1693" s="77"/>
      <c r="S1693" s="77"/>
      <c r="T1693" s="77"/>
      <c r="U1693" s="77"/>
      <c r="V1693" s="77"/>
      <c r="W1693" s="77"/>
      <c r="X1693" s="77"/>
      <c r="Y1693" s="77"/>
      <c r="Z1693" s="77"/>
      <c r="AA1693" s="77"/>
      <c r="AB1693" s="77"/>
      <c r="AC1693" s="77"/>
      <c r="AD1693" s="77"/>
      <c r="AE1693" s="79"/>
    </row>
    <row r="1694" spans="1:31" ht="15" thickBot="1" x14ac:dyDescent="0.35">
      <c r="A1694" s="81"/>
      <c r="B1694" s="82" t="s">
        <v>2037</v>
      </c>
      <c r="C1694" s="82" t="s">
        <v>1489</v>
      </c>
      <c r="D1694" s="82" t="s">
        <v>138</v>
      </c>
      <c r="E1694" s="82" t="s">
        <v>1595</v>
      </c>
      <c r="F1694" s="82" t="s">
        <v>1546</v>
      </c>
      <c r="G1694" s="82" t="s">
        <v>1513</v>
      </c>
      <c r="H1694" s="83"/>
      <c r="I1694" s="226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  <c r="X1694" s="83"/>
      <c r="Y1694" s="83"/>
      <c r="Z1694" s="83"/>
      <c r="AA1694" s="83"/>
      <c r="AB1694" s="83"/>
      <c r="AC1694" s="83"/>
      <c r="AD1694" s="83"/>
      <c r="AE1694" s="84"/>
    </row>
    <row r="1695" spans="1:31" x14ac:dyDescent="0.3">
      <c r="A1695" s="72" t="s">
        <v>124</v>
      </c>
      <c r="B1695" s="73" t="s">
        <v>2168</v>
      </c>
      <c r="C1695" s="74" t="s">
        <v>1479</v>
      </c>
      <c r="D1695" s="74" t="s">
        <v>125</v>
      </c>
      <c r="E1695" s="74" t="s">
        <v>1480</v>
      </c>
      <c r="F1695" s="74"/>
      <c r="G1695" s="74" t="s">
        <v>1481</v>
      </c>
      <c r="H1695" s="73" t="s">
        <v>1482</v>
      </c>
      <c r="I1695" s="226"/>
      <c r="J1695" s="73" t="s">
        <v>123</v>
      </c>
      <c r="K1695" s="73">
        <v>9</v>
      </c>
      <c r="L1695" s="73" t="s">
        <v>195</v>
      </c>
      <c r="M1695" s="73" t="s">
        <v>1483</v>
      </c>
      <c r="N1695" s="73" t="s">
        <v>1483</v>
      </c>
      <c r="O1695" s="73" t="s">
        <v>1483</v>
      </c>
      <c r="P1695" s="73" t="s">
        <v>1483</v>
      </c>
      <c r="Q1695" s="73" t="s">
        <v>1483</v>
      </c>
      <c r="R1695" s="73" t="s">
        <v>1483</v>
      </c>
      <c r="S1695" s="73" t="s">
        <v>1484</v>
      </c>
      <c r="T1695" s="73" t="s">
        <v>1484</v>
      </c>
      <c r="U1695" s="73" t="s">
        <v>1484</v>
      </c>
      <c r="V1695" s="73" t="s">
        <v>1484</v>
      </c>
      <c r="W1695" s="73" t="s">
        <v>1485</v>
      </c>
      <c r="X1695" s="73" t="s">
        <v>1484</v>
      </c>
      <c r="Y1695" s="73" t="s">
        <v>1484</v>
      </c>
      <c r="Z1695" s="73" t="s">
        <v>1485</v>
      </c>
      <c r="AA1695" s="73" t="s">
        <v>1485</v>
      </c>
      <c r="AB1695" s="73" t="s">
        <v>1484</v>
      </c>
      <c r="AC1695" s="73" t="s">
        <v>1486</v>
      </c>
      <c r="AD1695" s="73" t="s">
        <v>1487</v>
      </c>
      <c r="AE1695" s="75" t="s">
        <v>1488</v>
      </c>
    </row>
    <row r="1696" spans="1:31" x14ac:dyDescent="0.3">
      <c r="A1696" s="76"/>
      <c r="B1696" s="77"/>
      <c r="C1696" s="78" t="s">
        <v>1489</v>
      </c>
      <c r="D1696" s="78" t="s">
        <v>126</v>
      </c>
      <c r="E1696" s="78" t="s">
        <v>1708</v>
      </c>
      <c r="F1696" s="78" t="s">
        <v>1565</v>
      </c>
      <c r="G1696" s="78" t="s">
        <v>1492</v>
      </c>
      <c r="H1696" s="77"/>
      <c r="I1696" s="226"/>
      <c r="J1696" s="77"/>
      <c r="K1696" s="77"/>
      <c r="L1696" s="77"/>
      <c r="M1696" s="77"/>
      <c r="N1696" s="77"/>
      <c r="O1696" s="77"/>
      <c r="P1696" s="77"/>
      <c r="Q1696" s="77"/>
      <c r="R1696" s="77"/>
      <c r="S1696" s="77"/>
      <c r="T1696" s="77"/>
      <c r="U1696" s="77"/>
      <c r="V1696" s="77"/>
      <c r="W1696" s="77"/>
      <c r="X1696" s="77"/>
      <c r="Y1696" s="77"/>
      <c r="Z1696" s="77"/>
      <c r="AA1696" s="77"/>
      <c r="AB1696" s="77"/>
      <c r="AC1696" s="77"/>
      <c r="AD1696" s="77"/>
      <c r="AE1696" s="79"/>
    </row>
    <row r="1697" spans="1:31" x14ac:dyDescent="0.3">
      <c r="A1697" s="76"/>
      <c r="B1697" s="77"/>
      <c r="C1697" s="78" t="s">
        <v>1493</v>
      </c>
      <c r="D1697" s="78" t="s">
        <v>127</v>
      </c>
      <c r="E1697" s="78" t="s">
        <v>1618</v>
      </c>
      <c r="F1697" s="78" t="s">
        <v>1631</v>
      </c>
      <c r="G1697" s="78" t="s">
        <v>1492</v>
      </c>
      <c r="H1697" s="77"/>
      <c r="I1697" s="226"/>
      <c r="J1697" s="77"/>
      <c r="K1697" s="77"/>
      <c r="L1697" s="77"/>
      <c r="M1697" s="77"/>
      <c r="N1697" s="77"/>
      <c r="O1697" s="77"/>
      <c r="P1697" s="77"/>
      <c r="Q1697" s="77"/>
      <c r="R1697" s="77"/>
      <c r="S1697" s="77"/>
      <c r="T1697" s="77"/>
      <c r="U1697" s="77"/>
      <c r="V1697" s="77"/>
      <c r="W1697" s="77"/>
      <c r="X1697" s="77"/>
      <c r="Y1697" s="77"/>
      <c r="Z1697" s="77"/>
      <c r="AA1697" s="77"/>
      <c r="AB1697" s="77"/>
      <c r="AC1697" s="77"/>
      <c r="AD1697" s="77"/>
      <c r="AE1697" s="79"/>
    </row>
    <row r="1698" spans="1:31" x14ac:dyDescent="0.3">
      <c r="A1698" s="76"/>
      <c r="B1698" s="77"/>
      <c r="C1698" s="78" t="s">
        <v>1496</v>
      </c>
      <c r="D1698" s="78" t="s">
        <v>128</v>
      </c>
      <c r="E1698" s="78" t="s">
        <v>1494</v>
      </c>
      <c r="F1698" s="78" t="s">
        <v>1495</v>
      </c>
      <c r="G1698" s="78" t="s">
        <v>1492</v>
      </c>
      <c r="H1698" s="77"/>
      <c r="I1698" s="226"/>
      <c r="J1698" s="77"/>
      <c r="K1698" s="77"/>
      <c r="L1698" s="77"/>
      <c r="M1698" s="77"/>
      <c r="N1698" s="77"/>
      <c r="O1698" s="77"/>
      <c r="P1698" s="77"/>
      <c r="Q1698" s="77"/>
      <c r="R1698" s="77"/>
      <c r="S1698" s="77"/>
      <c r="T1698" s="77"/>
      <c r="U1698" s="77"/>
      <c r="V1698" s="77"/>
      <c r="W1698" s="77"/>
      <c r="X1698" s="77"/>
      <c r="Y1698" s="77"/>
      <c r="Z1698" s="77"/>
      <c r="AA1698" s="77"/>
      <c r="AB1698" s="77"/>
      <c r="AC1698" s="77"/>
      <c r="AD1698" s="77"/>
      <c r="AE1698" s="79"/>
    </row>
    <row r="1699" spans="1:31" x14ac:dyDescent="0.3">
      <c r="A1699" s="76"/>
      <c r="B1699" s="77"/>
      <c r="C1699" s="78" t="s">
        <v>1499</v>
      </c>
      <c r="D1699" s="78" t="s">
        <v>129</v>
      </c>
      <c r="E1699" s="78" t="s">
        <v>1494</v>
      </c>
      <c r="F1699" s="78" t="s">
        <v>1495</v>
      </c>
      <c r="G1699" s="78" t="s">
        <v>1492</v>
      </c>
      <c r="H1699" s="77"/>
      <c r="I1699" s="226"/>
      <c r="J1699" s="77"/>
      <c r="K1699" s="77"/>
      <c r="L1699" s="77"/>
      <c r="M1699" s="77"/>
      <c r="N1699" s="77"/>
      <c r="O1699" s="77"/>
      <c r="P1699" s="77"/>
      <c r="Q1699" s="77"/>
      <c r="R1699" s="77"/>
      <c r="S1699" s="77"/>
      <c r="T1699" s="77"/>
      <c r="U1699" s="77"/>
      <c r="V1699" s="77"/>
      <c r="W1699" s="77"/>
      <c r="X1699" s="77"/>
      <c r="Y1699" s="77"/>
      <c r="Z1699" s="77"/>
      <c r="AA1699" s="77"/>
      <c r="AB1699" s="77"/>
      <c r="AC1699" s="77"/>
      <c r="AD1699" s="77"/>
      <c r="AE1699" s="79"/>
    </row>
    <row r="1700" spans="1:31" x14ac:dyDescent="0.3">
      <c r="A1700" s="76"/>
      <c r="B1700" s="77"/>
      <c r="C1700" s="78" t="s">
        <v>1504</v>
      </c>
      <c r="D1700" s="78" t="s">
        <v>130</v>
      </c>
      <c r="E1700" s="78" t="s">
        <v>1500</v>
      </c>
      <c r="F1700" s="78" t="s">
        <v>1501</v>
      </c>
      <c r="G1700" s="78" t="s">
        <v>1492</v>
      </c>
      <c r="H1700" s="77"/>
      <c r="I1700" s="226"/>
      <c r="J1700" s="77"/>
      <c r="K1700" s="77"/>
      <c r="L1700" s="77"/>
      <c r="M1700" s="77"/>
      <c r="N1700" s="77"/>
      <c r="O1700" s="77"/>
      <c r="P1700" s="77"/>
      <c r="Q1700" s="77"/>
      <c r="R1700" s="77"/>
      <c r="S1700" s="77"/>
      <c r="T1700" s="77"/>
      <c r="U1700" s="77"/>
      <c r="V1700" s="77"/>
      <c r="W1700" s="77"/>
      <c r="X1700" s="77"/>
      <c r="Y1700" s="77"/>
      <c r="Z1700" s="77"/>
      <c r="AA1700" s="77"/>
      <c r="AB1700" s="77"/>
      <c r="AC1700" s="77"/>
      <c r="AD1700" s="77"/>
      <c r="AE1700" s="79"/>
    </row>
    <row r="1701" spans="1:31" x14ac:dyDescent="0.3">
      <c r="A1701" s="76"/>
      <c r="B1701" s="80"/>
      <c r="C1701" s="78" t="s">
        <v>1507</v>
      </c>
      <c r="D1701" s="78" t="s">
        <v>131</v>
      </c>
      <c r="E1701" s="78" t="s">
        <v>1508</v>
      </c>
      <c r="F1701" s="78" t="s">
        <v>1509</v>
      </c>
      <c r="G1701" s="78" t="s">
        <v>1492</v>
      </c>
      <c r="H1701" s="77"/>
      <c r="I1701" s="226"/>
      <c r="J1701" s="77"/>
      <c r="K1701" s="77"/>
      <c r="L1701" s="77"/>
      <c r="M1701" s="77"/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  <c r="AA1701" s="77"/>
      <c r="AB1701" s="77"/>
      <c r="AC1701" s="77"/>
      <c r="AD1701" s="77"/>
      <c r="AE1701" s="79"/>
    </row>
    <row r="1702" spans="1:31" ht="15" thickBot="1" x14ac:dyDescent="0.35">
      <c r="A1702" s="76"/>
      <c r="B1702" s="78" t="s">
        <v>1485</v>
      </c>
      <c r="C1702" s="78" t="s">
        <v>1485</v>
      </c>
      <c r="D1702" s="78" t="s">
        <v>2169</v>
      </c>
      <c r="E1702" s="78" t="s">
        <v>1534</v>
      </c>
      <c r="F1702" s="78" t="s">
        <v>1535</v>
      </c>
      <c r="G1702" s="78" t="s">
        <v>1513</v>
      </c>
      <c r="H1702" s="77"/>
      <c r="I1702" s="227"/>
      <c r="J1702" s="77"/>
      <c r="K1702" s="77"/>
      <c r="L1702" s="77"/>
      <c r="M1702" s="77"/>
      <c r="N1702" s="77"/>
      <c r="O1702" s="77"/>
      <c r="P1702" s="77"/>
      <c r="Q1702" s="77"/>
      <c r="R1702" s="77"/>
      <c r="S1702" s="77"/>
      <c r="T1702" s="77"/>
      <c r="U1702" s="77"/>
      <c r="V1702" s="77"/>
      <c r="W1702" s="77"/>
      <c r="X1702" s="77"/>
      <c r="Y1702" s="77"/>
      <c r="Z1702" s="77"/>
      <c r="AA1702" s="77"/>
      <c r="AB1702" s="77"/>
      <c r="AC1702" s="77"/>
      <c r="AD1702" s="77"/>
      <c r="AE1702" s="79"/>
    </row>
    <row r="1703" spans="1:31" x14ac:dyDescent="0.3">
      <c r="A1703" s="76"/>
      <c r="B1703" s="78" t="s">
        <v>1485</v>
      </c>
      <c r="C1703" s="78" t="s">
        <v>1485</v>
      </c>
      <c r="D1703" s="78" t="s">
        <v>2170</v>
      </c>
      <c r="E1703" s="78" t="s">
        <v>1511</v>
      </c>
      <c r="F1703" s="78" t="s">
        <v>1623</v>
      </c>
      <c r="G1703" s="78" t="s">
        <v>1513</v>
      </c>
      <c r="H1703" s="77"/>
      <c r="I1703" s="225">
        <v>6</v>
      </c>
      <c r="J1703" s="77"/>
      <c r="K1703" s="77"/>
      <c r="L1703" s="77"/>
      <c r="M1703" s="77"/>
      <c r="N1703" s="77"/>
      <c r="O1703" s="77"/>
      <c r="P1703" s="77"/>
      <c r="Q1703" s="77"/>
      <c r="R1703" s="77"/>
      <c r="S1703" s="77"/>
      <c r="T1703" s="77"/>
      <c r="U1703" s="77"/>
      <c r="V1703" s="77"/>
      <c r="W1703" s="77"/>
      <c r="X1703" s="77"/>
      <c r="Y1703" s="77"/>
      <c r="Z1703" s="77"/>
      <c r="AA1703" s="77"/>
      <c r="AB1703" s="77"/>
      <c r="AC1703" s="77"/>
      <c r="AD1703" s="77"/>
      <c r="AE1703" s="79"/>
    </row>
    <row r="1704" spans="1:31" x14ac:dyDescent="0.3">
      <c r="A1704" s="76"/>
      <c r="B1704" s="78" t="s">
        <v>1796</v>
      </c>
      <c r="C1704" s="78" t="s">
        <v>1499</v>
      </c>
      <c r="D1704" s="78" t="s">
        <v>133</v>
      </c>
      <c r="E1704" s="78" t="s">
        <v>1480</v>
      </c>
      <c r="F1704" s="78" t="s">
        <v>1518</v>
      </c>
      <c r="G1704" s="78" t="s">
        <v>1513</v>
      </c>
      <c r="H1704" s="77"/>
      <c r="I1704" s="226"/>
      <c r="J1704" s="77"/>
      <c r="K1704" s="77"/>
      <c r="L1704" s="77"/>
      <c r="M1704" s="77"/>
      <c r="N1704" s="77"/>
      <c r="O1704" s="77"/>
      <c r="P1704" s="77"/>
      <c r="Q1704" s="77"/>
      <c r="R1704" s="77"/>
      <c r="S1704" s="77"/>
      <c r="T1704" s="77"/>
      <c r="U1704" s="77"/>
      <c r="V1704" s="77"/>
      <c r="W1704" s="77"/>
      <c r="X1704" s="77"/>
      <c r="Y1704" s="77"/>
      <c r="Z1704" s="77"/>
      <c r="AA1704" s="77"/>
      <c r="AB1704" s="77"/>
      <c r="AC1704" s="77"/>
      <c r="AD1704" s="77"/>
      <c r="AE1704" s="79"/>
    </row>
    <row r="1705" spans="1:31" x14ac:dyDescent="0.3">
      <c r="A1705" s="76"/>
      <c r="B1705" s="78" t="s">
        <v>1871</v>
      </c>
      <c r="C1705" s="78" t="s">
        <v>1499</v>
      </c>
      <c r="D1705" s="78" t="s">
        <v>128</v>
      </c>
      <c r="E1705" s="78" t="s">
        <v>1494</v>
      </c>
      <c r="F1705" s="78" t="s">
        <v>1495</v>
      </c>
      <c r="G1705" s="78" t="s">
        <v>1513</v>
      </c>
      <c r="H1705" s="77"/>
      <c r="I1705" s="226"/>
      <c r="J1705" s="77"/>
      <c r="K1705" s="77"/>
      <c r="L1705" s="77"/>
      <c r="M1705" s="77"/>
      <c r="N1705" s="77"/>
      <c r="O1705" s="77"/>
      <c r="P1705" s="77"/>
      <c r="Q1705" s="77"/>
      <c r="R1705" s="77"/>
      <c r="S1705" s="77"/>
      <c r="T1705" s="77"/>
      <c r="U1705" s="77"/>
      <c r="V1705" s="77"/>
      <c r="W1705" s="77"/>
      <c r="X1705" s="77"/>
      <c r="Y1705" s="77"/>
      <c r="Z1705" s="77"/>
      <c r="AA1705" s="77"/>
      <c r="AB1705" s="77"/>
      <c r="AC1705" s="77"/>
      <c r="AD1705" s="77"/>
      <c r="AE1705" s="79"/>
    </row>
    <row r="1706" spans="1:31" x14ac:dyDescent="0.3">
      <c r="A1706" s="76"/>
      <c r="B1706" s="78" t="s">
        <v>2116</v>
      </c>
      <c r="C1706" s="78" t="s">
        <v>1493</v>
      </c>
      <c r="D1706" s="78" t="s">
        <v>129</v>
      </c>
      <c r="E1706" s="78" t="s">
        <v>1494</v>
      </c>
      <c r="F1706" s="78" t="s">
        <v>1495</v>
      </c>
      <c r="G1706" s="78" t="s">
        <v>1513</v>
      </c>
      <c r="H1706" s="77"/>
      <c r="I1706" s="226"/>
      <c r="J1706" s="77"/>
      <c r="K1706" s="77"/>
      <c r="L1706" s="77"/>
      <c r="M1706" s="77"/>
      <c r="N1706" s="77"/>
      <c r="O1706" s="77"/>
      <c r="P1706" s="77"/>
      <c r="Q1706" s="77"/>
      <c r="R1706" s="77"/>
      <c r="S1706" s="77"/>
      <c r="T1706" s="77"/>
      <c r="U1706" s="77"/>
      <c r="V1706" s="77"/>
      <c r="W1706" s="77"/>
      <c r="X1706" s="77"/>
      <c r="Y1706" s="77"/>
      <c r="Z1706" s="77"/>
      <c r="AA1706" s="77"/>
      <c r="AB1706" s="77"/>
      <c r="AC1706" s="77"/>
      <c r="AD1706" s="77"/>
      <c r="AE1706" s="79"/>
    </row>
    <row r="1707" spans="1:31" x14ac:dyDescent="0.3">
      <c r="A1707" s="76"/>
      <c r="B1707" s="78" t="s">
        <v>1570</v>
      </c>
      <c r="C1707" s="78" t="s">
        <v>1489</v>
      </c>
      <c r="D1707" s="78" t="s">
        <v>130</v>
      </c>
      <c r="E1707" s="78" t="s">
        <v>1500</v>
      </c>
      <c r="F1707" s="78" t="s">
        <v>1501</v>
      </c>
      <c r="G1707" s="78" t="s">
        <v>1513</v>
      </c>
      <c r="H1707" s="77"/>
      <c r="I1707" s="226"/>
      <c r="J1707" s="77"/>
      <c r="K1707" s="77"/>
      <c r="L1707" s="77"/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  <c r="AA1707" s="77"/>
      <c r="AB1707" s="77"/>
      <c r="AC1707" s="77"/>
      <c r="AD1707" s="77"/>
      <c r="AE1707" s="79"/>
    </row>
    <row r="1708" spans="1:31" x14ac:dyDescent="0.3">
      <c r="A1708" s="76"/>
      <c r="B1708" s="78" t="s">
        <v>1637</v>
      </c>
      <c r="C1708" s="78" t="s">
        <v>1496</v>
      </c>
      <c r="D1708" s="78" t="s">
        <v>127</v>
      </c>
      <c r="E1708" s="78" t="s">
        <v>1618</v>
      </c>
      <c r="F1708" s="78" t="s">
        <v>1631</v>
      </c>
      <c r="G1708" s="78" t="s">
        <v>1513</v>
      </c>
      <c r="H1708" s="77"/>
      <c r="I1708" s="226"/>
      <c r="J1708" s="77"/>
      <c r="K1708" s="77"/>
      <c r="L1708" s="77"/>
      <c r="M1708" s="77"/>
      <c r="N1708" s="77"/>
      <c r="O1708" s="77"/>
      <c r="P1708" s="77"/>
      <c r="Q1708" s="77"/>
      <c r="R1708" s="77"/>
      <c r="S1708" s="77"/>
      <c r="T1708" s="77"/>
      <c r="U1708" s="77"/>
      <c r="V1708" s="77"/>
      <c r="W1708" s="77"/>
      <c r="X1708" s="77"/>
      <c r="Y1708" s="77"/>
      <c r="Z1708" s="77"/>
      <c r="AA1708" s="77"/>
      <c r="AB1708" s="77"/>
      <c r="AC1708" s="77"/>
      <c r="AD1708" s="77"/>
      <c r="AE1708" s="79"/>
    </row>
    <row r="1709" spans="1:31" ht="15" thickBot="1" x14ac:dyDescent="0.35">
      <c r="A1709" s="81"/>
      <c r="B1709" s="82" t="s">
        <v>1712</v>
      </c>
      <c r="C1709" s="82" t="s">
        <v>1496</v>
      </c>
      <c r="D1709" s="82" t="s">
        <v>126</v>
      </c>
      <c r="E1709" s="82" t="s">
        <v>1708</v>
      </c>
      <c r="F1709" s="82" t="s">
        <v>1565</v>
      </c>
      <c r="G1709" s="82" t="s">
        <v>1513</v>
      </c>
      <c r="H1709" s="83"/>
      <c r="I1709" s="226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  <c r="X1709" s="83"/>
      <c r="Y1709" s="83"/>
      <c r="Z1709" s="83"/>
      <c r="AA1709" s="83"/>
      <c r="AB1709" s="83"/>
      <c r="AC1709" s="83"/>
      <c r="AD1709" s="83"/>
      <c r="AE1709" s="84"/>
    </row>
    <row r="1710" spans="1:31" x14ac:dyDescent="0.3">
      <c r="A1710" s="72" t="s">
        <v>241</v>
      </c>
      <c r="B1710" s="73" t="s">
        <v>2171</v>
      </c>
      <c r="C1710" s="74" t="s">
        <v>1479</v>
      </c>
      <c r="D1710" s="74" t="s">
        <v>242</v>
      </c>
      <c r="E1710" s="74" t="s">
        <v>1480</v>
      </c>
      <c r="F1710" s="74"/>
      <c r="G1710" s="74" t="s">
        <v>1481</v>
      </c>
      <c r="H1710" s="73" t="s">
        <v>1575</v>
      </c>
      <c r="I1710" s="226"/>
      <c r="J1710" s="73" t="s">
        <v>240</v>
      </c>
      <c r="K1710" s="73">
        <v>29</v>
      </c>
      <c r="L1710" s="73" t="s">
        <v>320</v>
      </c>
      <c r="M1710" s="73" t="s">
        <v>1483</v>
      </c>
      <c r="N1710" s="73" t="s">
        <v>1483</v>
      </c>
      <c r="O1710" s="73" t="s">
        <v>1483</v>
      </c>
      <c r="P1710" s="73" t="s">
        <v>1483</v>
      </c>
      <c r="Q1710" s="73" t="s">
        <v>1483</v>
      </c>
      <c r="R1710" s="73" t="s">
        <v>1483</v>
      </c>
      <c r="S1710" s="73" t="s">
        <v>1484</v>
      </c>
      <c r="T1710" s="73" t="s">
        <v>1484</v>
      </c>
      <c r="U1710" s="73" t="s">
        <v>1484</v>
      </c>
      <c r="V1710" s="73" t="s">
        <v>1484</v>
      </c>
      <c r="W1710" s="73" t="s">
        <v>1485</v>
      </c>
      <c r="X1710" s="73" t="s">
        <v>1484</v>
      </c>
      <c r="Y1710" s="73" t="s">
        <v>1484</v>
      </c>
      <c r="Z1710" s="73" t="s">
        <v>1484</v>
      </c>
      <c r="AA1710" s="73" t="s">
        <v>1485</v>
      </c>
      <c r="AB1710" s="73" t="s">
        <v>1484</v>
      </c>
      <c r="AC1710" s="73" t="s">
        <v>1486</v>
      </c>
      <c r="AD1710" s="73" t="s">
        <v>1487</v>
      </c>
      <c r="AE1710" s="75" t="s">
        <v>1579</v>
      </c>
    </row>
    <row r="1711" spans="1:31" x14ac:dyDescent="0.3">
      <c r="A1711" s="76"/>
      <c r="B1711" s="77"/>
      <c r="C1711" s="78" t="s">
        <v>1493</v>
      </c>
      <c r="D1711" s="78" t="s">
        <v>243</v>
      </c>
      <c r="E1711" s="78" t="s">
        <v>2004</v>
      </c>
      <c r="F1711" s="78" t="s">
        <v>1611</v>
      </c>
      <c r="G1711" s="78" t="s">
        <v>1492</v>
      </c>
      <c r="H1711" s="77"/>
      <c r="I1711" s="226"/>
      <c r="J1711" s="77"/>
      <c r="K1711" s="77"/>
      <c r="L1711" s="77"/>
      <c r="M1711" s="77"/>
      <c r="N1711" s="77"/>
      <c r="O1711" s="77"/>
      <c r="P1711" s="77"/>
      <c r="Q1711" s="77"/>
      <c r="R1711" s="77"/>
      <c r="S1711" s="77"/>
      <c r="T1711" s="77"/>
      <c r="U1711" s="77"/>
      <c r="V1711" s="77"/>
      <c r="W1711" s="77"/>
      <c r="X1711" s="77"/>
      <c r="Y1711" s="77"/>
      <c r="Z1711" s="77"/>
      <c r="AA1711" s="77"/>
      <c r="AB1711" s="77"/>
      <c r="AC1711" s="77"/>
      <c r="AD1711" s="77"/>
      <c r="AE1711" s="79"/>
    </row>
    <row r="1712" spans="1:31" x14ac:dyDescent="0.3">
      <c r="A1712" s="76"/>
      <c r="B1712" s="77"/>
      <c r="C1712" s="78" t="s">
        <v>1496</v>
      </c>
      <c r="D1712" s="78" t="s">
        <v>244</v>
      </c>
      <c r="E1712" s="78" t="s">
        <v>1628</v>
      </c>
      <c r="F1712" s="78" t="s">
        <v>1565</v>
      </c>
      <c r="G1712" s="78" t="s">
        <v>1492</v>
      </c>
      <c r="H1712" s="77"/>
      <c r="I1712" s="226"/>
      <c r="J1712" s="77"/>
      <c r="K1712" s="77"/>
      <c r="L1712" s="77"/>
      <c r="M1712" s="77"/>
      <c r="N1712" s="77"/>
      <c r="O1712" s="77"/>
      <c r="P1712" s="77"/>
      <c r="Q1712" s="77"/>
      <c r="R1712" s="77"/>
      <c r="S1712" s="77"/>
      <c r="T1712" s="77"/>
      <c r="U1712" s="77"/>
      <c r="V1712" s="77"/>
      <c r="W1712" s="77"/>
      <c r="X1712" s="77"/>
      <c r="Y1712" s="77"/>
      <c r="Z1712" s="77"/>
      <c r="AA1712" s="77"/>
      <c r="AB1712" s="77"/>
      <c r="AC1712" s="77"/>
      <c r="AD1712" s="77"/>
      <c r="AE1712" s="79"/>
    </row>
    <row r="1713" spans="1:31" x14ac:dyDescent="0.3">
      <c r="A1713" s="76"/>
      <c r="B1713" s="77"/>
      <c r="C1713" s="78" t="s">
        <v>1499</v>
      </c>
      <c r="D1713" s="78" t="s">
        <v>150</v>
      </c>
      <c r="E1713" s="78" t="s">
        <v>1503</v>
      </c>
      <c r="F1713" s="78" t="s">
        <v>1495</v>
      </c>
      <c r="G1713" s="78" t="s">
        <v>1492</v>
      </c>
      <c r="H1713" s="77"/>
      <c r="I1713" s="226"/>
      <c r="J1713" s="77"/>
      <c r="K1713" s="77"/>
      <c r="L1713" s="77"/>
      <c r="M1713" s="77"/>
      <c r="N1713" s="77"/>
      <c r="O1713" s="77"/>
      <c r="P1713" s="77"/>
      <c r="Q1713" s="77"/>
      <c r="R1713" s="77"/>
      <c r="S1713" s="77"/>
      <c r="T1713" s="77"/>
      <c r="U1713" s="77"/>
      <c r="V1713" s="77"/>
      <c r="W1713" s="77"/>
      <c r="X1713" s="77"/>
      <c r="Y1713" s="77"/>
      <c r="Z1713" s="77"/>
      <c r="AA1713" s="77"/>
      <c r="AB1713" s="77"/>
      <c r="AC1713" s="77"/>
      <c r="AD1713" s="77"/>
      <c r="AE1713" s="79"/>
    </row>
    <row r="1714" spans="1:31" x14ac:dyDescent="0.3">
      <c r="A1714" s="76"/>
      <c r="B1714" s="77"/>
      <c r="C1714" s="78" t="s">
        <v>1502</v>
      </c>
      <c r="D1714" s="78" t="s">
        <v>245</v>
      </c>
      <c r="E1714" s="78" t="s">
        <v>1749</v>
      </c>
      <c r="F1714" s="78" t="s">
        <v>1750</v>
      </c>
      <c r="G1714" s="78" t="s">
        <v>1492</v>
      </c>
      <c r="H1714" s="77"/>
      <c r="I1714" s="226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U1714" s="77"/>
      <c r="V1714" s="77"/>
      <c r="W1714" s="77"/>
      <c r="X1714" s="77"/>
      <c r="Y1714" s="77"/>
      <c r="Z1714" s="77"/>
      <c r="AA1714" s="77"/>
      <c r="AB1714" s="77"/>
      <c r="AC1714" s="77"/>
      <c r="AD1714" s="77"/>
      <c r="AE1714" s="79"/>
    </row>
    <row r="1715" spans="1:31" x14ac:dyDescent="0.3">
      <c r="A1715" s="76"/>
      <c r="B1715" s="80"/>
      <c r="C1715" s="78" t="s">
        <v>1504</v>
      </c>
      <c r="D1715" s="78" t="s">
        <v>246</v>
      </c>
      <c r="E1715" s="78" t="s">
        <v>1500</v>
      </c>
      <c r="F1715" s="78" t="s">
        <v>1501</v>
      </c>
      <c r="G1715" s="78" t="s">
        <v>1492</v>
      </c>
      <c r="H1715" s="77"/>
      <c r="I1715" s="226"/>
      <c r="J1715" s="77"/>
      <c r="K1715" s="77"/>
      <c r="L1715" s="77"/>
      <c r="M1715" s="77"/>
      <c r="N1715" s="77"/>
      <c r="O1715" s="77"/>
      <c r="P1715" s="77"/>
      <c r="Q1715" s="77"/>
      <c r="R1715" s="77"/>
      <c r="S1715" s="77"/>
      <c r="T1715" s="77"/>
      <c r="U1715" s="77"/>
      <c r="V1715" s="77"/>
      <c r="W1715" s="77"/>
      <c r="X1715" s="77"/>
      <c r="Y1715" s="77"/>
      <c r="Z1715" s="77"/>
      <c r="AA1715" s="77"/>
      <c r="AB1715" s="77"/>
      <c r="AC1715" s="77"/>
      <c r="AD1715" s="77"/>
      <c r="AE1715" s="79"/>
    </row>
    <row r="1716" spans="1:31" ht="15" thickBot="1" x14ac:dyDescent="0.35">
      <c r="A1716" s="76"/>
      <c r="B1716" s="78" t="s">
        <v>1805</v>
      </c>
      <c r="C1716" s="78" t="s">
        <v>1499</v>
      </c>
      <c r="D1716" s="78" t="s">
        <v>247</v>
      </c>
      <c r="E1716" s="78" t="s">
        <v>1480</v>
      </c>
      <c r="F1716" s="78" t="s">
        <v>1518</v>
      </c>
      <c r="G1716" s="78" t="s">
        <v>1513</v>
      </c>
      <c r="H1716" s="77"/>
      <c r="I1716" s="227"/>
      <c r="J1716" s="77"/>
      <c r="K1716" s="77"/>
      <c r="L1716" s="77"/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  <c r="AA1716" s="77"/>
      <c r="AB1716" s="77"/>
      <c r="AC1716" s="77"/>
      <c r="AD1716" s="77"/>
      <c r="AE1716" s="79"/>
    </row>
    <row r="1717" spans="1:31" x14ac:dyDescent="0.3">
      <c r="A1717" s="76"/>
      <c r="B1717" s="78" t="s">
        <v>1786</v>
      </c>
      <c r="C1717" s="78" t="s">
        <v>1502</v>
      </c>
      <c r="D1717" s="78" t="s">
        <v>150</v>
      </c>
      <c r="E1717" s="78" t="s">
        <v>1503</v>
      </c>
      <c r="F1717" s="78" t="s">
        <v>1495</v>
      </c>
      <c r="G1717" s="78" t="s">
        <v>1513</v>
      </c>
      <c r="H1717" s="77"/>
      <c r="I1717" s="225">
        <v>5</v>
      </c>
      <c r="J1717" s="77"/>
      <c r="K1717" s="77"/>
      <c r="L1717" s="77"/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  <c r="AA1717" s="77"/>
      <c r="AB1717" s="77"/>
      <c r="AC1717" s="77"/>
      <c r="AD1717" s="77"/>
      <c r="AE1717" s="79"/>
    </row>
    <row r="1718" spans="1:31" x14ac:dyDescent="0.3">
      <c r="A1718" s="76"/>
      <c r="B1718" s="78" t="s">
        <v>1938</v>
      </c>
      <c r="C1718" s="78" t="s">
        <v>1496</v>
      </c>
      <c r="D1718" s="78" t="s">
        <v>245</v>
      </c>
      <c r="E1718" s="78" t="s">
        <v>1749</v>
      </c>
      <c r="F1718" s="78" t="s">
        <v>1750</v>
      </c>
      <c r="G1718" s="78" t="s">
        <v>1513</v>
      </c>
      <c r="H1718" s="77"/>
      <c r="I1718" s="226"/>
      <c r="J1718" s="77"/>
      <c r="K1718" s="77"/>
      <c r="L1718" s="77"/>
      <c r="M1718" s="77"/>
      <c r="N1718" s="77"/>
      <c r="O1718" s="77"/>
      <c r="P1718" s="77"/>
      <c r="Q1718" s="77"/>
      <c r="R1718" s="77"/>
      <c r="S1718" s="77"/>
      <c r="T1718" s="77"/>
      <c r="U1718" s="77"/>
      <c r="V1718" s="77"/>
      <c r="W1718" s="77"/>
      <c r="X1718" s="77"/>
      <c r="Y1718" s="77"/>
      <c r="Z1718" s="77"/>
      <c r="AA1718" s="77"/>
      <c r="AB1718" s="77"/>
      <c r="AC1718" s="77"/>
      <c r="AD1718" s="77"/>
      <c r="AE1718" s="79"/>
    </row>
    <row r="1719" spans="1:31" x14ac:dyDescent="0.3">
      <c r="A1719" s="76"/>
      <c r="B1719" s="78" t="s">
        <v>1676</v>
      </c>
      <c r="C1719" s="78" t="s">
        <v>1489</v>
      </c>
      <c r="D1719" s="78" t="s">
        <v>246</v>
      </c>
      <c r="E1719" s="78" t="s">
        <v>1500</v>
      </c>
      <c r="F1719" s="78" t="s">
        <v>1501</v>
      </c>
      <c r="G1719" s="78" t="s">
        <v>1513</v>
      </c>
      <c r="H1719" s="77"/>
      <c r="I1719" s="226"/>
      <c r="J1719" s="77"/>
      <c r="K1719" s="77"/>
      <c r="L1719" s="77"/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  <c r="AA1719" s="77"/>
      <c r="AB1719" s="77"/>
      <c r="AC1719" s="77"/>
      <c r="AD1719" s="77"/>
      <c r="AE1719" s="79"/>
    </row>
    <row r="1720" spans="1:31" ht="15" thickBot="1" x14ac:dyDescent="0.35">
      <c r="A1720" s="81"/>
      <c r="B1720" s="82" t="s">
        <v>1639</v>
      </c>
      <c r="C1720" s="82" t="s">
        <v>1499</v>
      </c>
      <c r="D1720" s="82" t="s">
        <v>244</v>
      </c>
      <c r="E1720" s="82" t="s">
        <v>1628</v>
      </c>
      <c r="F1720" s="82" t="s">
        <v>1565</v>
      </c>
      <c r="G1720" s="82" t="s">
        <v>1513</v>
      </c>
      <c r="H1720" s="83"/>
      <c r="I1720" s="226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  <c r="X1720" s="83"/>
      <c r="Y1720" s="83"/>
      <c r="Z1720" s="83"/>
      <c r="AA1720" s="83"/>
      <c r="AB1720" s="83"/>
      <c r="AC1720" s="83"/>
      <c r="AD1720" s="83"/>
      <c r="AE1720" s="84"/>
    </row>
    <row r="1721" spans="1:31" x14ac:dyDescent="0.3">
      <c r="A1721" s="72" t="s">
        <v>148</v>
      </c>
      <c r="B1721" s="73" t="s">
        <v>2172</v>
      </c>
      <c r="C1721" s="74" t="s">
        <v>1479</v>
      </c>
      <c r="D1721" s="74" t="s">
        <v>149</v>
      </c>
      <c r="E1721" s="74" t="s">
        <v>1480</v>
      </c>
      <c r="F1721" s="74"/>
      <c r="G1721" s="74" t="s">
        <v>1481</v>
      </c>
      <c r="H1721" s="73" t="s">
        <v>1482</v>
      </c>
      <c r="I1721" s="226"/>
      <c r="J1721" s="73" t="s">
        <v>147</v>
      </c>
      <c r="K1721" s="73">
        <v>11</v>
      </c>
      <c r="L1721" s="73" t="s">
        <v>195</v>
      </c>
      <c r="M1721" s="73" t="s">
        <v>1483</v>
      </c>
      <c r="N1721" s="73" t="s">
        <v>1483</v>
      </c>
      <c r="O1721" s="73" t="s">
        <v>1483</v>
      </c>
      <c r="P1721" s="73" t="s">
        <v>1483</v>
      </c>
      <c r="Q1721" s="73" t="s">
        <v>1483</v>
      </c>
      <c r="R1721" s="73" t="s">
        <v>1483</v>
      </c>
      <c r="S1721" s="73" t="s">
        <v>1484</v>
      </c>
      <c r="T1721" s="73" t="s">
        <v>1484</v>
      </c>
      <c r="U1721" s="73" t="s">
        <v>1484</v>
      </c>
      <c r="V1721" s="73" t="s">
        <v>1484</v>
      </c>
      <c r="W1721" s="73" t="s">
        <v>1485</v>
      </c>
      <c r="X1721" s="73" t="s">
        <v>1484</v>
      </c>
      <c r="Y1721" s="73" t="s">
        <v>1484</v>
      </c>
      <c r="Z1721" s="73" t="s">
        <v>1485</v>
      </c>
      <c r="AA1721" s="73" t="s">
        <v>1485</v>
      </c>
      <c r="AB1721" s="73" t="s">
        <v>1484</v>
      </c>
      <c r="AC1721" s="73" t="s">
        <v>1486</v>
      </c>
      <c r="AD1721" s="73" t="s">
        <v>1487</v>
      </c>
      <c r="AE1721" s="75" t="s">
        <v>1488</v>
      </c>
    </row>
    <row r="1722" spans="1:31" x14ac:dyDescent="0.3">
      <c r="A1722" s="76"/>
      <c r="B1722" s="77"/>
      <c r="C1722" s="78" t="s">
        <v>1493</v>
      </c>
      <c r="D1722" s="78" t="s">
        <v>150</v>
      </c>
      <c r="E1722" s="78" t="s">
        <v>1503</v>
      </c>
      <c r="F1722" s="78" t="s">
        <v>1495</v>
      </c>
      <c r="G1722" s="78" t="s">
        <v>1492</v>
      </c>
      <c r="H1722" s="77"/>
      <c r="I1722" s="226"/>
      <c r="J1722" s="77"/>
      <c r="K1722" s="77"/>
      <c r="L1722" s="77"/>
      <c r="M1722" s="77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  <c r="AA1722" s="77"/>
      <c r="AB1722" s="77"/>
      <c r="AC1722" s="77"/>
      <c r="AD1722" s="77"/>
      <c r="AE1722" s="79"/>
    </row>
    <row r="1723" spans="1:31" x14ac:dyDescent="0.3">
      <c r="A1723" s="76"/>
      <c r="B1723" s="77"/>
      <c r="C1723" s="78" t="s">
        <v>1496</v>
      </c>
      <c r="D1723" s="78" t="s">
        <v>90</v>
      </c>
      <c r="E1723" s="78" t="s">
        <v>1618</v>
      </c>
      <c r="F1723" s="78" t="s">
        <v>1491</v>
      </c>
      <c r="G1723" s="78" t="s">
        <v>1492</v>
      </c>
      <c r="H1723" s="77"/>
      <c r="I1723" s="226"/>
      <c r="J1723" s="77"/>
      <c r="K1723" s="77"/>
      <c r="L1723" s="77"/>
      <c r="M1723" s="77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  <c r="AA1723" s="77"/>
      <c r="AB1723" s="77"/>
      <c r="AC1723" s="77"/>
      <c r="AD1723" s="77"/>
      <c r="AE1723" s="79"/>
    </row>
    <row r="1724" spans="1:31" x14ac:dyDescent="0.3">
      <c r="A1724" s="76"/>
      <c r="B1724" s="77"/>
      <c r="C1724" s="78" t="s">
        <v>1502</v>
      </c>
      <c r="D1724" s="78" t="s">
        <v>127</v>
      </c>
      <c r="E1724" s="78" t="s">
        <v>1618</v>
      </c>
      <c r="F1724" s="78" t="s">
        <v>1631</v>
      </c>
      <c r="G1724" s="78" t="s">
        <v>1492</v>
      </c>
      <c r="H1724" s="77"/>
      <c r="I1724" s="226"/>
      <c r="J1724" s="77"/>
      <c r="K1724" s="77"/>
      <c r="L1724" s="77"/>
      <c r="M1724" s="77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  <c r="AA1724" s="77"/>
      <c r="AB1724" s="77"/>
      <c r="AC1724" s="77"/>
      <c r="AD1724" s="77"/>
      <c r="AE1724" s="79"/>
    </row>
    <row r="1725" spans="1:31" x14ac:dyDescent="0.3">
      <c r="A1725" s="76"/>
      <c r="B1725" s="80"/>
      <c r="C1725" s="78" t="s">
        <v>1504</v>
      </c>
      <c r="D1725" s="78" t="s">
        <v>130</v>
      </c>
      <c r="E1725" s="78" t="s">
        <v>1500</v>
      </c>
      <c r="F1725" s="78" t="s">
        <v>1501</v>
      </c>
      <c r="G1725" s="78" t="s">
        <v>1492</v>
      </c>
      <c r="H1725" s="77"/>
      <c r="I1725" s="226"/>
      <c r="J1725" s="77"/>
      <c r="K1725" s="77"/>
      <c r="L1725" s="77"/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7"/>
      <c r="AE1725" s="79"/>
    </row>
    <row r="1726" spans="1:31" x14ac:dyDescent="0.3">
      <c r="A1726" s="76"/>
      <c r="B1726" s="78" t="s">
        <v>1485</v>
      </c>
      <c r="C1726" s="78" t="s">
        <v>1485</v>
      </c>
      <c r="D1726" s="78" t="s">
        <v>2173</v>
      </c>
      <c r="E1726" s="78" t="s">
        <v>2174</v>
      </c>
      <c r="F1726" s="78" t="s">
        <v>2175</v>
      </c>
      <c r="G1726" s="78" t="s">
        <v>1492</v>
      </c>
      <c r="H1726" s="77"/>
      <c r="I1726" s="226"/>
      <c r="J1726" s="77"/>
      <c r="K1726" s="77"/>
      <c r="L1726" s="77"/>
      <c r="M1726" s="77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  <c r="AA1726" s="77"/>
      <c r="AB1726" s="77"/>
      <c r="AC1726" s="77"/>
      <c r="AD1726" s="77"/>
      <c r="AE1726" s="79"/>
    </row>
    <row r="1727" spans="1:31" x14ac:dyDescent="0.3">
      <c r="A1727" s="76"/>
      <c r="B1727" s="78" t="s">
        <v>1485</v>
      </c>
      <c r="C1727" s="78" t="s">
        <v>1485</v>
      </c>
      <c r="D1727" s="78" t="s">
        <v>2176</v>
      </c>
      <c r="E1727" s="78" t="s">
        <v>1548</v>
      </c>
      <c r="F1727" s="78" t="s">
        <v>1512</v>
      </c>
      <c r="G1727" s="78" t="s">
        <v>1513</v>
      </c>
      <c r="H1727" s="77"/>
      <c r="I1727" s="226"/>
      <c r="J1727" s="77"/>
      <c r="K1727" s="77"/>
      <c r="L1727" s="77"/>
      <c r="M1727" s="77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  <c r="AA1727" s="77"/>
      <c r="AB1727" s="77"/>
      <c r="AC1727" s="77"/>
      <c r="AD1727" s="77"/>
      <c r="AE1727" s="79"/>
    </row>
    <row r="1728" spans="1:31" x14ac:dyDescent="0.3">
      <c r="A1728" s="76"/>
      <c r="B1728" s="78" t="s">
        <v>1814</v>
      </c>
      <c r="C1728" s="78" t="s">
        <v>1499</v>
      </c>
      <c r="D1728" s="78" t="s">
        <v>152</v>
      </c>
      <c r="E1728" s="78" t="s">
        <v>1480</v>
      </c>
      <c r="F1728" s="78" t="s">
        <v>1518</v>
      </c>
      <c r="G1728" s="78" t="s">
        <v>1513</v>
      </c>
      <c r="H1728" s="77"/>
      <c r="I1728" s="226"/>
      <c r="J1728" s="77"/>
      <c r="K1728" s="77"/>
      <c r="L1728" s="77"/>
      <c r="M1728" s="77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  <c r="AA1728" s="77"/>
      <c r="AB1728" s="77"/>
      <c r="AC1728" s="77"/>
      <c r="AD1728" s="77"/>
      <c r="AE1728" s="79"/>
    </row>
    <row r="1729" spans="1:31" x14ac:dyDescent="0.3">
      <c r="A1729" s="76"/>
      <c r="B1729" s="78" t="s">
        <v>1786</v>
      </c>
      <c r="C1729" s="78" t="s">
        <v>1496</v>
      </c>
      <c r="D1729" s="78" t="s">
        <v>150</v>
      </c>
      <c r="E1729" s="78" t="s">
        <v>1503</v>
      </c>
      <c r="F1729" s="78" t="s">
        <v>1495</v>
      </c>
      <c r="G1729" s="78" t="s">
        <v>1513</v>
      </c>
      <c r="H1729" s="77"/>
      <c r="I1729" s="226"/>
      <c r="J1729" s="77"/>
      <c r="K1729" s="77"/>
      <c r="L1729" s="77"/>
      <c r="M1729" s="77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  <c r="AA1729" s="77"/>
      <c r="AB1729" s="77"/>
      <c r="AC1729" s="77"/>
      <c r="AD1729" s="77"/>
      <c r="AE1729" s="79"/>
    </row>
    <row r="1730" spans="1:31" x14ac:dyDescent="0.3">
      <c r="A1730" s="76"/>
      <c r="B1730" s="78" t="s">
        <v>1570</v>
      </c>
      <c r="C1730" s="78" t="s">
        <v>1502</v>
      </c>
      <c r="D1730" s="78" t="s">
        <v>130</v>
      </c>
      <c r="E1730" s="78" t="s">
        <v>1500</v>
      </c>
      <c r="F1730" s="78" t="s">
        <v>1501</v>
      </c>
      <c r="G1730" s="78" t="s">
        <v>1513</v>
      </c>
      <c r="H1730" s="77"/>
      <c r="I1730" s="226"/>
      <c r="J1730" s="77"/>
      <c r="K1730" s="77"/>
      <c r="L1730" s="77"/>
      <c r="M1730" s="77"/>
      <c r="N1730" s="77"/>
      <c r="O1730" s="77"/>
      <c r="P1730" s="77"/>
      <c r="Q1730" s="77"/>
      <c r="R1730" s="77"/>
      <c r="S1730" s="77"/>
      <c r="T1730" s="77"/>
      <c r="U1730" s="77"/>
      <c r="V1730" s="77"/>
      <c r="W1730" s="77"/>
      <c r="X1730" s="77"/>
      <c r="Y1730" s="77"/>
      <c r="Z1730" s="77"/>
      <c r="AA1730" s="77"/>
      <c r="AB1730" s="77"/>
      <c r="AC1730" s="77"/>
      <c r="AD1730" s="77"/>
      <c r="AE1730" s="79"/>
    </row>
    <row r="1731" spans="1:31" ht="15" thickBot="1" x14ac:dyDescent="0.35">
      <c r="A1731" s="76"/>
      <c r="B1731" s="78" t="s">
        <v>1637</v>
      </c>
      <c r="C1731" s="78" t="s">
        <v>1502</v>
      </c>
      <c r="D1731" s="78" t="s">
        <v>127</v>
      </c>
      <c r="E1731" s="78" t="s">
        <v>1618</v>
      </c>
      <c r="F1731" s="78" t="s">
        <v>1631</v>
      </c>
      <c r="G1731" s="78" t="s">
        <v>1513</v>
      </c>
      <c r="H1731" s="77"/>
      <c r="I1731" s="227"/>
      <c r="J1731" s="77"/>
      <c r="K1731" s="77"/>
      <c r="L1731" s="77"/>
      <c r="M1731" s="77"/>
      <c r="N1731" s="77"/>
      <c r="O1731" s="77"/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9"/>
    </row>
    <row r="1732" spans="1:31" ht="15" thickBot="1" x14ac:dyDescent="0.35">
      <c r="A1732" s="81"/>
      <c r="B1732" s="82" t="s">
        <v>1731</v>
      </c>
      <c r="C1732" s="82" t="s">
        <v>1493</v>
      </c>
      <c r="D1732" s="82" t="s">
        <v>90</v>
      </c>
      <c r="E1732" s="82" t="s">
        <v>1618</v>
      </c>
      <c r="F1732" s="82" t="s">
        <v>1491</v>
      </c>
      <c r="G1732" s="82" t="s">
        <v>1513</v>
      </c>
      <c r="H1732" s="83"/>
      <c r="I1732" s="225">
        <v>19</v>
      </c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  <c r="X1732" s="83"/>
      <c r="Y1732" s="83"/>
      <c r="Z1732" s="83"/>
      <c r="AA1732" s="83"/>
      <c r="AB1732" s="83"/>
      <c r="AC1732" s="83"/>
      <c r="AD1732" s="83"/>
      <c r="AE1732" s="84"/>
    </row>
    <row r="1733" spans="1:31" x14ac:dyDescent="0.3">
      <c r="A1733" s="72" t="s">
        <v>215</v>
      </c>
      <c r="B1733" s="73" t="s">
        <v>2177</v>
      </c>
      <c r="C1733" s="74" t="s">
        <v>1479</v>
      </c>
      <c r="D1733" s="74" t="s">
        <v>216</v>
      </c>
      <c r="E1733" s="74" t="s">
        <v>1480</v>
      </c>
      <c r="F1733" s="74"/>
      <c r="G1733" s="74" t="s">
        <v>1481</v>
      </c>
      <c r="H1733" s="73" t="s">
        <v>1482</v>
      </c>
      <c r="I1733" s="226"/>
      <c r="J1733" s="73" t="s">
        <v>214</v>
      </c>
      <c r="K1733" s="73">
        <v>26</v>
      </c>
      <c r="L1733" s="73" t="s">
        <v>320</v>
      </c>
      <c r="M1733" s="73" t="s">
        <v>1483</v>
      </c>
      <c r="N1733" s="73" t="s">
        <v>1483</v>
      </c>
      <c r="O1733" s="73" t="s">
        <v>1483</v>
      </c>
      <c r="P1733" s="73" t="s">
        <v>1483</v>
      </c>
      <c r="Q1733" s="73" t="s">
        <v>1483</v>
      </c>
      <c r="R1733" s="73" t="s">
        <v>1483</v>
      </c>
      <c r="S1733" s="73" t="s">
        <v>1484</v>
      </c>
      <c r="T1733" s="73" t="s">
        <v>1484</v>
      </c>
      <c r="U1733" s="73" t="s">
        <v>1484</v>
      </c>
      <c r="V1733" s="73" t="s">
        <v>1484</v>
      </c>
      <c r="W1733" s="73" t="s">
        <v>1485</v>
      </c>
      <c r="X1733" s="73" t="s">
        <v>1484</v>
      </c>
      <c r="Y1733" s="73" t="s">
        <v>1484</v>
      </c>
      <c r="Z1733" s="73" t="s">
        <v>1485</v>
      </c>
      <c r="AA1733" s="73" t="s">
        <v>1485</v>
      </c>
      <c r="AB1733" s="73" t="s">
        <v>1484</v>
      </c>
      <c r="AC1733" s="73" t="s">
        <v>1486</v>
      </c>
      <c r="AD1733" s="73" t="s">
        <v>1487</v>
      </c>
      <c r="AE1733" s="75" t="s">
        <v>1488</v>
      </c>
    </row>
    <row r="1734" spans="1:31" x14ac:dyDescent="0.3">
      <c r="A1734" s="76"/>
      <c r="B1734" s="77"/>
      <c r="C1734" s="78" t="s">
        <v>1489</v>
      </c>
      <c r="D1734" s="78" t="s">
        <v>157</v>
      </c>
      <c r="E1734" s="78" t="s">
        <v>1494</v>
      </c>
      <c r="F1734" s="78" t="s">
        <v>1495</v>
      </c>
      <c r="G1734" s="78" t="s">
        <v>1492</v>
      </c>
      <c r="H1734" s="77"/>
      <c r="I1734" s="226"/>
      <c r="J1734" s="77"/>
      <c r="K1734" s="77"/>
      <c r="L1734" s="77"/>
      <c r="M1734" s="77"/>
      <c r="N1734" s="77"/>
      <c r="O1734" s="77"/>
      <c r="P1734" s="77"/>
      <c r="Q1734" s="77"/>
      <c r="R1734" s="77"/>
      <c r="S1734" s="77"/>
      <c r="T1734" s="77"/>
      <c r="U1734" s="77"/>
      <c r="V1734" s="77"/>
      <c r="W1734" s="77"/>
      <c r="X1734" s="77"/>
      <c r="Y1734" s="77"/>
      <c r="Z1734" s="77"/>
      <c r="AA1734" s="77"/>
      <c r="AB1734" s="77"/>
      <c r="AC1734" s="77"/>
      <c r="AD1734" s="77"/>
      <c r="AE1734" s="79"/>
    </row>
    <row r="1735" spans="1:31" x14ac:dyDescent="0.3">
      <c r="A1735" s="76"/>
      <c r="B1735" s="77"/>
      <c r="C1735" s="78" t="s">
        <v>1499</v>
      </c>
      <c r="D1735" s="78" t="s">
        <v>102</v>
      </c>
      <c r="E1735" s="78" t="s">
        <v>1933</v>
      </c>
      <c r="F1735" s="78" t="s">
        <v>1565</v>
      </c>
      <c r="G1735" s="78" t="s">
        <v>1492</v>
      </c>
      <c r="H1735" s="77"/>
      <c r="I1735" s="226"/>
      <c r="J1735" s="77"/>
      <c r="K1735" s="77"/>
      <c r="L1735" s="77"/>
      <c r="M1735" s="77"/>
      <c r="N1735" s="77"/>
      <c r="O1735" s="77"/>
      <c r="P1735" s="77"/>
      <c r="Q1735" s="77"/>
      <c r="R1735" s="77"/>
      <c r="S1735" s="77"/>
      <c r="T1735" s="77"/>
      <c r="U1735" s="77"/>
      <c r="V1735" s="77"/>
      <c r="W1735" s="77"/>
      <c r="X1735" s="77"/>
      <c r="Y1735" s="77"/>
      <c r="Z1735" s="77"/>
      <c r="AA1735" s="77"/>
      <c r="AB1735" s="77"/>
      <c r="AC1735" s="77"/>
      <c r="AD1735" s="77"/>
      <c r="AE1735" s="79"/>
    </row>
    <row r="1736" spans="1:31" x14ac:dyDescent="0.3">
      <c r="A1736" s="76"/>
      <c r="B1736" s="77"/>
      <c r="C1736" s="78" t="s">
        <v>1504</v>
      </c>
      <c r="D1736" s="78" t="s">
        <v>158</v>
      </c>
      <c r="E1736" s="78" t="s">
        <v>1500</v>
      </c>
      <c r="F1736" s="78" t="s">
        <v>1501</v>
      </c>
      <c r="G1736" s="78" t="s">
        <v>1492</v>
      </c>
      <c r="H1736" s="77"/>
      <c r="I1736" s="226"/>
      <c r="J1736" s="77"/>
      <c r="K1736" s="77"/>
      <c r="L1736" s="77"/>
      <c r="M1736" s="77"/>
      <c r="N1736" s="77"/>
      <c r="O1736" s="77"/>
      <c r="P1736" s="77"/>
      <c r="Q1736" s="77"/>
      <c r="R1736" s="77"/>
      <c r="S1736" s="77"/>
      <c r="T1736" s="77"/>
      <c r="U1736" s="77"/>
      <c r="V1736" s="77"/>
      <c r="W1736" s="77"/>
      <c r="X1736" s="77"/>
      <c r="Y1736" s="77"/>
      <c r="Z1736" s="77"/>
      <c r="AA1736" s="77"/>
      <c r="AB1736" s="77"/>
      <c r="AC1736" s="77"/>
      <c r="AD1736" s="77"/>
      <c r="AE1736" s="79"/>
    </row>
    <row r="1737" spans="1:31" x14ac:dyDescent="0.3">
      <c r="A1737" s="76"/>
      <c r="B1737" s="80"/>
      <c r="C1737" s="78" t="s">
        <v>1507</v>
      </c>
      <c r="D1737" s="78" t="s">
        <v>217</v>
      </c>
      <c r="E1737" s="78" t="s">
        <v>1749</v>
      </c>
      <c r="F1737" s="78" t="s">
        <v>1750</v>
      </c>
      <c r="G1737" s="78" t="s">
        <v>1492</v>
      </c>
      <c r="H1737" s="77"/>
      <c r="I1737" s="226"/>
      <c r="J1737" s="77"/>
      <c r="K1737" s="77"/>
      <c r="L1737" s="77"/>
      <c r="M1737" s="77"/>
      <c r="N1737" s="77"/>
      <c r="O1737" s="77"/>
      <c r="P1737" s="77"/>
      <c r="Q1737" s="77"/>
      <c r="R1737" s="77"/>
      <c r="S1737" s="77"/>
      <c r="T1737" s="77"/>
      <c r="U1737" s="77"/>
      <c r="V1737" s="77"/>
      <c r="W1737" s="77"/>
      <c r="X1737" s="77"/>
      <c r="Y1737" s="77"/>
      <c r="Z1737" s="77"/>
      <c r="AA1737" s="77"/>
      <c r="AB1737" s="77"/>
      <c r="AC1737" s="77"/>
      <c r="AD1737" s="77"/>
      <c r="AE1737" s="79"/>
    </row>
    <row r="1738" spans="1:31" x14ac:dyDescent="0.3">
      <c r="A1738" s="76"/>
      <c r="B1738" s="78" t="s">
        <v>1485</v>
      </c>
      <c r="C1738" s="78" t="s">
        <v>1485</v>
      </c>
      <c r="D1738" s="78" t="s">
        <v>218</v>
      </c>
      <c r="E1738" s="78" t="s">
        <v>1534</v>
      </c>
      <c r="F1738" s="78" t="s">
        <v>1535</v>
      </c>
      <c r="G1738" s="78" t="s">
        <v>1513</v>
      </c>
      <c r="H1738" s="77"/>
      <c r="I1738" s="226"/>
      <c r="J1738" s="77"/>
      <c r="K1738" s="77"/>
      <c r="L1738" s="77"/>
      <c r="M1738" s="77"/>
      <c r="N1738" s="77"/>
      <c r="O1738" s="77"/>
      <c r="P1738" s="77"/>
      <c r="Q1738" s="77"/>
      <c r="R1738" s="77"/>
      <c r="S1738" s="77"/>
      <c r="T1738" s="77"/>
      <c r="U1738" s="77"/>
      <c r="V1738" s="77"/>
      <c r="W1738" s="77"/>
      <c r="X1738" s="77"/>
      <c r="Y1738" s="77"/>
      <c r="Z1738" s="77"/>
      <c r="AA1738" s="77"/>
      <c r="AB1738" s="77"/>
      <c r="AC1738" s="77"/>
      <c r="AD1738" s="77"/>
      <c r="AE1738" s="79"/>
    </row>
    <row r="1739" spans="1:31" x14ac:dyDescent="0.3">
      <c r="A1739" s="76"/>
      <c r="B1739" s="78" t="s">
        <v>1794</v>
      </c>
      <c r="C1739" s="78" t="s">
        <v>1489</v>
      </c>
      <c r="D1739" s="78" t="s">
        <v>219</v>
      </c>
      <c r="E1739" s="78" t="s">
        <v>1795</v>
      </c>
      <c r="F1739" s="78" t="s">
        <v>1600</v>
      </c>
      <c r="G1739" s="78" t="s">
        <v>1513</v>
      </c>
      <c r="H1739" s="85"/>
      <c r="I1739" s="226"/>
      <c r="J1739" s="77"/>
      <c r="K1739" s="77"/>
      <c r="L1739" s="77"/>
      <c r="M1739" s="77"/>
      <c r="N1739" s="77"/>
      <c r="O1739" s="77"/>
      <c r="P1739" s="77"/>
      <c r="Q1739" s="77"/>
      <c r="R1739" s="77"/>
      <c r="S1739" s="77"/>
      <c r="T1739" s="77"/>
      <c r="U1739" s="77"/>
      <c r="V1739" s="77"/>
      <c r="W1739" s="77"/>
      <c r="X1739" s="77"/>
      <c r="Y1739" s="77"/>
      <c r="Z1739" s="77"/>
      <c r="AA1739" s="77"/>
      <c r="AB1739" s="77"/>
      <c r="AC1739" s="77"/>
      <c r="AD1739" s="77"/>
      <c r="AE1739" s="79"/>
    </row>
    <row r="1740" spans="1:31" x14ac:dyDescent="0.3">
      <c r="A1740" s="76"/>
      <c r="B1740" s="78" t="s">
        <v>1821</v>
      </c>
      <c r="C1740" s="78" t="s">
        <v>1499</v>
      </c>
      <c r="D1740" s="78" t="s">
        <v>220</v>
      </c>
      <c r="E1740" s="78" t="s">
        <v>1480</v>
      </c>
      <c r="F1740" s="78" t="s">
        <v>1518</v>
      </c>
      <c r="G1740" s="78" t="s">
        <v>1513</v>
      </c>
      <c r="H1740" s="85"/>
      <c r="I1740" s="226"/>
      <c r="J1740" s="77"/>
      <c r="K1740" s="77"/>
      <c r="L1740" s="77"/>
      <c r="M1740" s="77"/>
      <c r="N1740" s="77"/>
      <c r="O1740" s="77"/>
      <c r="P1740" s="77"/>
      <c r="Q1740" s="77"/>
      <c r="R1740" s="77"/>
      <c r="S1740" s="77"/>
      <c r="T1740" s="77"/>
      <c r="U1740" s="77"/>
      <c r="V1740" s="77"/>
      <c r="W1740" s="77"/>
      <c r="X1740" s="77"/>
      <c r="Y1740" s="77"/>
      <c r="Z1740" s="77"/>
      <c r="AA1740" s="77"/>
      <c r="AB1740" s="77"/>
      <c r="AC1740" s="77"/>
      <c r="AD1740" s="77"/>
      <c r="AE1740" s="79"/>
    </row>
    <row r="1741" spans="1:31" x14ac:dyDescent="0.3">
      <c r="A1741" s="76"/>
      <c r="B1741" s="78" t="s">
        <v>2093</v>
      </c>
      <c r="C1741" s="78" t="s">
        <v>1496</v>
      </c>
      <c r="D1741" s="78" t="s">
        <v>157</v>
      </c>
      <c r="E1741" s="78" t="s">
        <v>1494</v>
      </c>
      <c r="F1741" s="78" t="s">
        <v>1495</v>
      </c>
      <c r="G1741" s="78" t="s">
        <v>1513</v>
      </c>
      <c r="H1741" s="77"/>
      <c r="I1741" s="226"/>
      <c r="J1741" s="77"/>
      <c r="K1741" s="77"/>
      <c r="L1741" s="77"/>
      <c r="M1741" s="77"/>
      <c r="N1741" s="77"/>
      <c r="O1741" s="77"/>
      <c r="P1741" s="77"/>
      <c r="Q1741" s="77"/>
      <c r="R1741" s="77"/>
      <c r="S1741" s="77"/>
      <c r="T1741" s="77"/>
      <c r="U1741" s="77"/>
      <c r="V1741" s="77"/>
      <c r="W1741" s="77"/>
      <c r="X1741" s="77"/>
      <c r="Y1741" s="77"/>
      <c r="Z1741" s="77"/>
      <c r="AA1741" s="77"/>
      <c r="AB1741" s="77"/>
      <c r="AC1741" s="77"/>
      <c r="AD1741" s="77"/>
      <c r="AE1741" s="79"/>
    </row>
    <row r="1742" spans="1:31" ht="15" thickBot="1" x14ac:dyDescent="0.35">
      <c r="A1742" s="76"/>
      <c r="B1742" s="78" t="s">
        <v>1758</v>
      </c>
      <c r="C1742" s="78" t="s">
        <v>1489</v>
      </c>
      <c r="D1742" s="78" t="s">
        <v>217</v>
      </c>
      <c r="E1742" s="78" t="s">
        <v>1749</v>
      </c>
      <c r="F1742" s="78" t="s">
        <v>1750</v>
      </c>
      <c r="G1742" s="78" t="s">
        <v>1513</v>
      </c>
      <c r="H1742" s="77"/>
      <c r="I1742" s="227"/>
      <c r="J1742" s="77"/>
      <c r="K1742" s="77"/>
      <c r="L1742" s="77"/>
      <c r="M1742" s="77"/>
      <c r="N1742" s="77"/>
      <c r="O1742" s="77"/>
      <c r="P1742" s="77"/>
      <c r="Q1742" s="77"/>
      <c r="R1742" s="77"/>
      <c r="S1742" s="77"/>
      <c r="T1742" s="77"/>
      <c r="U1742" s="77"/>
      <c r="V1742" s="77"/>
      <c r="W1742" s="77"/>
      <c r="X1742" s="77"/>
      <c r="Y1742" s="77"/>
      <c r="Z1742" s="77"/>
      <c r="AA1742" s="77"/>
      <c r="AB1742" s="77"/>
      <c r="AC1742" s="77"/>
      <c r="AD1742" s="77"/>
      <c r="AE1742" s="79"/>
    </row>
    <row r="1743" spans="1:31" x14ac:dyDescent="0.3">
      <c r="A1743" s="76"/>
      <c r="B1743" s="78" t="s">
        <v>1636</v>
      </c>
      <c r="C1743" s="78" t="s">
        <v>1502</v>
      </c>
      <c r="D1743" s="78" t="s">
        <v>158</v>
      </c>
      <c r="E1743" s="78" t="s">
        <v>1500</v>
      </c>
      <c r="F1743" s="78" t="s">
        <v>1501</v>
      </c>
      <c r="G1743" s="78" t="s">
        <v>1513</v>
      </c>
      <c r="H1743" s="77"/>
      <c r="I1743" s="225">
        <v>7</v>
      </c>
      <c r="J1743" s="77"/>
      <c r="K1743" s="77"/>
      <c r="L1743" s="77"/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  <c r="AA1743" s="77"/>
      <c r="AB1743" s="77"/>
      <c r="AC1743" s="77"/>
      <c r="AD1743" s="77"/>
      <c r="AE1743" s="79"/>
    </row>
    <row r="1744" spans="1:31" ht="15" thickBot="1" x14ac:dyDescent="0.35">
      <c r="A1744" s="81"/>
      <c r="B1744" s="82" t="s">
        <v>1936</v>
      </c>
      <c r="C1744" s="82" t="s">
        <v>1493</v>
      </c>
      <c r="D1744" s="82" t="s">
        <v>102</v>
      </c>
      <c r="E1744" s="82" t="s">
        <v>1933</v>
      </c>
      <c r="F1744" s="82" t="s">
        <v>1565</v>
      </c>
      <c r="G1744" s="82" t="s">
        <v>1513</v>
      </c>
      <c r="H1744" s="83"/>
      <c r="I1744" s="226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  <c r="X1744" s="83"/>
      <c r="Y1744" s="83"/>
      <c r="Z1744" s="83"/>
      <c r="AA1744" s="83"/>
      <c r="AB1744" s="83"/>
      <c r="AC1744" s="83"/>
      <c r="AD1744" s="83"/>
      <c r="AE1744" s="84"/>
    </row>
    <row r="1745" spans="1:31" x14ac:dyDescent="0.3">
      <c r="A1745" s="72" t="s">
        <v>73</v>
      </c>
      <c r="B1745" s="73" t="s">
        <v>2178</v>
      </c>
      <c r="C1745" s="74" t="s">
        <v>1479</v>
      </c>
      <c r="D1745" s="74" t="s">
        <v>74</v>
      </c>
      <c r="E1745" s="74" t="s">
        <v>1480</v>
      </c>
      <c r="F1745" s="74"/>
      <c r="G1745" s="74" t="s">
        <v>1481</v>
      </c>
      <c r="H1745" s="73" t="s">
        <v>1482</v>
      </c>
      <c r="I1745" s="226"/>
      <c r="J1745" s="73" t="s">
        <v>72</v>
      </c>
      <c r="K1745" s="73">
        <v>5</v>
      </c>
      <c r="L1745" s="73" t="s">
        <v>195</v>
      </c>
      <c r="M1745" s="73" t="s">
        <v>1483</v>
      </c>
      <c r="N1745" s="73" t="s">
        <v>1483</v>
      </c>
      <c r="O1745" s="73" t="s">
        <v>1483</v>
      </c>
      <c r="P1745" s="73" t="s">
        <v>1483</v>
      </c>
      <c r="Q1745" s="73" t="s">
        <v>1483</v>
      </c>
      <c r="R1745" s="73" t="s">
        <v>1483</v>
      </c>
      <c r="S1745" s="73" t="s">
        <v>1484</v>
      </c>
      <c r="T1745" s="73" t="s">
        <v>1484</v>
      </c>
      <c r="U1745" s="73" t="s">
        <v>1484</v>
      </c>
      <c r="V1745" s="73" t="s">
        <v>1484</v>
      </c>
      <c r="W1745" s="73" t="s">
        <v>1485</v>
      </c>
      <c r="X1745" s="73" t="s">
        <v>1484</v>
      </c>
      <c r="Y1745" s="73" t="s">
        <v>1484</v>
      </c>
      <c r="Z1745" s="73" t="s">
        <v>1485</v>
      </c>
      <c r="AA1745" s="73" t="s">
        <v>1485</v>
      </c>
      <c r="AB1745" s="73" t="s">
        <v>1484</v>
      </c>
      <c r="AC1745" s="73" t="s">
        <v>1486</v>
      </c>
      <c r="AD1745" s="73" t="s">
        <v>1487</v>
      </c>
      <c r="AE1745" s="75" t="s">
        <v>1488</v>
      </c>
    </row>
    <row r="1746" spans="1:31" x14ac:dyDescent="0.3">
      <c r="A1746" s="76"/>
      <c r="B1746" s="77"/>
      <c r="C1746" s="78" t="s">
        <v>1489</v>
      </c>
      <c r="D1746" s="78" t="s">
        <v>75</v>
      </c>
      <c r="E1746" s="78" t="s">
        <v>1543</v>
      </c>
      <c r="F1746" s="78" t="s">
        <v>1544</v>
      </c>
      <c r="G1746" s="78" t="s">
        <v>1492</v>
      </c>
      <c r="H1746" s="77"/>
      <c r="I1746" s="226"/>
      <c r="J1746" s="77"/>
      <c r="K1746" s="77"/>
      <c r="L1746" s="77"/>
      <c r="M1746" s="77"/>
      <c r="N1746" s="77"/>
      <c r="O1746" s="77"/>
      <c r="P1746" s="77"/>
      <c r="Q1746" s="77"/>
      <c r="R1746" s="77"/>
      <c r="S1746" s="77"/>
      <c r="T1746" s="77"/>
      <c r="U1746" s="77"/>
      <c r="V1746" s="77"/>
      <c r="W1746" s="77"/>
      <c r="X1746" s="77"/>
      <c r="Y1746" s="77"/>
      <c r="Z1746" s="77"/>
      <c r="AA1746" s="77"/>
      <c r="AB1746" s="77"/>
      <c r="AC1746" s="77"/>
      <c r="AD1746" s="77"/>
      <c r="AE1746" s="79"/>
    </row>
    <row r="1747" spans="1:31" x14ac:dyDescent="0.3">
      <c r="A1747" s="76"/>
      <c r="B1747" s="77"/>
      <c r="C1747" s="78" t="s">
        <v>1496</v>
      </c>
      <c r="D1747" s="78" t="s">
        <v>76</v>
      </c>
      <c r="E1747" s="78" t="s">
        <v>1618</v>
      </c>
      <c r="F1747" s="78" t="s">
        <v>1564</v>
      </c>
      <c r="G1747" s="78" t="s">
        <v>1492</v>
      </c>
      <c r="H1747" s="77"/>
      <c r="I1747" s="226"/>
      <c r="J1747" s="77"/>
      <c r="K1747" s="77"/>
      <c r="L1747" s="77"/>
      <c r="M1747" s="77"/>
      <c r="N1747" s="77"/>
      <c r="O1747" s="77"/>
      <c r="P1747" s="77"/>
      <c r="Q1747" s="77"/>
      <c r="R1747" s="77"/>
      <c r="S1747" s="77"/>
      <c r="T1747" s="77"/>
      <c r="U1747" s="77"/>
      <c r="V1747" s="77"/>
      <c r="W1747" s="77"/>
      <c r="X1747" s="77"/>
      <c r="Y1747" s="77"/>
      <c r="Z1747" s="77"/>
      <c r="AA1747" s="77"/>
      <c r="AB1747" s="77"/>
      <c r="AC1747" s="77"/>
      <c r="AD1747" s="77"/>
      <c r="AE1747" s="79"/>
    </row>
    <row r="1748" spans="1:31" x14ac:dyDescent="0.3">
      <c r="A1748" s="76"/>
      <c r="B1748" s="77"/>
      <c r="C1748" s="78" t="s">
        <v>1499</v>
      </c>
      <c r="D1748" s="78" t="s">
        <v>77</v>
      </c>
      <c r="E1748" s="78" t="s">
        <v>1494</v>
      </c>
      <c r="F1748" s="78" t="s">
        <v>1495</v>
      </c>
      <c r="G1748" s="78" t="s">
        <v>1492</v>
      </c>
      <c r="H1748" s="77"/>
      <c r="I1748" s="226"/>
      <c r="J1748" s="77"/>
      <c r="K1748" s="77"/>
      <c r="L1748" s="77"/>
      <c r="M1748" s="77"/>
      <c r="N1748" s="77"/>
      <c r="O1748" s="77"/>
      <c r="P1748" s="77"/>
      <c r="Q1748" s="77"/>
      <c r="R1748" s="77"/>
      <c r="S1748" s="77"/>
      <c r="T1748" s="77"/>
      <c r="U1748" s="77"/>
      <c r="V1748" s="77"/>
      <c r="W1748" s="77"/>
      <c r="X1748" s="77"/>
      <c r="Y1748" s="77"/>
      <c r="Z1748" s="77"/>
      <c r="AA1748" s="77"/>
      <c r="AB1748" s="77"/>
      <c r="AC1748" s="77"/>
      <c r="AD1748" s="77"/>
      <c r="AE1748" s="79"/>
    </row>
    <row r="1749" spans="1:31" x14ac:dyDescent="0.3">
      <c r="A1749" s="76"/>
      <c r="B1749" s="77"/>
      <c r="C1749" s="78" t="s">
        <v>1502</v>
      </c>
      <c r="D1749" s="200" t="s">
        <v>2653</v>
      </c>
      <c r="E1749" s="78" t="s">
        <v>1515</v>
      </c>
      <c r="F1749" s="78" t="s">
        <v>1652</v>
      </c>
      <c r="G1749" s="78" t="s">
        <v>1492</v>
      </c>
      <c r="H1749" s="77"/>
      <c r="I1749" s="226"/>
      <c r="J1749" s="77"/>
      <c r="K1749" s="77"/>
      <c r="L1749" s="77"/>
      <c r="M1749" s="77"/>
      <c r="N1749" s="77"/>
      <c r="O1749" s="77"/>
      <c r="P1749" s="77"/>
      <c r="Q1749" s="77"/>
      <c r="R1749" s="77"/>
      <c r="S1749" s="77"/>
      <c r="T1749" s="77"/>
      <c r="U1749" s="77"/>
      <c r="V1749" s="77"/>
      <c r="W1749" s="77"/>
      <c r="X1749" s="77"/>
      <c r="Y1749" s="77"/>
      <c r="Z1749" s="77"/>
      <c r="AA1749" s="77"/>
      <c r="AB1749" s="77"/>
      <c r="AC1749" s="77"/>
      <c r="AD1749" s="77"/>
      <c r="AE1749" s="79"/>
    </row>
    <row r="1750" spans="1:31" x14ac:dyDescent="0.3">
      <c r="A1750" s="76"/>
      <c r="B1750" s="77"/>
      <c r="C1750" s="78" t="s">
        <v>1504</v>
      </c>
      <c r="D1750" s="78" t="s">
        <v>79</v>
      </c>
      <c r="E1750" s="78" t="s">
        <v>1500</v>
      </c>
      <c r="F1750" s="78" t="s">
        <v>1501</v>
      </c>
      <c r="G1750" s="78" t="s">
        <v>1492</v>
      </c>
      <c r="H1750" s="77"/>
      <c r="I1750" s="226"/>
      <c r="J1750" s="77"/>
      <c r="K1750" s="77"/>
      <c r="L1750" s="77"/>
      <c r="M1750" s="77"/>
      <c r="N1750" s="77"/>
      <c r="O1750" s="77"/>
      <c r="P1750" s="77"/>
      <c r="Q1750" s="77"/>
      <c r="R1750" s="77"/>
      <c r="S1750" s="77"/>
      <c r="T1750" s="77"/>
      <c r="U1750" s="77"/>
      <c r="V1750" s="77"/>
      <c r="W1750" s="77"/>
      <c r="X1750" s="77"/>
      <c r="Y1750" s="77"/>
      <c r="Z1750" s="77"/>
      <c r="AA1750" s="77"/>
      <c r="AB1750" s="77"/>
      <c r="AC1750" s="77"/>
      <c r="AD1750" s="77"/>
      <c r="AE1750" s="79"/>
    </row>
    <row r="1751" spans="1:31" x14ac:dyDescent="0.3">
      <c r="A1751" s="76"/>
      <c r="B1751" s="80"/>
      <c r="C1751" s="78" t="s">
        <v>1507</v>
      </c>
      <c r="D1751" s="78" t="s">
        <v>80</v>
      </c>
      <c r="E1751" s="78" t="s">
        <v>1508</v>
      </c>
      <c r="F1751" s="78" t="s">
        <v>1509</v>
      </c>
      <c r="G1751" s="78" t="s">
        <v>1492</v>
      </c>
      <c r="H1751" s="77"/>
      <c r="I1751" s="226"/>
      <c r="J1751" s="77"/>
      <c r="K1751" s="77"/>
      <c r="L1751" s="77"/>
      <c r="M1751" s="77"/>
      <c r="N1751" s="77"/>
      <c r="O1751" s="77"/>
      <c r="P1751" s="77"/>
      <c r="Q1751" s="77"/>
      <c r="R1751" s="77"/>
      <c r="S1751" s="77"/>
      <c r="T1751" s="77"/>
      <c r="U1751" s="77"/>
      <c r="V1751" s="77"/>
      <c r="W1751" s="77"/>
      <c r="X1751" s="77"/>
      <c r="Y1751" s="77"/>
      <c r="Z1751" s="77"/>
      <c r="AA1751" s="77"/>
      <c r="AB1751" s="77"/>
      <c r="AC1751" s="77"/>
      <c r="AD1751" s="77"/>
      <c r="AE1751" s="79"/>
    </row>
    <row r="1752" spans="1:31" x14ac:dyDescent="0.3">
      <c r="A1752" s="76"/>
      <c r="B1752" s="78" t="s">
        <v>1485</v>
      </c>
      <c r="C1752" s="78" t="s">
        <v>1485</v>
      </c>
      <c r="D1752" s="78" t="s">
        <v>81</v>
      </c>
      <c r="E1752" s="78" t="s">
        <v>1511</v>
      </c>
      <c r="F1752" s="78" t="s">
        <v>1623</v>
      </c>
      <c r="G1752" s="78" t="s">
        <v>1513</v>
      </c>
      <c r="H1752" s="77"/>
      <c r="I1752" s="226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U1752" s="77"/>
      <c r="V1752" s="77"/>
      <c r="W1752" s="77"/>
      <c r="X1752" s="77"/>
      <c r="Y1752" s="77"/>
      <c r="Z1752" s="77"/>
      <c r="AA1752" s="77"/>
      <c r="AB1752" s="77"/>
      <c r="AC1752" s="77"/>
      <c r="AD1752" s="77"/>
      <c r="AE1752" s="79"/>
    </row>
    <row r="1753" spans="1:31" x14ac:dyDescent="0.3">
      <c r="A1753" s="76"/>
      <c r="B1753" s="78" t="s">
        <v>1828</v>
      </c>
      <c r="C1753" s="78" t="s">
        <v>1499</v>
      </c>
      <c r="D1753" s="78" t="s">
        <v>82</v>
      </c>
      <c r="E1753" s="78" t="s">
        <v>1480</v>
      </c>
      <c r="F1753" s="78" t="s">
        <v>1518</v>
      </c>
      <c r="G1753" s="78" t="s">
        <v>1513</v>
      </c>
      <c r="H1753" s="77"/>
      <c r="I1753" s="226"/>
      <c r="J1753" s="77"/>
      <c r="K1753" s="77"/>
      <c r="L1753" s="77"/>
      <c r="M1753" s="77"/>
      <c r="N1753" s="77"/>
      <c r="O1753" s="77"/>
      <c r="P1753" s="77"/>
      <c r="Q1753" s="77"/>
      <c r="R1753" s="77"/>
      <c r="S1753" s="77"/>
      <c r="T1753" s="77"/>
      <c r="U1753" s="77"/>
      <c r="V1753" s="77"/>
      <c r="W1753" s="77"/>
      <c r="X1753" s="77"/>
      <c r="Y1753" s="77"/>
      <c r="Z1753" s="77"/>
      <c r="AA1753" s="77"/>
      <c r="AB1753" s="77"/>
      <c r="AC1753" s="77"/>
      <c r="AD1753" s="77"/>
      <c r="AE1753" s="79"/>
    </row>
    <row r="1754" spans="1:31" ht="15" thickBot="1" x14ac:dyDescent="0.35">
      <c r="A1754" s="76"/>
      <c r="B1754" s="78" t="s">
        <v>2014</v>
      </c>
      <c r="C1754" s="78" t="s">
        <v>1489</v>
      </c>
      <c r="D1754" s="78" t="s">
        <v>77</v>
      </c>
      <c r="E1754" s="78" t="s">
        <v>1494</v>
      </c>
      <c r="F1754" s="78" t="s">
        <v>1495</v>
      </c>
      <c r="G1754" s="78" t="s">
        <v>1513</v>
      </c>
      <c r="H1754" s="77"/>
      <c r="I1754" s="227"/>
      <c r="J1754" s="77"/>
      <c r="K1754" s="77"/>
      <c r="L1754" s="77"/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  <c r="AA1754" s="77"/>
      <c r="AB1754" s="77"/>
      <c r="AC1754" s="77"/>
      <c r="AD1754" s="77"/>
      <c r="AE1754" s="79"/>
    </row>
    <row r="1755" spans="1:31" x14ac:dyDescent="0.3">
      <c r="A1755" s="76"/>
      <c r="B1755" s="78" t="s">
        <v>1554</v>
      </c>
      <c r="C1755" s="78" t="s">
        <v>1493</v>
      </c>
      <c r="D1755" s="78" t="s">
        <v>83</v>
      </c>
      <c r="E1755" s="78" t="s">
        <v>1543</v>
      </c>
      <c r="F1755" s="78" t="s">
        <v>1555</v>
      </c>
      <c r="G1755" s="78" t="s">
        <v>1513</v>
      </c>
      <c r="H1755" s="77"/>
      <c r="I1755" s="225" t="s">
        <v>1485</v>
      </c>
      <c r="J1755" s="77"/>
      <c r="K1755" s="77"/>
      <c r="L1755" s="77"/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  <c r="AA1755" s="77"/>
      <c r="AB1755" s="77"/>
      <c r="AC1755" s="77"/>
      <c r="AD1755" s="77"/>
      <c r="AE1755" s="79"/>
    </row>
    <row r="1756" spans="1:31" x14ac:dyDescent="0.3">
      <c r="A1756" s="76"/>
      <c r="B1756" s="78" t="s">
        <v>1521</v>
      </c>
      <c r="C1756" s="78" t="s">
        <v>1489</v>
      </c>
      <c r="D1756" s="78" t="s">
        <v>79</v>
      </c>
      <c r="E1756" s="78" t="s">
        <v>1500</v>
      </c>
      <c r="F1756" s="78" t="s">
        <v>1501</v>
      </c>
      <c r="G1756" s="78" t="s">
        <v>1513</v>
      </c>
      <c r="H1756" s="77"/>
      <c r="I1756" s="226"/>
      <c r="J1756" s="77"/>
      <c r="K1756" s="77"/>
      <c r="L1756" s="77"/>
      <c r="M1756" s="77"/>
      <c r="N1756" s="77"/>
      <c r="O1756" s="77"/>
      <c r="P1756" s="77"/>
      <c r="Q1756" s="77"/>
      <c r="R1756" s="77"/>
      <c r="S1756" s="77"/>
      <c r="T1756" s="77"/>
      <c r="U1756" s="77"/>
      <c r="V1756" s="77"/>
      <c r="W1756" s="77"/>
      <c r="X1756" s="77"/>
      <c r="Y1756" s="77"/>
      <c r="Z1756" s="77"/>
      <c r="AA1756" s="77"/>
      <c r="AB1756" s="77"/>
      <c r="AC1756" s="77"/>
      <c r="AD1756" s="77"/>
      <c r="AE1756" s="79"/>
    </row>
    <row r="1757" spans="1:31" x14ac:dyDescent="0.3">
      <c r="A1757" s="76"/>
      <c r="B1757" s="78" t="s">
        <v>1604</v>
      </c>
      <c r="C1757" s="78" t="s">
        <v>1489</v>
      </c>
      <c r="D1757" s="78" t="s">
        <v>85</v>
      </c>
      <c r="E1757" s="78" t="s">
        <v>1605</v>
      </c>
      <c r="F1757" s="78" t="s">
        <v>1558</v>
      </c>
      <c r="G1757" s="78" t="s">
        <v>1513</v>
      </c>
      <c r="H1757" s="77"/>
      <c r="I1757" s="226"/>
      <c r="J1757" s="77"/>
      <c r="K1757" s="77"/>
      <c r="L1757" s="77"/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  <c r="AA1757" s="77"/>
      <c r="AB1757" s="77"/>
      <c r="AC1757" s="77"/>
      <c r="AD1757" s="77"/>
      <c r="AE1757" s="79"/>
    </row>
    <row r="1758" spans="1:31" x14ac:dyDescent="0.3">
      <c r="A1758" s="76"/>
      <c r="B1758" s="78" t="s">
        <v>1942</v>
      </c>
      <c r="C1758" s="78" t="s">
        <v>1489</v>
      </c>
      <c r="D1758" s="78" t="s">
        <v>76</v>
      </c>
      <c r="E1758" s="78" t="s">
        <v>1618</v>
      </c>
      <c r="F1758" s="78" t="s">
        <v>1564</v>
      </c>
      <c r="G1758" s="78" t="s">
        <v>1513</v>
      </c>
      <c r="H1758" s="77"/>
      <c r="I1758" s="226"/>
      <c r="J1758" s="77"/>
      <c r="K1758" s="77"/>
      <c r="L1758" s="77"/>
      <c r="M1758" s="77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  <c r="AA1758" s="77"/>
      <c r="AB1758" s="77"/>
      <c r="AC1758" s="77"/>
      <c r="AD1758" s="77"/>
      <c r="AE1758" s="79"/>
    </row>
    <row r="1759" spans="1:31" ht="15" thickBot="1" x14ac:dyDescent="0.35">
      <c r="A1759" s="81"/>
      <c r="B1759" s="82" t="s">
        <v>1608</v>
      </c>
      <c r="C1759" s="82" t="s">
        <v>1496</v>
      </c>
      <c r="D1759" s="82" t="s">
        <v>84</v>
      </c>
      <c r="E1759" s="82" t="s">
        <v>1609</v>
      </c>
      <c r="F1759" s="82" t="s">
        <v>1526</v>
      </c>
      <c r="G1759" s="82" t="s">
        <v>1513</v>
      </c>
      <c r="H1759" s="83"/>
      <c r="I1759" s="226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  <c r="X1759" s="83"/>
      <c r="Y1759" s="83"/>
      <c r="Z1759" s="83"/>
      <c r="AA1759" s="83"/>
      <c r="AB1759" s="83"/>
      <c r="AC1759" s="83"/>
      <c r="AD1759" s="83"/>
      <c r="AE1759" s="84"/>
    </row>
    <row r="1760" spans="1:31" x14ac:dyDescent="0.3">
      <c r="A1760" s="72" t="s">
        <v>58</v>
      </c>
      <c r="B1760" s="73" t="s">
        <v>2179</v>
      </c>
      <c r="C1760" s="74" t="s">
        <v>1479</v>
      </c>
      <c r="D1760" s="74" t="s">
        <v>59</v>
      </c>
      <c r="E1760" s="74" t="s">
        <v>1480</v>
      </c>
      <c r="F1760" s="74"/>
      <c r="G1760" s="74" t="s">
        <v>1481</v>
      </c>
      <c r="H1760" s="73" t="s">
        <v>1482</v>
      </c>
      <c r="I1760" s="226"/>
      <c r="J1760" s="73" t="s">
        <v>57</v>
      </c>
      <c r="K1760" s="73">
        <v>4</v>
      </c>
      <c r="L1760" s="73" t="s">
        <v>195</v>
      </c>
      <c r="M1760" s="73" t="s">
        <v>1483</v>
      </c>
      <c r="N1760" s="73" t="s">
        <v>1483</v>
      </c>
      <c r="O1760" s="73" t="s">
        <v>1483</v>
      </c>
      <c r="P1760" s="73" t="s">
        <v>1483</v>
      </c>
      <c r="Q1760" s="73" t="s">
        <v>1483</v>
      </c>
      <c r="R1760" s="73" t="s">
        <v>1483</v>
      </c>
      <c r="S1760" s="73" t="s">
        <v>1484</v>
      </c>
      <c r="T1760" s="73" t="s">
        <v>1484</v>
      </c>
      <c r="U1760" s="73" t="s">
        <v>1484</v>
      </c>
      <c r="V1760" s="73" t="s">
        <v>1484</v>
      </c>
      <c r="W1760" s="73" t="s">
        <v>1485</v>
      </c>
      <c r="X1760" s="73" t="s">
        <v>1484</v>
      </c>
      <c r="Y1760" s="73" t="s">
        <v>1484</v>
      </c>
      <c r="Z1760" s="73" t="s">
        <v>1485</v>
      </c>
      <c r="AA1760" s="73" t="s">
        <v>1485</v>
      </c>
      <c r="AB1760" s="73" t="s">
        <v>1484</v>
      </c>
      <c r="AC1760" s="73" t="s">
        <v>1486</v>
      </c>
      <c r="AD1760" s="73" t="s">
        <v>1487</v>
      </c>
      <c r="AE1760" s="75" t="s">
        <v>1488</v>
      </c>
    </row>
    <row r="1761" spans="1:31" x14ac:dyDescent="0.3">
      <c r="A1761" s="76"/>
      <c r="B1761" s="77"/>
      <c r="C1761" s="78" t="s">
        <v>1489</v>
      </c>
      <c r="D1761" s="78" t="s">
        <v>60</v>
      </c>
      <c r="E1761" s="78" t="s">
        <v>1543</v>
      </c>
      <c r="F1761" s="78" t="s">
        <v>1563</v>
      </c>
      <c r="G1761" s="78" t="s">
        <v>1492</v>
      </c>
      <c r="H1761" s="77"/>
      <c r="I1761" s="226"/>
      <c r="J1761" s="77"/>
      <c r="K1761" s="77"/>
      <c r="L1761" s="77"/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7"/>
      <c r="AE1761" s="79"/>
    </row>
    <row r="1762" spans="1:31" x14ac:dyDescent="0.3">
      <c r="A1762" s="76"/>
      <c r="B1762" s="77"/>
      <c r="C1762" s="78" t="s">
        <v>1493</v>
      </c>
      <c r="D1762" s="78" t="s">
        <v>61</v>
      </c>
      <c r="E1762" s="78" t="s">
        <v>1605</v>
      </c>
      <c r="F1762" s="78" t="s">
        <v>1565</v>
      </c>
      <c r="G1762" s="78" t="s">
        <v>1492</v>
      </c>
      <c r="H1762" s="77"/>
      <c r="I1762" s="226"/>
      <c r="J1762" s="77"/>
      <c r="K1762" s="77"/>
      <c r="L1762" s="77"/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  <c r="AA1762" s="77"/>
      <c r="AB1762" s="77"/>
      <c r="AC1762" s="77"/>
      <c r="AD1762" s="77"/>
      <c r="AE1762" s="79"/>
    </row>
    <row r="1763" spans="1:31" x14ac:dyDescent="0.3">
      <c r="A1763" s="76"/>
      <c r="B1763" s="77"/>
      <c r="C1763" s="78" t="s">
        <v>1496</v>
      </c>
      <c r="D1763" s="78" t="s">
        <v>62</v>
      </c>
      <c r="E1763" s="78" t="s">
        <v>1618</v>
      </c>
      <c r="F1763" s="78" t="s">
        <v>1546</v>
      </c>
      <c r="G1763" s="78" t="s">
        <v>1492</v>
      </c>
      <c r="H1763" s="77"/>
      <c r="I1763" s="226"/>
      <c r="J1763" s="77"/>
      <c r="K1763" s="77"/>
      <c r="L1763" s="77"/>
      <c r="M1763" s="77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  <c r="AA1763" s="77"/>
      <c r="AB1763" s="77"/>
      <c r="AC1763" s="77"/>
      <c r="AD1763" s="77"/>
      <c r="AE1763" s="79"/>
    </row>
    <row r="1764" spans="1:31" x14ac:dyDescent="0.3">
      <c r="A1764" s="76"/>
      <c r="B1764" s="77"/>
      <c r="C1764" s="78" t="s">
        <v>1499</v>
      </c>
      <c r="D1764" s="78" t="s">
        <v>63</v>
      </c>
      <c r="E1764" s="78" t="s">
        <v>1494</v>
      </c>
      <c r="F1764" s="78" t="s">
        <v>1495</v>
      </c>
      <c r="G1764" s="78" t="s">
        <v>1492</v>
      </c>
      <c r="H1764" s="77"/>
      <c r="I1764" s="226"/>
      <c r="J1764" s="77"/>
      <c r="K1764" s="77"/>
      <c r="L1764" s="77"/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  <c r="AA1764" s="77"/>
      <c r="AB1764" s="77"/>
      <c r="AC1764" s="77"/>
      <c r="AD1764" s="77"/>
      <c r="AE1764" s="79"/>
    </row>
    <row r="1765" spans="1:31" x14ac:dyDescent="0.3">
      <c r="A1765" s="76"/>
      <c r="B1765" s="77"/>
      <c r="C1765" s="78" t="s">
        <v>1502</v>
      </c>
      <c r="D1765" s="78" t="s">
        <v>64</v>
      </c>
      <c r="E1765" s="78" t="s">
        <v>1609</v>
      </c>
      <c r="F1765" s="78" t="s">
        <v>1529</v>
      </c>
      <c r="G1765" s="78" t="s">
        <v>1492</v>
      </c>
      <c r="H1765" s="77"/>
      <c r="I1765" s="226"/>
      <c r="J1765" s="77"/>
      <c r="K1765" s="77"/>
      <c r="L1765" s="77"/>
      <c r="M1765" s="77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  <c r="AA1765" s="77"/>
      <c r="AB1765" s="77"/>
      <c r="AC1765" s="77"/>
      <c r="AD1765" s="77"/>
      <c r="AE1765" s="79"/>
    </row>
    <row r="1766" spans="1:31" ht="15" thickBot="1" x14ac:dyDescent="0.35">
      <c r="A1766" s="76"/>
      <c r="B1766" s="77"/>
      <c r="C1766" s="78" t="s">
        <v>1504</v>
      </c>
      <c r="D1766" s="78" t="s">
        <v>65</v>
      </c>
      <c r="E1766" s="78" t="s">
        <v>1500</v>
      </c>
      <c r="F1766" s="78" t="s">
        <v>1501</v>
      </c>
      <c r="G1766" s="78" t="s">
        <v>1492</v>
      </c>
      <c r="H1766" s="77"/>
      <c r="I1766" s="227"/>
      <c r="J1766" s="77"/>
      <c r="K1766" s="77"/>
      <c r="L1766" s="77"/>
      <c r="M1766" s="77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  <c r="AA1766" s="77"/>
      <c r="AB1766" s="77"/>
      <c r="AC1766" s="77"/>
      <c r="AD1766" s="77"/>
      <c r="AE1766" s="79"/>
    </row>
    <row r="1767" spans="1:31" x14ac:dyDescent="0.3">
      <c r="A1767" s="76"/>
      <c r="B1767" s="80"/>
      <c r="C1767" s="78" t="s">
        <v>1507</v>
      </c>
      <c r="D1767" s="78" t="s">
        <v>66</v>
      </c>
      <c r="E1767" s="78" t="s">
        <v>1508</v>
      </c>
      <c r="F1767" s="78" t="s">
        <v>1509</v>
      </c>
      <c r="G1767" s="78" t="s">
        <v>1492</v>
      </c>
      <c r="H1767" s="77"/>
      <c r="I1767" s="225">
        <v>2</v>
      </c>
      <c r="J1767" s="77"/>
      <c r="K1767" s="77"/>
      <c r="L1767" s="77"/>
      <c r="M1767" s="77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  <c r="AA1767" s="77"/>
      <c r="AB1767" s="77"/>
      <c r="AC1767" s="77"/>
      <c r="AD1767" s="77"/>
      <c r="AE1767" s="79"/>
    </row>
    <row r="1768" spans="1:31" x14ac:dyDescent="0.3">
      <c r="A1768" s="76"/>
      <c r="B1768" s="78" t="s">
        <v>1485</v>
      </c>
      <c r="C1768" s="78" t="s">
        <v>1485</v>
      </c>
      <c r="D1768" s="78" t="s">
        <v>2180</v>
      </c>
      <c r="E1768" s="78" t="s">
        <v>1511</v>
      </c>
      <c r="F1768" s="78" t="s">
        <v>1623</v>
      </c>
      <c r="G1768" s="78" t="s">
        <v>1513</v>
      </c>
      <c r="H1768" s="77"/>
      <c r="I1768" s="226"/>
      <c r="J1768" s="77"/>
      <c r="K1768" s="77"/>
      <c r="L1768" s="77"/>
      <c r="M1768" s="77"/>
      <c r="N1768" s="77"/>
      <c r="O1768" s="77"/>
      <c r="P1768" s="77"/>
      <c r="Q1768" s="77"/>
      <c r="R1768" s="77"/>
      <c r="S1768" s="77"/>
      <c r="T1768" s="77"/>
      <c r="U1768" s="77"/>
      <c r="V1768" s="77"/>
      <c r="W1768" s="77"/>
      <c r="X1768" s="77"/>
      <c r="Y1768" s="77"/>
      <c r="Z1768" s="77"/>
      <c r="AA1768" s="77"/>
      <c r="AB1768" s="77"/>
      <c r="AC1768" s="77"/>
      <c r="AD1768" s="77"/>
      <c r="AE1768" s="79"/>
    </row>
    <row r="1769" spans="1:31" x14ac:dyDescent="0.3">
      <c r="A1769" s="76"/>
      <c r="B1769" s="78" t="s">
        <v>1485</v>
      </c>
      <c r="C1769" s="78" t="s">
        <v>1485</v>
      </c>
      <c r="D1769" s="78" t="s">
        <v>2181</v>
      </c>
      <c r="E1769" s="78" t="s">
        <v>1534</v>
      </c>
      <c r="F1769" s="78" t="s">
        <v>1535</v>
      </c>
      <c r="G1769" s="78" t="s">
        <v>1513</v>
      </c>
      <c r="H1769" s="77"/>
      <c r="I1769" s="226"/>
      <c r="J1769" s="77"/>
      <c r="K1769" s="77"/>
      <c r="L1769" s="77"/>
      <c r="M1769" s="77"/>
      <c r="N1769" s="77"/>
      <c r="O1769" s="77"/>
      <c r="P1769" s="77"/>
      <c r="Q1769" s="77"/>
      <c r="R1769" s="77"/>
      <c r="S1769" s="77"/>
      <c r="T1769" s="77"/>
      <c r="U1769" s="77"/>
      <c r="V1769" s="77"/>
      <c r="W1769" s="77"/>
      <c r="X1769" s="77"/>
      <c r="Y1769" s="77"/>
      <c r="Z1769" s="77"/>
      <c r="AA1769" s="77"/>
      <c r="AB1769" s="77"/>
      <c r="AC1769" s="77"/>
      <c r="AD1769" s="77"/>
      <c r="AE1769" s="79"/>
    </row>
    <row r="1770" spans="1:31" x14ac:dyDescent="0.3">
      <c r="A1770" s="76"/>
      <c r="B1770" s="78" t="s">
        <v>1837</v>
      </c>
      <c r="C1770" s="78" t="s">
        <v>1499</v>
      </c>
      <c r="D1770" s="78" t="s">
        <v>68</v>
      </c>
      <c r="E1770" s="78" t="s">
        <v>1480</v>
      </c>
      <c r="F1770" s="78" t="s">
        <v>1518</v>
      </c>
      <c r="G1770" s="78" t="s">
        <v>1513</v>
      </c>
      <c r="H1770" s="77"/>
      <c r="I1770" s="226"/>
      <c r="J1770" s="77"/>
      <c r="K1770" s="77"/>
      <c r="L1770" s="77"/>
      <c r="M1770" s="77"/>
      <c r="N1770" s="77"/>
      <c r="O1770" s="77"/>
      <c r="P1770" s="77"/>
      <c r="Q1770" s="77"/>
      <c r="R1770" s="77"/>
      <c r="S1770" s="77"/>
      <c r="T1770" s="77"/>
      <c r="U1770" s="77"/>
      <c r="V1770" s="77"/>
      <c r="W1770" s="77"/>
      <c r="X1770" s="77"/>
      <c r="Y1770" s="77"/>
      <c r="Z1770" s="77"/>
      <c r="AA1770" s="77"/>
      <c r="AB1770" s="77"/>
      <c r="AC1770" s="77"/>
      <c r="AD1770" s="77"/>
      <c r="AE1770" s="79"/>
    </row>
    <row r="1771" spans="1:31" x14ac:dyDescent="0.3">
      <c r="A1771" s="76"/>
      <c r="B1771" s="78" t="s">
        <v>2020</v>
      </c>
      <c r="C1771" s="78" t="s">
        <v>1493</v>
      </c>
      <c r="D1771" s="78" t="s">
        <v>63</v>
      </c>
      <c r="E1771" s="78" t="s">
        <v>1494</v>
      </c>
      <c r="F1771" s="78" t="s">
        <v>1495</v>
      </c>
      <c r="G1771" s="78" t="s">
        <v>1513</v>
      </c>
      <c r="H1771" s="77"/>
      <c r="I1771" s="226"/>
      <c r="J1771" s="77"/>
      <c r="K1771" s="77"/>
      <c r="L1771" s="77"/>
      <c r="M1771" s="77"/>
      <c r="N1771" s="77"/>
      <c r="O1771" s="77"/>
      <c r="P1771" s="77"/>
      <c r="Q1771" s="77"/>
      <c r="R1771" s="77"/>
      <c r="S1771" s="77"/>
      <c r="T1771" s="77"/>
      <c r="U1771" s="77"/>
      <c r="V1771" s="77"/>
      <c r="W1771" s="77"/>
      <c r="X1771" s="77"/>
      <c r="Y1771" s="77"/>
      <c r="Z1771" s="77"/>
      <c r="AA1771" s="77"/>
      <c r="AB1771" s="77"/>
      <c r="AC1771" s="77"/>
      <c r="AD1771" s="77"/>
      <c r="AE1771" s="79"/>
    </row>
    <row r="1772" spans="1:31" x14ac:dyDescent="0.3">
      <c r="A1772" s="76"/>
      <c r="B1772" s="78" t="s">
        <v>1568</v>
      </c>
      <c r="C1772" s="78" t="s">
        <v>1493</v>
      </c>
      <c r="D1772" s="78" t="s">
        <v>69</v>
      </c>
      <c r="E1772" s="78" t="s">
        <v>1543</v>
      </c>
      <c r="F1772" s="78" t="s">
        <v>1569</v>
      </c>
      <c r="G1772" s="78" t="s">
        <v>1513</v>
      </c>
      <c r="H1772" s="77"/>
      <c r="I1772" s="226"/>
      <c r="J1772" s="77"/>
      <c r="K1772" s="77"/>
      <c r="L1772" s="77"/>
      <c r="M1772" s="77"/>
      <c r="N1772" s="77"/>
      <c r="O1772" s="77"/>
      <c r="P1772" s="77"/>
      <c r="Q1772" s="77"/>
      <c r="R1772" s="77"/>
      <c r="S1772" s="77"/>
      <c r="T1772" s="77"/>
      <c r="U1772" s="77"/>
      <c r="V1772" s="77"/>
      <c r="W1772" s="77"/>
      <c r="X1772" s="77"/>
      <c r="Y1772" s="77"/>
      <c r="Z1772" s="77"/>
      <c r="AA1772" s="77"/>
      <c r="AB1772" s="77"/>
      <c r="AC1772" s="77"/>
      <c r="AD1772" s="77"/>
      <c r="AE1772" s="79"/>
    </row>
    <row r="1773" spans="1:31" x14ac:dyDescent="0.3">
      <c r="A1773" s="76"/>
      <c r="B1773" s="78" t="s">
        <v>1538</v>
      </c>
      <c r="C1773" s="78" t="s">
        <v>1493</v>
      </c>
      <c r="D1773" s="78" t="s">
        <v>65</v>
      </c>
      <c r="E1773" s="78" t="s">
        <v>1500</v>
      </c>
      <c r="F1773" s="78" t="s">
        <v>1501</v>
      </c>
      <c r="G1773" s="78" t="s">
        <v>1513</v>
      </c>
      <c r="H1773" s="77"/>
      <c r="I1773" s="226"/>
      <c r="J1773" s="77"/>
      <c r="K1773" s="77"/>
      <c r="L1773" s="77"/>
      <c r="M1773" s="77"/>
      <c r="N1773" s="77"/>
      <c r="O1773" s="77"/>
      <c r="P1773" s="77"/>
      <c r="Q1773" s="77"/>
      <c r="R1773" s="77"/>
      <c r="S1773" s="77"/>
      <c r="T1773" s="77"/>
      <c r="U1773" s="77"/>
      <c r="V1773" s="77"/>
      <c r="W1773" s="77"/>
      <c r="X1773" s="77"/>
      <c r="Y1773" s="77"/>
      <c r="Z1773" s="77"/>
      <c r="AA1773" s="77"/>
      <c r="AB1773" s="77"/>
      <c r="AC1773" s="77"/>
      <c r="AD1773" s="77"/>
      <c r="AE1773" s="79"/>
    </row>
    <row r="1774" spans="1:31" x14ac:dyDescent="0.3">
      <c r="A1774" s="76"/>
      <c r="B1774" s="78" t="s">
        <v>1801</v>
      </c>
      <c r="C1774" s="78" t="s">
        <v>1489</v>
      </c>
      <c r="D1774" s="78" t="s">
        <v>62</v>
      </c>
      <c r="E1774" s="78" t="s">
        <v>1618</v>
      </c>
      <c r="F1774" s="78" t="s">
        <v>1546</v>
      </c>
      <c r="G1774" s="78" t="s">
        <v>1513</v>
      </c>
      <c r="H1774" s="77"/>
      <c r="I1774" s="226"/>
      <c r="J1774" s="77"/>
      <c r="K1774" s="77"/>
      <c r="L1774" s="77"/>
      <c r="M1774" s="77"/>
      <c r="N1774" s="77"/>
      <c r="O1774" s="77"/>
      <c r="P1774" s="77"/>
      <c r="Q1774" s="77"/>
      <c r="R1774" s="77"/>
      <c r="S1774" s="77"/>
      <c r="T1774" s="77"/>
      <c r="U1774" s="77"/>
      <c r="V1774" s="77"/>
      <c r="W1774" s="77"/>
      <c r="X1774" s="77"/>
      <c r="Y1774" s="77"/>
      <c r="Z1774" s="77"/>
      <c r="AA1774" s="77"/>
      <c r="AB1774" s="77"/>
      <c r="AC1774" s="77"/>
      <c r="AD1774" s="77"/>
      <c r="AE1774" s="79"/>
    </row>
    <row r="1775" spans="1:31" ht="15" thickBot="1" x14ac:dyDescent="0.35">
      <c r="A1775" s="81"/>
      <c r="B1775" s="82" t="s">
        <v>1616</v>
      </c>
      <c r="C1775" s="82" t="s">
        <v>1496</v>
      </c>
      <c r="D1775" s="82" t="s">
        <v>61</v>
      </c>
      <c r="E1775" s="82" t="s">
        <v>1605</v>
      </c>
      <c r="F1775" s="82" t="s">
        <v>1565</v>
      </c>
      <c r="G1775" s="82" t="s">
        <v>1513</v>
      </c>
      <c r="H1775" s="83"/>
      <c r="I1775" s="226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  <c r="X1775" s="83"/>
      <c r="Y1775" s="83"/>
      <c r="Z1775" s="83"/>
      <c r="AA1775" s="83"/>
      <c r="AB1775" s="83"/>
      <c r="AC1775" s="83"/>
      <c r="AD1775" s="83"/>
      <c r="AE1775" s="84"/>
    </row>
    <row r="1776" spans="1:31" x14ac:dyDescent="0.3">
      <c r="A1776" s="72" t="s">
        <v>976</v>
      </c>
      <c r="B1776" s="73" t="s">
        <v>2182</v>
      </c>
      <c r="C1776" s="74" t="s">
        <v>1479</v>
      </c>
      <c r="D1776" s="74" t="s">
        <v>977</v>
      </c>
      <c r="E1776" s="74" t="s">
        <v>1480</v>
      </c>
      <c r="F1776" s="74"/>
      <c r="G1776" s="74" t="s">
        <v>1481</v>
      </c>
      <c r="H1776" s="73" t="s">
        <v>1482</v>
      </c>
      <c r="I1776" s="226"/>
      <c r="J1776" s="73" t="s">
        <v>975</v>
      </c>
      <c r="K1776" s="73">
        <v>142</v>
      </c>
      <c r="L1776" s="73" t="s">
        <v>195</v>
      </c>
      <c r="M1776" s="73" t="s">
        <v>1483</v>
      </c>
      <c r="N1776" s="73" t="s">
        <v>1483</v>
      </c>
      <c r="O1776" s="73" t="s">
        <v>1483</v>
      </c>
      <c r="P1776" s="73" t="s">
        <v>1483</v>
      </c>
      <c r="Q1776" s="73" t="s">
        <v>1483</v>
      </c>
      <c r="R1776" s="73" t="s">
        <v>1483</v>
      </c>
      <c r="S1776" s="73" t="s">
        <v>1484</v>
      </c>
      <c r="T1776" s="73" t="s">
        <v>1484</v>
      </c>
      <c r="U1776" s="73" t="s">
        <v>1484</v>
      </c>
      <c r="V1776" s="73" t="s">
        <v>1484</v>
      </c>
      <c r="W1776" s="73" t="s">
        <v>1485</v>
      </c>
      <c r="X1776" s="73" t="s">
        <v>1484</v>
      </c>
      <c r="Y1776" s="73" t="s">
        <v>1484</v>
      </c>
      <c r="Z1776" s="73" t="s">
        <v>1485</v>
      </c>
      <c r="AA1776" s="73" t="s">
        <v>1485</v>
      </c>
      <c r="AB1776" s="73" t="s">
        <v>1484</v>
      </c>
      <c r="AC1776" s="73" t="s">
        <v>1486</v>
      </c>
      <c r="AD1776" s="73" t="s">
        <v>1487</v>
      </c>
      <c r="AE1776" s="75" t="s">
        <v>1488</v>
      </c>
    </row>
    <row r="1777" spans="1:31" x14ac:dyDescent="0.3">
      <c r="A1777" s="76"/>
      <c r="B1777" s="77"/>
      <c r="C1777" s="78" t="s">
        <v>1496</v>
      </c>
      <c r="D1777" s="78" t="s">
        <v>130</v>
      </c>
      <c r="E1777" s="78" t="s">
        <v>1500</v>
      </c>
      <c r="F1777" s="78" t="s">
        <v>1501</v>
      </c>
      <c r="G1777" s="78" t="s">
        <v>1492</v>
      </c>
      <c r="H1777" s="77"/>
      <c r="I1777" s="226"/>
      <c r="J1777" s="77"/>
      <c r="K1777" s="77"/>
      <c r="L1777" s="77"/>
      <c r="M1777" s="77"/>
      <c r="N1777" s="77"/>
      <c r="O1777" s="77"/>
      <c r="P1777" s="77"/>
      <c r="Q1777" s="77"/>
      <c r="R1777" s="77"/>
      <c r="S1777" s="77"/>
      <c r="T1777" s="77"/>
      <c r="U1777" s="77"/>
      <c r="V1777" s="77"/>
      <c r="W1777" s="77"/>
      <c r="X1777" s="77"/>
      <c r="Y1777" s="77"/>
      <c r="Z1777" s="77"/>
      <c r="AA1777" s="77"/>
      <c r="AB1777" s="77"/>
      <c r="AC1777" s="77"/>
      <c r="AD1777" s="77"/>
      <c r="AE1777" s="79"/>
    </row>
    <row r="1778" spans="1:31" x14ac:dyDescent="0.3">
      <c r="A1778" s="76"/>
      <c r="B1778" s="80"/>
      <c r="C1778" s="78" t="s">
        <v>1499</v>
      </c>
      <c r="D1778" s="78" t="s">
        <v>592</v>
      </c>
      <c r="E1778" s="78" t="s">
        <v>1620</v>
      </c>
      <c r="F1778" s="78" t="s">
        <v>1495</v>
      </c>
      <c r="G1778" s="78" t="s">
        <v>1492</v>
      </c>
      <c r="H1778" s="77"/>
      <c r="I1778" s="226"/>
      <c r="J1778" s="77"/>
      <c r="K1778" s="77"/>
      <c r="L1778" s="77"/>
      <c r="M1778" s="77"/>
      <c r="N1778" s="77"/>
      <c r="O1778" s="77"/>
      <c r="P1778" s="77"/>
      <c r="Q1778" s="77"/>
      <c r="R1778" s="77"/>
      <c r="S1778" s="77"/>
      <c r="T1778" s="77"/>
      <c r="U1778" s="77"/>
      <c r="V1778" s="77"/>
      <c r="W1778" s="77"/>
      <c r="X1778" s="77"/>
      <c r="Y1778" s="77"/>
      <c r="Z1778" s="77"/>
      <c r="AA1778" s="77"/>
      <c r="AB1778" s="77"/>
      <c r="AC1778" s="77"/>
      <c r="AD1778" s="77"/>
      <c r="AE1778" s="79"/>
    </row>
    <row r="1779" spans="1:31" x14ac:dyDescent="0.3">
      <c r="A1779" s="76"/>
      <c r="B1779" s="78" t="s">
        <v>1485</v>
      </c>
      <c r="C1779" s="78" t="s">
        <v>1485</v>
      </c>
      <c r="D1779" s="78" t="s">
        <v>2183</v>
      </c>
      <c r="E1779" s="78" t="s">
        <v>1709</v>
      </c>
      <c r="F1779" s="78" t="s">
        <v>1512</v>
      </c>
      <c r="G1779" s="78" t="s">
        <v>1513</v>
      </c>
      <c r="H1779" s="77"/>
      <c r="I1779" s="226"/>
      <c r="J1779" s="77"/>
      <c r="K1779" s="77"/>
      <c r="L1779" s="77"/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  <c r="AA1779" s="77"/>
      <c r="AB1779" s="77"/>
      <c r="AC1779" s="77"/>
      <c r="AD1779" s="77"/>
      <c r="AE1779" s="79"/>
    </row>
    <row r="1780" spans="1:31" x14ac:dyDescent="0.3">
      <c r="A1780" s="76"/>
      <c r="B1780" s="78" t="s">
        <v>1485</v>
      </c>
      <c r="C1780" s="78" t="s">
        <v>1485</v>
      </c>
      <c r="D1780" s="78" t="s">
        <v>930</v>
      </c>
      <c r="E1780" s="78" t="s">
        <v>1548</v>
      </c>
      <c r="F1780" s="78" t="s">
        <v>1512</v>
      </c>
      <c r="G1780" s="78" t="s">
        <v>1513</v>
      </c>
      <c r="H1780" s="77"/>
      <c r="I1780" s="226"/>
      <c r="J1780" s="77"/>
      <c r="K1780" s="77"/>
      <c r="L1780" s="77"/>
      <c r="M1780" s="77"/>
      <c r="N1780" s="77"/>
      <c r="O1780" s="77"/>
      <c r="P1780" s="77"/>
      <c r="Q1780" s="77"/>
      <c r="R1780" s="77"/>
      <c r="S1780" s="77"/>
      <c r="T1780" s="77"/>
      <c r="U1780" s="77"/>
      <c r="V1780" s="77"/>
      <c r="W1780" s="77"/>
      <c r="X1780" s="77"/>
      <c r="Y1780" s="77"/>
      <c r="Z1780" s="77"/>
      <c r="AA1780" s="77"/>
      <c r="AB1780" s="77"/>
      <c r="AC1780" s="77"/>
      <c r="AD1780" s="77"/>
      <c r="AE1780" s="79"/>
    </row>
    <row r="1781" spans="1:31" ht="15" thickBot="1" x14ac:dyDescent="0.35">
      <c r="A1781" s="76"/>
      <c r="B1781" s="78" t="s">
        <v>1935</v>
      </c>
      <c r="C1781" s="78" t="s">
        <v>1499</v>
      </c>
      <c r="D1781" s="78" t="s">
        <v>592</v>
      </c>
      <c r="E1781" s="78" t="s">
        <v>1620</v>
      </c>
      <c r="F1781" s="78" t="s">
        <v>1495</v>
      </c>
      <c r="G1781" s="78" t="s">
        <v>1513</v>
      </c>
      <c r="H1781" s="77"/>
      <c r="I1781" s="227"/>
      <c r="J1781" s="77"/>
      <c r="K1781" s="77"/>
      <c r="L1781" s="77"/>
      <c r="M1781" s="77"/>
      <c r="N1781" s="77"/>
      <c r="O1781" s="77"/>
      <c r="P1781" s="77"/>
      <c r="Q1781" s="77"/>
      <c r="R1781" s="77"/>
      <c r="S1781" s="77"/>
      <c r="T1781" s="77"/>
      <c r="U1781" s="77"/>
      <c r="V1781" s="77"/>
      <c r="W1781" s="77"/>
      <c r="X1781" s="77"/>
      <c r="Y1781" s="77"/>
      <c r="Z1781" s="77"/>
      <c r="AA1781" s="77"/>
      <c r="AB1781" s="77"/>
      <c r="AC1781" s="77"/>
      <c r="AD1781" s="77"/>
      <c r="AE1781" s="79"/>
    </row>
    <row r="1782" spans="1:31" ht="15" thickBot="1" x14ac:dyDescent="0.35">
      <c r="A1782" s="81"/>
      <c r="B1782" s="82" t="s">
        <v>1570</v>
      </c>
      <c r="C1782" s="82" t="s">
        <v>1499</v>
      </c>
      <c r="D1782" s="82" t="s">
        <v>130</v>
      </c>
      <c r="E1782" s="82" t="s">
        <v>1500</v>
      </c>
      <c r="F1782" s="82" t="s">
        <v>1501</v>
      </c>
      <c r="G1782" s="82" t="s">
        <v>1513</v>
      </c>
      <c r="H1782" s="83"/>
      <c r="I1782" s="225">
        <v>1</v>
      </c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  <c r="AA1782" s="83"/>
      <c r="AB1782" s="83"/>
      <c r="AC1782" s="83"/>
      <c r="AD1782" s="83"/>
      <c r="AE1782" s="84"/>
    </row>
    <row r="1783" spans="1:31" x14ac:dyDescent="0.3">
      <c r="A1783" s="72" t="s">
        <v>988</v>
      </c>
      <c r="B1783" s="73" t="s">
        <v>2184</v>
      </c>
      <c r="C1783" s="74" t="s">
        <v>1479</v>
      </c>
      <c r="D1783" s="74" t="s">
        <v>989</v>
      </c>
      <c r="E1783" s="74" t="s">
        <v>1480</v>
      </c>
      <c r="F1783" s="74"/>
      <c r="G1783" s="74" t="s">
        <v>1481</v>
      </c>
      <c r="H1783" s="73" t="s">
        <v>1482</v>
      </c>
      <c r="I1783" s="226"/>
      <c r="J1783" s="73" t="s">
        <v>987</v>
      </c>
      <c r="K1783" s="73">
        <v>144</v>
      </c>
      <c r="L1783" s="73" t="s">
        <v>195</v>
      </c>
      <c r="M1783" s="73" t="s">
        <v>1483</v>
      </c>
      <c r="N1783" s="73" t="s">
        <v>1483</v>
      </c>
      <c r="O1783" s="73" t="s">
        <v>1483</v>
      </c>
      <c r="P1783" s="73" t="s">
        <v>1483</v>
      </c>
      <c r="Q1783" s="73" t="s">
        <v>1483</v>
      </c>
      <c r="R1783" s="73" t="s">
        <v>1483</v>
      </c>
      <c r="S1783" s="73" t="s">
        <v>1484</v>
      </c>
      <c r="T1783" s="73" t="s">
        <v>1484</v>
      </c>
      <c r="U1783" s="73" t="s">
        <v>1484</v>
      </c>
      <c r="V1783" s="73" t="s">
        <v>1484</v>
      </c>
      <c r="W1783" s="73" t="s">
        <v>1485</v>
      </c>
      <c r="X1783" s="73" t="s">
        <v>1484</v>
      </c>
      <c r="Y1783" s="73" t="s">
        <v>1484</v>
      </c>
      <c r="Z1783" s="73" t="s">
        <v>1485</v>
      </c>
      <c r="AA1783" s="73" t="s">
        <v>1485</v>
      </c>
      <c r="AB1783" s="73" t="s">
        <v>1484</v>
      </c>
      <c r="AC1783" s="73" t="s">
        <v>1486</v>
      </c>
      <c r="AD1783" s="73" t="s">
        <v>1487</v>
      </c>
      <c r="AE1783" s="75" t="s">
        <v>1488</v>
      </c>
    </row>
    <row r="1784" spans="1:31" x14ac:dyDescent="0.3">
      <c r="A1784" s="76"/>
      <c r="B1784" s="77"/>
      <c r="C1784" s="78" t="s">
        <v>1496</v>
      </c>
      <c r="D1784" s="78" t="s">
        <v>142</v>
      </c>
      <c r="E1784" s="78" t="s">
        <v>1500</v>
      </c>
      <c r="F1784" s="78" t="s">
        <v>1501</v>
      </c>
      <c r="G1784" s="78" t="s">
        <v>1492</v>
      </c>
      <c r="H1784" s="77"/>
      <c r="I1784" s="226"/>
      <c r="J1784" s="77"/>
      <c r="K1784" s="77"/>
      <c r="L1784" s="77"/>
      <c r="M1784" s="77"/>
      <c r="N1784" s="77"/>
      <c r="O1784" s="77"/>
      <c r="P1784" s="77"/>
      <c r="Q1784" s="77"/>
      <c r="R1784" s="77"/>
      <c r="S1784" s="77"/>
      <c r="T1784" s="77"/>
      <c r="U1784" s="77"/>
      <c r="V1784" s="77"/>
      <c r="W1784" s="77"/>
      <c r="X1784" s="77"/>
      <c r="Y1784" s="77"/>
      <c r="Z1784" s="77"/>
      <c r="AA1784" s="77"/>
      <c r="AB1784" s="77"/>
      <c r="AC1784" s="77"/>
      <c r="AD1784" s="77"/>
      <c r="AE1784" s="79"/>
    </row>
    <row r="1785" spans="1:31" x14ac:dyDescent="0.3">
      <c r="A1785" s="76"/>
      <c r="B1785" s="80"/>
      <c r="C1785" s="78" t="s">
        <v>1499</v>
      </c>
      <c r="D1785" s="78" t="s">
        <v>372</v>
      </c>
      <c r="E1785" s="78" t="s">
        <v>1620</v>
      </c>
      <c r="F1785" s="78" t="s">
        <v>1495</v>
      </c>
      <c r="G1785" s="78" t="s">
        <v>1492</v>
      </c>
      <c r="H1785" s="77"/>
      <c r="I1785" s="226"/>
      <c r="J1785" s="77"/>
      <c r="K1785" s="77"/>
      <c r="L1785" s="77"/>
      <c r="M1785" s="77"/>
      <c r="N1785" s="77"/>
      <c r="O1785" s="77"/>
      <c r="P1785" s="77"/>
      <c r="Q1785" s="77"/>
      <c r="R1785" s="77"/>
      <c r="S1785" s="77"/>
      <c r="T1785" s="77"/>
      <c r="U1785" s="77"/>
      <c r="V1785" s="77"/>
      <c r="W1785" s="77"/>
      <c r="X1785" s="77"/>
      <c r="Y1785" s="77"/>
      <c r="Z1785" s="77"/>
      <c r="AA1785" s="77"/>
      <c r="AB1785" s="77"/>
      <c r="AC1785" s="77"/>
      <c r="AD1785" s="77"/>
      <c r="AE1785" s="79"/>
    </row>
    <row r="1786" spans="1:31" x14ac:dyDescent="0.3">
      <c r="A1786" s="76"/>
      <c r="B1786" s="78" t="s">
        <v>1485</v>
      </c>
      <c r="C1786" s="78" t="s">
        <v>1485</v>
      </c>
      <c r="D1786" s="78" t="s">
        <v>2185</v>
      </c>
      <c r="E1786" s="78" t="s">
        <v>1709</v>
      </c>
      <c r="F1786" s="78" t="s">
        <v>1512</v>
      </c>
      <c r="G1786" s="78" t="s">
        <v>1513</v>
      </c>
      <c r="H1786" s="77"/>
      <c r="I1786" s="226"/>
      <c r="J1786" s="77"/>
      <c r="K1786" s="77"/>
      <c r="L1786" s="77"/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  <c r="AA1786" s="77"/>
      <c r="AB1786" s="77"/>
      <c r="AC1786" s="77"/>
      <c r="AD1786" s="77"/>
      <c r="AE1786" s="79"/>
    </row>
    <row r="1787" spans="1:31" x14ac:dyDescent="0.3">
      <c r="A1787" s="76"/>
      <c r="B1787" s="78" t="s">
        <v>1485</v>
      </c>
      <c r="C1787" s="78" t="s">
        <v>1485</v>
      </c>
      <c r="D1787" s="78" t="s">
        <v>2186</v>
      </c>
      <c r="E1787" s="78" t="s">
        <v>1534</v>
      </c>
      <c r="F1787" s="78" t="s">
        <v>1535</v>
      </c>
      <c r="G1787" s="78" t="s">
        <v>1513</v>
      </c>
      <c r="H1787" s="77"/>
      <c r="I1787" s="226"/>
      <c r="J1787" s="77"/>
      <c r="K1787" s="77"/>
      <c r="L1787" s="77"/>
      <c r="M1787" s="77"/>
      <c r="N1787" s="77"/>
      <c r="O1787" s="77"/>
      <c r="P1787" s="77"/>
      <c r="Q1787" s="77"/>
      <c r="R1787" s="77"/>
      <c r="S1787" s="77"/>
      <c r="T1787" s="77"/>
      <c r="U1787" s="77"/>
      <c r="V1787" s="77"/>
      <c r="W1787" s="77"/>
      <c r="X1787" s="77"/>
      <c r="Y1787" s="77"/>
      <c r="Z1787" s="77"/>
      <c r="AA1787" s="77"/>
      <c r="AB1787" s="77"/>
      <c r="AC1787" s="77"/>
      <c r="AD1787" s="77"/>
      <c r="AE1787" s="79"/>
    </row>
    <row r="1788" spans="1:31" x14ac:dyDescent="0.3">
      <c r="A1788" s="76"/>
      <c r="B1788" s="78" t="s">
        <v>1485</v>
      </c>
      <c r="C1788" s="78" t="s">
        <v>1485</v>
      </c>
      <c r="D1788" s="78" t="s">
        <v>2140</v>
      </c>
      <c r="E1788" s="78" t="s">
        <v>1548</v>
      </c>
      <c r="F1788" s="78" t="s">
        <v>1512</v>
      </c>
      <c r="G1788" s="78" t="s">
        <v>1513</v>
      </c>
      <c r="H1788" s="77"/>
      <c r="I1788" s="226"/>
      <c r="J1788" s="77"/>
      <c r="K1788" s="77"/>
      <c r="L1788" s="77"/>
      <c r="M1788" s="77"/>
      <c r="N1788" s="77"/>
      <c r="O1788" s="77"/>
      <c r="P1788" s="77"/>
      <c r="Q1788" s="77"/>
      <c r="R1788" s="77"/>
      <c r="S1788" s="77"/>
      <c r="T1788" s="77"/>
      <c r="U1788" s="77"/>
      <c r="V1788" s="77"/>
      <c r="W1788" s="77"/>
      <c r="X1788" s="77"/>
      <c r="Y1788" s="77"/>
      <c r="Z1788" s="77"/>
      <c r="AA1788" s="77"/>
      <c r="AB1788" s="77"/>
      <c r="AC1788" s="77"/>
      <c r="AD1788" s="77"/>
      <c r="AE1788" s="79"/>
    </row>
    <row r="1789" spans="1:31" x14ac:dyDescent="0.3">
      <c r="A1789" s="76"/>
      <c r="B1789" s="78" t="s">
        <v>1911</v>
      </c>
      <c r="C1789" s="78" t="s">
        <v>1499</v>
      </c>
      <c r="D1789" s="78" t="s">
        <v>372</v>
      </c>
      <c r="E1789" s="78" t="s">
        <v>1620</v>
      </c>
      <c r="F1789" s="78" t="s">
        <v>1495</v>
      </c>
      <c r="G1789" s="78" t="s">
        <v>1513</v>
      </c>
      <c r="H1789" s="77"/>
      <c r="I1789" s="226"/>
      <c r="J1789" s="77"/>
      <c r="K1789" s="77"/>
      <c r="L1789" s="77"/>
      <c r="M1789" s="77"/>
      <c r="N1789" s="77"/>
      <c r="O1789" s="77"/>
      <c r="P1789" s="77"/>
      <c r="Q1789" s="77"/>
      <c r="R1789" s="77"/>
      <c r="S1789" s="77"/>
      <c r="T1789" s="77"/>
      <c r="U1789" s="77"/>
      <c r="V1789" s="77"/>
      <c r="W1789" s="77"/>
      <c r="X1789" s="77"/>
      <c r="Y1789" s="77"/>
      <c r="Z1789" s="77"/>
      <c r="AA1789" s="77"/>
      <c r="AB1789" s="77"/>
      <c r="AC1789" s="77"/>
      <c r="AD1789" s="77"/>
      <c r="AE1789" s="79"/>
    </row>
    <row r="1790" spans="1:31" ht="15" thickBot="1" x14ac:dyDescent="0.35">
      <c r="A1790" s="81"/>
      <c r="B1790" s="82" t="s">
        <v>1556</v>
      </c>
      <c r="C1790" s="82" t="s">
        <v>1499</v>
      </c>
      <c r="D1790" s="82" t="s">
        <v>142</v>
      </c>
      <c r="E1790" s="82" t="s">
        <v>1500</v>
      </c>
      <c r="F1790" s="82" t="s">
        <v>1501</v>
      </c>
      <c r="G1790" s="82" t="s">
        <v>1513</v>
      </c>
      <c r="H1790" s="83"/>
      <c r="I1790" s="226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  <c r="X1790" s="83"/>
      <c r="Y1790" s="83"/>
      <c r="Z1790" s="83"/>
      <c r="AA1790" s="83"/>
      <c r="AB1790" s="83"/>
      <c r="AC1790" s="83"/>
      <c r="AD1790" s="83"/>
      <c r="AE1790" s="84"/>
    </row>
    <row r="1791" spans="1:31" x14ac:dyDescent="0.3">
      <c r="A1791" s="72" t="s">
        <v>1130</v>
      </c>
      <c r="B1791" s="73" t="s">
        <v>2187</v>
      </c>
      <c r="C1791" s="74" t="s">
        <v>1479</v>
      </c>
      <c r="D1791" s="74" t="s">
        <v>1131</v>
      </c>
      <c r="E1791" s="74" t="s">
        <v>1480</v>
      </c>
      <c r="F1791" s="74"/>
      <c r="G1791" s="74" t="s">
        <v>1481</v>
      </c>
      <c r="H1791" s="73" t="s">
        <v>1482</v>
      </c>
      <c r="I1791" s="226"/>
      <c r="J1791" s="73" t="s">
        <v>1129</v>
      </c>
      <c r="K1791" s="73" t="s">
        <v>1485</v>
      </c>
      <c r="L1791" s="73" t="s">
        <v>195</v>
      </c>
      <c r="M1791" s="73" t="s">
        <v>1483</v>
      </c>
      <c r="N1791" s="73" t="s">
        <v>1483</v>
      </c>
      <c r="O1791" s="73" t="s">
        <v>1483</v>
      </c>
      <c r="P1791" s="73" t="s">
        <v>1483</v>
      </c>
      <c r="Q1791" s="73" t="s">
        <v>1483</v>
      </c>
      <c r="R1791" s="73" t="s">
        <v>1483</v>
      </c>
      <c r="S1791" s="73" t="s">
        <v>1484</v>
      </c>
      <c r="T1791" s="73" t="s">
        <v>1484</v>
      </c>
      <c r="U1791" s="73" t="s">
        <v>1484</v>
      </c>
      <c r="V1791" s="73" t="s">
        <v>1484</v>
      </c>
      <c r="W1791" s="73" t="s">
        <v>1485</v>
      </c>
      <c r="X1791" s="73" t="s">
        <v>1484</v>
      </c>
      <c r="Y1791" s="73" t="s">
        <v>1484</v>
      </c>
      <c r="Z1791" s="73" t="s">
        <v>1485</v>
      </c>
      <c r="AA1791" s="73" t="s">
        <v>1485</v>
      </c>
      <c r="AB1791" s="73" t="s">
        <v>1484</v>
      </c>
      <c r="AC1791" s="73" t="s">
        <v>1486</v>
      </c>
      <c r="AD1791" s="73" t="s">
        <v>1487</v>
      </c>
      <c r="AE1791" s="75" t="s">
        <v>1488</v>
      </c>
    </row>
    <row r="1792" spans="1:31" x14ac:dyDescent="0.3">
      <c r="A1792" s="76"/>
      <c r="B1792" s="80"/>
      <c r="C1792" s="78" t="s">
        <v>1493</v>
      </c>
      <c r="D1792" s="78" t="s">
        <v>77</v>
      </c>
      <c r="E1792" s="78" t="s">
        <v>1494</v>
      </c>
      <c r="F1792" s="78" t="s">
        <v>1495</v>
      </c>
      <c r="G1792" s="78" t="s">
        <v>1492</v>
      </c>
      <c r="H1792" s="77"/>
      <c r="I1792" s="226"/>
      <c r="J1792" s="77"/>
      <c r="K1792" s="77"/>
      <c r="L1792" s="77"/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  <c r="AA1792" s="77"/>
      <c r="AB1792" s="77"/>
      <c r="AC1792" s="77"/>
      <c r="AD1792" s="77"/>
      <c r="AE1792" s="79"/>
    </row>
    <row r="1793" spans="1:31" ht="15" thickBot="1" x14ac:dyDescent="0.35">
      <c r="A1793" s="81"/>
      <c r="B1793" s="82" t="s">
        <v>2014</v>
      </c>
      <c r="C1793" s="82" t="s">
        <v>1496</v>
      </c>
      <c r="D1793" s="82" t="s">
        <v>77</v>
      </c>
      <c r="E1793" s="82" t="s">
        <v>1494</v>
      </c>
      <c r="F1793" s="82" t="s">
        <v>1495</v>
      </c>
      <c r="G1793" s="82" t="s">
        <v>1513</v>
      </c>
      <c r="H1793" s="83"/>
      <c r="I1793" s="226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  <c r="X1793" s="83"/>
      <c r="Y1793" s="83"/>
      <c r="Z1793" s="83"/>
      <c r="AA1793" s="83"/>
      <c r="AB1793" s="83"/>
      <c r="AC1793" s="83"/>
      <c r="AD1793" s="83"/>
      <c r="AE1793" s="84"/>
    </row>
    <row r="1794" spans="1:31" x14ac:dyDescent="0.3">
      <c r="A1794" s="72" t="s">
        <v>1134</v>
      </c>
      <c r="B1794" s="73" t="s">
        <v>2188</v>
      </c>
      <c r="C1794" s="74" t="s">
        <v>1479</v>
      </c>
      <c r="D1794" s="74" t="s">
        <v>1135</v>
      </c>
      <c r="E1794" s="74" t="s">
        <v>1480</v>
      </c>
      <c r="F1794" s="74"/>
      <c r="G1794" s="74" t="s">
        <v>1481</v>
      </c>
      <c r="H1794" s="73" t="s">
        <v>1482</v>
      </c>
      <c r="I1794" s="226"/>
      <c r="J1794" s="73" t="s">
        <v>1133</v>
      </c>
      <c r="K1794" s="73" t="s">
        <v>1485</v>
      </c>
      <c r="L1794" s="73" t="s">
        <v>195</v>
      </c>
      <c r="M1794" s="73" t="s">
        <v>1483</v>
      </c>
      <c r="N1794" s="73" t="s">
        <v>1483</v>
      </c>
      <c r="O1794" s="73" t="s">
        <v>1483</v>
      </c>
      <c r="P1794" s="73" t="s">
        <v>1483</v>
      </c>
      <c r="Q1794" s="73" t="s">
        <v>1483</v>
      </c>
      <c r="R1794" s="73" t="s">
        <v>1483</v>
      </c>
      <c r="S1794" s="73" t="s">
        <v>1484</v>
      </c>
      <c r="T1794" s="73" t="s">
        <v>1484</v>
      </c>
      <c r="U1794" s="73" t="s">
        <v>1484</v>
      </c>
      <c r="V1794" s="73" t="s">
        <v>1484</v>
      </c>
      <c r="W1794" s="73" t="s">
        <v>1485</v>
      </c>
      <c r="X1794" s="73" t="s">
        <v>1484</v>
      </c>
      <c r="Y1794" s="73" t="s">
        <v>1484</v>
      </c>
      <c r="Z1794" s="73" t="s">
        <v>1485</v>
      </c>
      <c r="AA1794" s="73" t="s">
        <v>1485</v>
      </c>
      <c r="AB1794" s="73" t="s">
        <v>1484</v>
      </c>
      <c r="AC1794" s="73" t="s">
        <v>1486</v>
      </c>
      <c r="AD1794" s="73" t="s">
        <v>1487</v>
      </c>
      <c r="AE1794" s="75" t="s">
        <v>1488</v>
      </c>
    </row>
    <row r="1795" spans="1:31" x14ac:dyDescent="0.3">
      <c r="A1795" s="76"/>
      <c r="B1795" s="80"/>
      <c r="C1795" s="78" t="s">
        <v>1493</v>
      </c>
      <c r="D1795" s="78" t="s">
        <v>25</v>
      </c>
      <c r="E1795" s="78" t="s">
        <v>1503</v>
      </c>
      <c r="F1795" s="78" t="s">
        <v>1495</v>
      </c>
      <c r="G1795" s="78" t="s">
        <v>1492</v>
      </c>
      <c r="H1795" s="77"/>
      <c r="I1795" s="226"/>
      <c r="J1795" s="77"/>
      <c r="K1795" s="77"/>
      <c r="L1795" s="77"/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  <c r="AA1795" s="77"/>
      <c r="AB1795" s="77"/>
      <c r="AC1795" s="77"/>
      <c r="AD1795" s="77"/>
      <c r="AE1795" s="79"/>
    </row>
    <row r="1796" spans="1:31" ht="15" thickBot="1" x14ac:dyDescent="0.35">
      <c r="A1796" s="81"/>
      <c r="B1796" s="82" t="s">
        <v>1520</v>
      </c>
      <c r="C1796" s="82" t="s">
        <v>1493</v>
      </c>
      <c r="D1796" s="82" t="s">
        <v>25</v>
      </c>
      <c r="E1796" s="82" t="s">
        <v>1503</v>
      </c>
      <c r="F1796" s="82" t="s">
        <v>1495</v>
      </c>
      <c r="G1796" s="82" t="s">
        <v>1513</v>
      </c>
      <c r="H1796" s="83"/>
      <c r="I1796" s="226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  <c r="X1796" s="83"/>
      <c r="Y1796" s="83"/>
      <c r="Z1796" s="83"/>
      <c r="AA1796" s="83"/>
      <c r="AB1796" s="83"/>
      <c r="AC1796" s="83"/>
      <c r="AD1796" s="83"/>
      <c r="AE1796" s="84"/>
    </row>
    <row r="1797" spans="1:31" ht="15" thickBot="1" x14ac:dyDescent="0.35">
      <c r="A1797" s="72" t="s">
        <v>1018</v>
      </c>
      <c r="B1797" s="73" t="s">
        <v>2189</v>
      </c>
      <c r="C1797" s="74" t="s">
        <v>1479</v>
      </c>
      <c r="D1797" s="74" t="s">
        <v>1019</v>
      </c>
      <c r="E1797" s="74" t="s">
        <v>1480</v>
      </c>
      <c r="F1797" s="74"/>
      <c r="G1797" s="74" t="s">
        <v>1481</v>
      </c>
      <c r="H1797" s="73" t="s">
        <v>1482</v>
      </c>
      <c r="I1797" s="227"/>
      <c r="J1797" s="73" t="s">
        <v>1017</v>
      </c>
      <c r="K1797" s="73">
        <v>153</v>
      </c>
      <c r="L1797" s="73" t="s">
        <v>195</v>
      </c>
      <c r="M1797" s="73" t="s">
        <v>1483</v>
      </c>
      <c r="N1797" s="73" t="s">
        <v>1483</v>
      </c>
      <c r="O1797" s="73" t="s">
        <v>1483</v>
      </c>
      <c r="P1797" s="73" t="s">
        <v>1483</v>
      </c>
      <c r="Q1797" s="73" t="s">
        <v>1483</v>
      </c>
      <c r="R1797" s="73" t="s">
        <v>1483</v>
      </c>
      <c r="S1797" s="73" t="s">
        <v>1484</v>
      </c>
      <c r="T1797" s="73" t="s">
        <v>1484</v>
      </c>
      <c r="U1797" s="73" t="s">
        <v>1484</v>
      </c>
      <c r="V1797" s="73" t="s">
        <v>1484</v>
      </c>
      <c r="W1797" s="73" t="s">
        <v>1485</v>
      </c>
      <c r="X1797" s="73" t="s">
        <v>1484</v>
      </c>
      <c r="Y1797" s="73" t="s">
        <v>1484</v>
      </c>
      <c r="Z1797" s="73" t="s">
        <v>1485</v>
      </c>
      <c r="AA1797" s="73" t="s">
        <v>1485</v>
      </c>
      <c r="AB1797" s="73" t="s">
        <v>1484</v>
      </c>
      <c r="AC1797" s="73" t="s">
        <v>1486</v>
      </c>
      <c r="AD1797" s="73" t="s">
        <v>1487</v>
      </c>
      <c r="AE1797" s="75" t="s">
        <v>1488</v>
      </c>
    </row>
    <row r="1798" spans="1:31" x14ac:dyDescent="0.3">
      <c r="A1798" s="76"/>
      <c r="B1798" s="77"/>
      <c r="C1798" s="78" t="s">
        <v>1493</v>
      </c>
      <c r="D1798" s="78" t="s">
        <v>39</v>
      </c>
      <c r="E1798" s="78" t="s">
        <v>1503</v>
      </c>
      <c r="F1798" s="78" t="s">
        <v>1495</v>
      </c>
      <c r="G1798" s="78" t="s">
        <v>1492</v>
      </c>
      <c r="H1798" s="77"/>
      <c r="I1798" s="225" t="s">
        <v>1485</v>
      </c>
      <c r="J1798" s="77"/>
      <c r="K1798" s="77"/>
      <c r="L1798" s="77"/>
      <c r="M1798" s="77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  <c r="AA1798" s="77"/>
      <c r="AB1798" s="77"/>
      <c r="AC1798" s="77"/>
      <c r="AD1798" s="77"/>
      <c r="AE1798" s="79"/>
    </row>
    <row r="1799" spans="1:31" x14ac:dyDescent="0.3">
      <c r="A1799" s="76"/>
      <c r="B1799" s="77"/>
      <c r="C1799" s="78" t="s">
        <v>1499</v>
      </c>
      <c r="D1799" s="78" t="s">
        <v>538</v>
      </c>
      <c r="E1799" s="78" t="s">
        <v>1620</v>
      </c>
      <c r="F1799" s="78" t="s">
        <v>1495</v>
      </c>
      <c r="G1799" s="78" t="s">
        <v>1492</v>
      </c>
      <c r="H1799" s="77"/>
      <c r="I1799" s="226"/>
      <c r="J1799" s="77"/>
      <c r="K1799" s="77"/>
      <c r="L1799" s="77"/>
      <c r="M1799" s="77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  <c r="AA1799" s="77"/>
      <c r="AB1799" s="77"/>
      <c r="AC1799" s="77"/>
      <c r="AD1799" s="77"/>
      <c r="AE1799" s="79"/>
    </row>
    <row r="1800" spans="1:31" x14ac:dyDescent="0.3">
      <c r="A1800" s="76"/>
      <c r="B1800" s="80"/>
      <c r="C1800" s="78" t="s">
        <v>1504</v>
      </c>
      <c r="D1800" s="78" t="s">
        <v>695</v>
      </c>
      <c r="E1800" s="78" t="s">
        <v>1490</v>
      </c>
      <c r="F1800" s="78" t="s">
        <v>1546</v>
      </c>
      <c r="G1800" s="78" t="s">
        <v>1492</v>
      </c>
      <c r="H1800" s="77"/>
      <c r="I1800" s="226"/>
      <c r="J1800" s="77"/>
      <c r="K1800" s="77"/>
      <c r="L1800" s="77"/>
      <c r="M1800" s="77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  <c r="AA1800" s="77"/>
      <c r="AB1800" s="77"/>
      <c r="AC1800" s="77"/>
      <c r="AD1800" s="77"/>
      <c r="AE1800" s="79"/>
    </row>
    <row r="1801" spans="1:31" x14ac:dyDescent="0.3">
      <c r="A1801" s="76"/>
      <c r="B1801" s="78" t="s">
        <v>1485</v>
      </c>
      <c r="C1801" s="78" t="s">
        <v>1485</v>
      </c>
      <c r="D1801" s="78" t="s">
        <v>2190</v>
      </c>
      <c r="E1801" s="78" t="s">
        <v>1534</v>
      </c>
      <c r="F1801" s="78" t="s">
        <v>1535</v>
      </c>
      <c r="G1801" s="78" t="s">
        <v>1513</v>
      </c>
      <c r="H1801" s="77"/>
      <c r="I1801" s="226"/>
      <c r="J1801" s="77"/>
      <c r="K1801" s="77"/>
      <c r="L1801" s="77"/>
      <c r="M1801" s="77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  <c r="AA1801" s="77"/>
      <c r="AB1801" s="77"/>
      <c r="AC1801" s="77"/>
      <c r="AD1801" s="77"/>
      <c r="AE1801" s="79"/>
    </row>
    <row r="1802" spans="1:31" x14ac:dyDescent="0.3">
      <c r="A1802" s="76"/>
      <c r="B1802" s="78" t="s">
        <v>1485</v>
      </c>
      <c r="C1802" s="78" t="s">
        <v>1485</v>
      </c>
      <c r="D1802" s="78" t="s">
        <v>2191</v>
      </c>
      <c r="E1802" s="78" t="s">
        <v>1709</v>
      </c>
      <c r="F1802" s="78" t="s">
        <v>1623</v>
      </c>
      <c r="G1802" s="78" t="s">
        <v>1513</v>
      </c>
      <c r="H1802" s="77"/>
      <c r="I1802" s="226"/>
      <c r="J1802" s="77"/>
      <c r="K1802" s="77"/>
      <c r="L1802" s="77"/>
      <c r="M1802" s="77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  <c r="AA1802" s="77"/>
      <c r="AB1802" s="77"/>
      <c r="AC1802" s="77"/>
      <c r="AD1802" s="77"/>
      <c r="AE1802" s="79"/>
    </row>
    <row r="1803" spans="1:31" x14ac:dyDescent="0.3">
      <c r="A1803" s="76"/>
      <c r="B1803" s="78" t="s">
        <v>1655</v>
      </c>
      <c r="C1803" s="78" t="s">
        <v>1493</v>
      </c>
      <c r="D1803" s="78" t="s">
        <v>39</v>
      </c>
      <c r="E1803" s="78" t="s">
        <v>1503</v>
      </c>
      <c r="F1803" s="78" t="s">
        <v>1495</v>
      </c>
      <c r="G1803" s="78" t="s">
        <v>1513</v>
      </c>
      <c r="H1803" s="77"/>
      <c r="I1803" s="226"/>
      <c r="J1803" s="77"/>
      <c r="K1803" s="77"/>
      <c r="L1803" s="77"/>
      <c r="M1803" s="77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  <c r="AA1803" s="77"/>
      <c r="AB1803" s="77"/>
      <c r="AC1803" s="77"/>
      <c r="AD1803" s="77"/>
      <c r="AE1803" s="79"/>
    </row>
    <row r="1804" spans="1:31" ht="15" thickBot="1" x14ac:dyDescent="0.35">
      <c r="A1804" s="76"/>
      <c r="B1804" s="78" t="s">
        <v>1918</v>
      </c>
      <c r="C1804" s="78" t="s">
        <v>1499</v>
      </c>
      <c r="D1804" s="78" t="s">
        <v>538</v>
      </c>
      <c r="E1804" s="78" t="s">
        <v>1620</v>
      </c>
      <c r="F1804" s="78" t="s">
        <v>1495</v>
      </c>
      <c r="G1804" s="78" t="s">
        <v>1513</v>
      </c>
      <c r="H1804" s="77"/>
      <c r="I1804" s="227"/>
      <c r="J1804" s="77"/>
      <c r="K1804" s="77"/>
      <c r="L1804" s="77"/>
      <c r="M1804" s="77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  <c r="AA1804" s="77"/>
      <c r="AB1804" s="77"/>
      <c r="AC1804" s="77"/>
      <c r="AD1804" s="77"/>
      <c r="AE1804" s="79"/>
    </row>
    <row r="1805" spans="1:31" ht="15" thickBot="1" x14ac:dyDescent="0.35">
      <c r="A1805" s="81"/>
      <c r="B1805" s="82" t="s">
        <v>1856</v>
      </c>
      <c r="C1805" s="82" t="s">
        <v>1496</v>
      </c>
      <c r="D1805" s="82" t="s">
        <v>695</v>
      </c>
      <c r="E1805" s="82" t="s">
        <v>1490</v>
      </c>
      <c r="F1805" s="82" t="s">
        <v>1546</v>
      </c>
      <c r="G1805" s="82" t="s">
        <v>1513</v>
      </c>
      <c r="H1805" s="83"/>
      <c r="I1805" s="225" t="s">
        <v>1485</v>
      </c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  <c r="X1805" s="83"/>
      <c r="Y1805" s="83"/>
      <c r="Z1805" s="83"/>
      <c r="AA1805" s="83"/>
      <c r="AB1805" s="83"/>
      <c r="AC1805" s="83"/>
      <c r="AD1805" s="83"/>
      <c r="AE1805" s="84"/>
    </row>
    <row r="1806" spans="1:31" x14ac:dyDescent="0.3">
      <c r="A1806" s="72" t="s">
        <v>1023</v>
      </c>
      <c r="B1806" s="73" t="s">
        <v>2192</v>
      </c>
      <c r="C1806" s="74" t="s">
        <v>1479</v>
      </c>
      <c r="D1806" s="74" t="s">
        <v>1024</v>
      </c>
      <c r="E1806" s="74" t="s">
        <v>1480</v>
      </c>
      <c r="F1806" s="74"/>
      <c r="G1806" s="74" t="s">
        <v>1481</v>
      </c>
      <c r="H1806" s="73" t="s">
        <v>1482</v>
      </c>
      <c r="I1806" s="226"/>
      <c r="J1806" s="73" t="s">
        <v>1022</v>
      </c>
      <c r="K1806" s="73">
        <v>154</v>
      </c>
      <c r="L1806" s="73" t="s">
        <v>195</v>
      </c>
      <c r="M1806" s="73" t="s">
        <v>1483</v>
      </c>
      <c r="N1806" s="73" t="s">
        <v>1483</v>
      </c>
      <c r="O1806" s="73" t="s">
        <v>1483</v>
      </c>
      <c r="P1806" s="73" t="s">
        <v>1483</v>
      </c>
      <c r="Q1806" s="73" t="s">
        <v>1483</v>
      </c>
      <c r="R1806" s="73" t="s">
        <v>1483</v>
      </c>
      <c r="S1806" s="73" t="s">
        <v>1484</v>
      </c>
      <c r="T1806" s="73" t="s">
        <v>1484</v>
      </c>
      <c r="U1806" s="73" t="s">
        <v>1484</v>
      </c>
      <c r="V1806" s="73" t="s">
        <v>1484</v>
      </c>
      <c r="W1806" s="73" t="s">
        <v>1485</v>
      </c>
      <c r="X1806" s="73" t="s">
        <v>1484</v>
      </c>
      <c r="Y1806" s="73" t="s">
        <v>1484</v>
      </c>
      <c r="Z1806" s="73" t="s">
        <v>1485</v>
      </c>
      <c r="AA1806" s="73" t="s">
        <v>1485</v>
      </c>
      <c r="AB1806" s="73" t="s">
        <v>1484</v>
      </c>
      <c r="AC1806" s="73" t="s">
        <v>1486</v>
      </c>
      <c r="AD1806" s="73" t="s">
        <v>1487</v>
      </c>
      <c r="AE1806" s="75" t="s">
        <v>1488</v>
      </c>
    </row>
    <row r="1807" spans="1:31" x14ac:dyDescent="0.3">
      <c r="A1807" s="76"/>
      <c r="B1807" s="77"/>
      <c r="C1807" s="78" t="s">
        <v>1493</v>
      </c>
      <c r="D1807" s="78" t="s">
        <v>50</v>
      </c>
      <c r="E1807" s="78" t="s">
        <v>1503</v>
      </c>
      <c r="F1807" s="78" t="s">
        <v>1495</v>
      </c>
      <c r="G1807" s="78" t="s">
        <v>1492</v>
      </c>
      <c r="H1807" s="77"/>
      <c r="I1807" s="226"/>
      <c r="J1807" s="77"/>
      <c r="K1807" s="77"/>
      <c r="L1807" s="77"/>
      <c r="M1807" s="77"/>
      <c r="N1807" s="77"/>
      <c r="O1807" s="77"/>
      <c r="P1807" s="77"/>
      <c r="Q1807" s="77"/>
      <c r="R1807" s="77"/>
      <c r="S1807" s="77"/>
      <c r="T1807" s="77"/>
      <c r="U1807" s="77"/>
      <c r="V1807" s="77"/>
      <c r="W1807" s="77"/>
      <c r="X1807" s="77"/>
      <c r="Y1807" s="77"/>
      <c r="Z1807" s="77"/>
      <c r="AA1807" s="77"/>
      <c r="AB1807" s="77"/>
      <c r="AC1807" s="77"/>
      <c r="AD1807" s="77"/>
      <c r="AE1807" s="79"/>
    </row>
    <row r="1808" spans="1:31" x14ac:dyDescent="0.3">
      <c r="A1808" s="76"/>
      <c r="B1808" s="77"/>
      <c r="C1808" s="78" t="s">
        <v>1499</v>
      </c>
      <c r="D1808" s="78" t="s">
        <v>549</v>
      </c>
      <c r="E1808" s="78" t="s">
        <v>1620</v>
      </c>
      <c r="F1808" s="78" t="s">
        <v>1495</v>
      </c>
      <c r="G1808" s="78" t="s">
        <v>1492</v>
      </c>
      <c r="H1808" s="77"/>
      <c r="I1808" s="226"/>
      <c r="J1808" s="77"/>
      <c r="K1808" s="77"/>
      <c r="L1808" s="77"/>
      <c r="M1808" s="77"/>
      <c r="N1808" s="77"/>
      <c r="O1808" s="77"/>
      <c r="P1808" s="77"/>
      <c r="Q1808" s="77"/>
      <c r="R1808" s="77"/>
      <c r="S1808" s="77"/>
      <c r="T1808" s="77"/>
      <c r="U1808" s="77"/>
      <c r="V1808" s="77"/>
      <c r="W1808" s="77"/>
      <c r="X1808" s="77"/>
      <c r="Y1808" s="77"/>
      <c r="Z1808" s="77"/>
      <c r="AA1808" s="77"/>
      <c r="AB1808" s="77"/>
      <c r="AC1808" s="77"/>
      <c r="AD1808" s="77"/>
      <c r="AE1808" s="79"/>
    </row>
    <row r="1809" spans="1:31" x14ac:dyDescent="0.3">
      <c r="A1809" s="76"/>
      <c r="B1809" s="80"/>
      <c r="C1809" s="78" t="s">
        <v>1504</v>
      </c>
      <c r="D1809" s="78" t="s">
        <v>710</v>
      </c>
      <c r="E1809" s="78" t="s">
        <v>1490</v>
      </c>
      <c r="F1809" s="78" t="s">
        <v>1564</v>
      </c>
      <c r="G1809" s="78" t="s">
        <v>1492</v>
      </c>
      <c r="H1809" s="77"/>
      <c r="I1809" s="226"/>
      <c r="J1809" s="77"/>
      <c r="K1809" s="77"/>
      <c r="L1809" s="77"/>
      <c r="M1809" s="77"/>
      <c r="N1809" s="77"/>
      <c r="O1809" s="77"/>
      <c r="P1809" s="77"/>
      <c r="Q1809" s="77"/>
      <c r="R1809" s="77"/>
      <c r="S1809" s="77"/>
      <c r="T1809" s="77"/>
      <c r="U1809" s="77"/>
      <c r="V1809" s="77"/>
      <c r="W1809" s="77"/>
      <c r="X1809" s="77"/>
      <c r="Y1809" s="77"/>
      <c r="Z1809" s="77"/>
      <c r="AA1809" s="77"/>
      <c r="AB1809" s="77"/>
      <c r="AC1809" s="77"/>
      <c r="AD1809" s="77"/>
      <c r="AE1809" s="79"/>
    </row>
    <row r="1810" spans="1:31" x14ac:dyDescent="0.3">
      <c r="A1810" s="76"/>
      <c r="B1810" s="78" t="s">
        <v>1485</v>
      </c>
      <c r="C1810" s="78" t="s">
        <v>1485</v>
      </c>
      <c r="D1810" s="78" t="s">
        <v>1025</v>
      </c>
      <c r="E1810" s="78" t="s">
        <v>1709</v>
      </c>
      <c r="F1810" s="78" t="s">
        <v>1623</v>
      </c>
      <c r="G1810" s="78" t="s">
        <v>1513</v>
      </c>
      <c r="H1810" s="77"/>
      <c r="I1810" s="226"/>
      <c r="J1810" s="77"/>
      <c r="K1810" s="77"/>
      <c r="L1810" s="77"/>
      <c r="M1810" s="77"/>
      <c r="N1810" s="77"/>
      <c r="O1810" s="77"/>
      <c r="P1810" s="77"/>
      <c r="Q1810" s="77"/>
      <c r="R1810" s="77"/>
      <c r="S1810" s="77"/>
      <c r="T1810" s="77"/>
      <c r="U1810" s="77"/>
      <c r="V1810" s="77"/>
      <c r="W1810" s="77"/>
      <c r="X1810" s="77"/>
      <c r="Y1810" s="77"/>
      <c r="Z1810" s="77"/>
      <c r="AA1810" s="77"/>
      <c r="AB1810" s="77"/>
      <c r="AC1810" s="77"/>
      <c r="AD1810" s="77"/>
      <c r="AE1810" s="79"/>
    </row>
    <row r="1811" spans="1:31" x14ac:dyDescent="0.3">
      <c r="A1811" s="76"/>
      <c r="B1811" s="78" t="s">
        <v>1665</v>
      </c>
      <c r="C1811" s="78" t="s">
        <v>1496</v>
      </c>
      <c r="D1811" s="78" t="s">
        <v>50</v>
      </c>
      <c r="E1811" s="78" t="s">
        <v>1503</v>
      </c>
      <c r="F1811" s="78" t="s">
        <v>1495</v>
      </c>
      <c r="G1811" s="78" t="s">
        <v>1513</v>
      </c>
      <c r="H1811" s="77"/>
      <c r="I1811" s="226"/>
      <c r="J1811" s="77"/>
      <c r="K1811" s="77"/>
      <c r="L1811" s="77"/>
      <c r="M1811" s="77"/>
      <c r="N1811" s="77"/>
      <c r="O1811" s="77"/>
      <c r="P1811" s="77"/>
      <c r="Q1811" s="77"/>
      <c r="R1811" s="77"/>
      <c r="S1811" s="77"/>
      <c r="T1811" s="77"/>
      <c r="U1811" s="77"/>
      <c r="V1811" s="77"/>
      <c r="W1811" s="77"/>
      <c r="X1811" s="77"/>
      <c r="Y1811" s="77"/>
      <c r="Z1811" s="77"/>
      <c r="AA1811" s="77"/>
      <c r="AB1811" s="77"/>
      <c r="AC1811" s="77"/>
      <c r="AD1811" s="77"/>
      <c r="AE1811" s="79"/>
    </row>
    <row r="1812" spans="1:31" ht="15" thickBot="1" x14ac:dyDescent="0.35">
      <c r="A1812" s="76"/>
      <c r="B1812" s="78" t="s">
        <v>1922</v>
      </c>
      <c r="C1812" s="78" t="s">
        <v>1499</v>
      </c>
      <c r="D1812" s="78" t="s">
        <v>549</v>
      </c>
      <c r="E1812" s="78" t="s">
        <v>1620</v>
      </c>
      <c r="F1812" s="78" t="s">
        <v>1495</v>
      </c>
      <c r="G1812" s="78" t="s">
        <v>1513</v>
      </c>
      <c r="H1812" s="77"/>
      <c r="I1812" s="227"/>
      <c r="J1812" s="77"/>
      <c r="K1812" s="77"/>
      <c r="L1812" s="77"/>
      <c r="M1812" s="77"/>
      <c r="N1812" s="77"/>
      <c r="O1812" s="77"/>
      <c r="P1812" s="77"/>
      <c r="Q1812" s="77"/>
      <c r="R1812" s="77"/>
      <c r="S1812" s="77"/>
      <c r="T1812" s="77"/>
      <c r="U1812" s="77"/>
      <c r="V1812" s="77"/>
      <c r="W1812" s="77"/>
      <c r="X1812" s="77"/>
      <c r="Y1812" s="77"/>
      <c r="Z1812" s="77"/>
      <c r="AA1812" s="77"/>
      <c r="AB1812" s="77"/>
      <c r="AC1812" s="77"/>
      <c r="AD1812" s="77"/>
      <c r="AE1812" s="79"/>
    </row>
    <row r="1813" spans="1:31" ht="15" thickBot="1" x14ac:dyDescent="0.35">
      <c r="A1813" s="81"/>
      <c r="B1813" s="82" t="s">
        <v>1846</v>
      </c>
      <c r="C1813" s="82" t="s">
        <v>1496</v>
      </c>
      <c r="D1813" s="82" t="s">
        <v>710</v>
      </c>
      <c r="E1813" s="82" t="s">
        <v>1490</v>
      </c>
      <c r="F1813" s="82" t="s">
        <v>1564</v>
      </c>
      <c r="G1813" s="82" t="s">
        <v>1513</v>
      </c>
      <c r="H1813" s="83"/>
      <c r="I1813" s="225" t="s">
        <v>1485</v>
      </c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  <c r="X1813" s="83"/>
      <c r="Y1813" s="83"/>
      <c r="Z1813" s="83"/>
      <c r="AA1813" s="83"/>
      <c r="AB1813" s="83"/>
      <c r="AC1813" s="83"/>
      <c r="AD1813" s="83"/>
      <c r="AE1813" s="84"/>
    </row>
    <row r="1814" spans="1:31" x14ac:dyDescent="0.3">
      <c r="A1814" s="72" t="s">
        <v>1034</v>
      </c>
      <c r="B1814" s="73" t="s">
        <v>2193</v>
      </c>
      <c r="C1814" s="74" t="s">
        <v>1479</v>
      </c>
      <c r="D1814" s="74" t="s">
        <v>1035</v>
      </c>
      <c r="E1814" s="74" t="s">
        <v>1480</v>
      </c>
      <c r="F1814" s="74"/>
      <c r="G1814" s="74" t="s">
        <v>1481</v>
      </c>
      <c r="H1814" s="73" t="s">
        <v>1482</v>
      </c>
      <c r="I1814" s="226"/>
      <c r="J1814" s="73" t="s">
        <v>1033</v>
      </c>
      <c r="K1814" s="73">
        <v>156</v>
      </c>
      <c r="L1814" s="73" t="s">
        <v>195</v>
      </c>
      <c r="M1814" s="73" t="s">
        <v>1483</v>
      </c>
      <c r="N1814" s="73" t="s">
        <v>1483</v>
      </c>
      <c r="O1814" s="73" t="s">
        <v>1483</v>
      </c>
      <c r="P1814" s="73" t="s">
        <v>1483</v>
      </c>
      <c r="Q1814" s="73" t="s">
        <v>1483</v>
      </c>
      <c r="R1814" s="73" t="s">
        <v>1483</v>
      </c>
      <c r="S1814" s="73" t="s">
        <v>1484</v>
      </c>
      <c r="T1814" s="73" t="s">
        <v>1484</v>
      </c>
      <c r="U1814" s="73" t="s">
        <v>1484</v>
      </c>
      <c r="V1814" s="73" t="s">
        <v>1484</v>
      </c>
      <c r="W1814" s="73" t="s">
        <v>1485</v>
      </c>
      <c r="X1814" s="73" t="s">
        <v>1484</v>
      </c>
      <c r="Y1814" s="73" t="s">
        <v>1484</v>
      </c>
      <c r="Z1814" s="73" t="s">
        <v>1485</v>
      </c>
      <c r="AA1814" s="73" t="s">
        <v>1485</v>
      </c>
      <c r="AB1814" s="73" t="s">
        <v>1484</v>
      </c>
      <c r="AC1814" s="73" t="s">
        <v>1486</v>
      </c>
      <c r="AD1814" s="73" t="s">
        <v>1487</v>
      </c>
      <c r="AE1814" s="75" t="s">
        <v>1488</v>
      </c>
    </row>
    <row r="1815" spans="1:31" ht="15" thickBot="1" x14ac:dyDescent="0.35">
      <c r="A1815" s="76"/>
      <c r="B1815" s="77"/>
      <c r="C1815" s="78" t="s">
        <v>1493</v>
      </c>
      <c r="D1815" s="78" t="s">
        <v>91</v>
      </c>
      <c r="E1815" s="78" t="s">
        <v>1503</v>
      </c>
      <c r="F1815" s="78" t="s">
        <v>1495</v>
      </c>
      <c r="G1815" s="78" t="s">
        <v>1492</v>
      </c>
      <c r="H1815" s="77"/>
      <c r="I1815" s="227"/>
      <c r="J1815" s="77"/>
      <c r="K1815" s="77"/>
      <c r="L1815" s="77"/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  <c r="AA1815" s="77"/>
      <c r="AB1815" s="77"/>
      <c r="AC1815" s="77"/>
      <c r="AD1815" s="77"/>
      <c r="AE1815" s="79"/>
    </row>
    <row r="1816" spans="1:31" x14ac:dyDescent="0.3">
      <c r="A1816" s="76"/>
      <c r="B1816" s="77"/>
      <c r="C1816" s="78" t="s">
        <v>1499</v>
      </c>
      <c r="D1816" s="78" t="s">
        <v>566</v>
      </c>
      <c r="E1816" s="78" t="s">
        <v>1620</v>
      </c>
      <c r="F1816" s="78" t="s">
        <v>1495</v>
      </c>
      <c r="G1816" s="78" t="s">
        <v>1492</v>
      </c>
      <c r="H1816" s="77"/>
      <c r="I1816" s="225" t="s">
        <v>1485</v>
      </c>
      <c r="J1816" s="77"/>
      <c r="K1816" s="77"/>
      <c r="L1816" s="77"/>
      <c r="M1816" s="77"/>
      <c r="N1816" s="77"/>
      <c r="O1816" s="77"/>
      <c r="P1816" s="77"/>
      <c r="Q1816" s="77"/>
      <c r="R1816" s="77"/>
      <c r="S1816" s="77"/>
      <c r="T1816" s="77"/>
      <c r="U1816" s="77"/>
      <c r="V1816" s="77"/>
      <c r="W1816" s="77"/>
      <c r="X1816" s="77"/>
      <c r="Y1816" s="77"/>
      <c r="Z1816" s="77"/>
      <c r="AA1816" s="77"/>
      <c r="AB1816" s="77"/>
      <c r="AC1816" s="77"/>
      <c r="AD1816" s="77"/>
      <c r="AE1816" s="79"/>
    </row>
    <row r="1817" spans="1:31" x14ac:dyDescent="0.3">
      <c r="A1817" s="76"/>
      <c r="B1817" s="80"/>
      <c r="C1817" s="78" t="s">
        <v>1504</v>
      </c>
      <c r="D1817" s="78" t="s">
        <v>702</v>
      </c>
      <c r="E1817" s="78" t="s">
        <v>1490</v>
      </c>
      <c r="F1817" s="78" t="s">
        <v>1631</v>
      </c>
      <c r="G1817" s="78" t="s">
        <v>1492</v>
      </c>
      <c r="H1817" s="77"/>
      <c r="I1817" s="226"/>
      <c r="J1817" s="77"/>
      <c r="K1817" s="77"/>
      <c r="L1817" s="77"/>
      <c r="M1817" s="77"/>
      <c r="N1817" s="77"/>
      <c r="O1817" s="77"/>
      <c r="P1817" s="77"/>
      <c r="Q1817" s="77"/>
      <c r="R1817" s="77"/>
      <c r="S1817" s="77"/>
      <c r="T1817" s="77"/>
      <c r="U1817" s="77"/>
      <c r="V1817" s="77"/>
      <c r="W1817" s="77"/>
      <c r="X1817" s="77"/>
      <c r="Y1817" s="77"/>
      <c r="Z1817" s="77"/>
      <c r="AA1817" s="77"/>
      <c r="AB1817" s="77"/>
      <c r="AC1817" s="77"/>
      <c r="AD1817" s="77"/>
      <c r="AE1817" s="79"/>
    </row>
    <row r="1818" spans="1:31" ht="15" thickBot="1" x14ac:dyDescent="0.35">
      <c r="A1818" s="76"/>
      <c r="B1818" s="78" t="s">
        <v>1485</v>
      </c>
      <c r="C1818" s="78" t="s">
        <v>1485</v>
      </c>
      <c r="D1818" s="78" t="s">
        <v>2194</v>
      </c>
      <c r="E1818" s="78" t="s">
        <v>1534</v>
      </c>
      <c r="F1818" s="78" t="s">
        <v>1535</v>
      </c>
      <c r="G1818" s="78" t="s">
        <v>1513</v>
      </c>
      <c r="H1818" s="77"/>
      <c r="I1818" s="227"/>
      <c r="J1818" s="77"/>
      <c r="K1818" s="77"/>
      <c r="L1818" s="77"/>
      <c r="M1818" s="77"/>
      <c r="N1818" s="77"/>
      <c r="O1818" s="77"/>
      <c r="P1818" s="77"/>
      <c r="Q1818" s="77"/>
      <c r="R1818" s="77"/>
      <c r="S1818" s="77"/>
      <c r="T1818" s="77"/>
      <c r="U1818" s="77"/>
      <c r="V1818" s="77"/>
      <c r="W1818" s="77"/>
      <c r="X1818" s="77"/>
      <c r="Y1818" s="77"/>
      <c r="Z1818" s="77"/>
      <c r="AA1818" s="77"/>
      <c r="AB1818" s="77"/>
      <c r="AC1818" s="77"/>
      <c r="AD1818" s="77"/>
      <c r="AE1818" s="79"/>
    </row>
    <row r="1819" spans="1:31" x14ac:dyDescent="0.3">
      <c r="A1819" s="76"/>
      <c r="B1819" s="78" t="s">
        <v>1485</v>
      </c>
      <c r="C1819" s="78" t="s">
        <v>1485</v>
      </c>
      <c r="D1819" s="78" t="s">
        <v>2195</v>
      </c>
      <c r="E1819" s="78" t="s">
        <v>1709</v>
      </c>
      <c r="F1819" s="78" t="s">
        <v>1623</v>
      </c>
      <c r="G1819" s="78" t="s">
        <v>1513</v>
      </c>
      <c r="H1819" s="77"/>
      <c r="I1819" s="225" t="s">
        <v>1485</v>
      </c>
      <c r="J1819" s="77"/>
      <c r="K1819" s="77"/>
      <c r="L1819" s="77"/>
      <c r="M1819" s="77"/>
      <c r="N1819" s="77"/>
      <c r="O1819" s="77"/>
      <c r="P1819" s="77"/>
      <c r="Q1819" s="77"/>
      <c r="R1819" s="77"/>
      <c r="S1819" s="77"/>
      <c r="T1819" s="77"/>
      <c r="U1819" s="77"/>
      <c r="V1819" s="77"/>
      <c r="W1819" s="77"/>
      <c r="X1819" s="77"/>
      <c r="Y1819" s="77"/>
      <c r="Z1819" s="77"/>
      <c r="AA1819" s="77"/>
      <c r="AB1819" s="77"/>
      <c r="AC1819" s="77"/>
      <c r="AD1819" s="77"/>
      <c r="AE1819" s="79"/>
    </row>
    <row r="1820" spans="1:31" x14ac:dyDescent="0.3">
      <c r="A1820" s="76"/>
      <c r="B1820" s="78" t="s">
        <v>1675</v>
      </c>
      <c r="C1820" s="78" t="s">
        <v>1493</v>
      </c>
      <c r="D1820" s="78" t="s">
        <v>91</v>
      </c>
      <c r="E1820" s="78" t="s">
        <v>1503</v>
      </c>
      <c r="F1820" s="78" t="s">
        <v>1495</v>
      </c>
      <c r="G1820" s="78" t="s">
        <v>1513</v>
      </c>
      <c r="H1820" s="77"/>
      <c r="I1820" s="226"/>
      <c r="J1820" s="77"/>
      <c r="K1820" s="77"/>
      <c r="L1820" s="77"/>
      <c r="M1820" s="77"/>
      <c r="N1820" s="77"/>
      <c r="O1820" s="77"/>
      <c r="P1820" s="77"/>
      <c r="Q1820" s="77"/>
      <c r="R1820" s="77"/>
      <c r="S1820" s="77"/>
      <c r="T1820" s="77"/>
      <c r="U1820" s="77"/>
      <c r="V1820" s="77"/>
      <c r="W1820" s="77"/>
      <c r="X1820" s="77"/>
      <c r="Y1820" s="77"/>
      <c r="Z1820" s="77"/>
      <c r="AA1820" s="77"/>
      <c r="AB1820" s="77"/>
      <c r="AC1820" s="77"/>
      <c r="AD1820" s="77"/>
      <c r="AE1820" s="79"/>
    </row>
    <row r="1821" spans="1:31" x14ac:dyDescent="0.3">
      <c r="A1821" s="76"/>
      <c r="B1821" s="78" t="s">
        <v>1926</v>
      </c>
      <c r="C1821" s="78" t="s">
        <v>1499</v>
      </c>
      <c r="D1821" s="78" t="s">
        <v>566</v>
      </c>
      <c r="E1821" s="78" t="s">
        <v>1620</v>
      </c>
      <c r="F1821" s="78" t="s">
        <v>1495</v>
      </c>
      <c r="G1821" s="78" t="s">
        <v>1513</v>
      </c>
      <c r="H1821" s="77"/>
      <c r="I1821" s="226"/>
      <c r="J1821" s="77"/>
      <c r="K1821" s="77"/>
      <c r="L1821" s="77"/>
      <c r="M1821" s="77"/>
      <c r="N1821" s="77"/>
      <c r="O1821" s="77"/>
      <c r="P1821" s="77"/>
      <c r="Q1821" s="77"/>
      <c r="R1821" s="77"/>
      <c r="S1821" s="77"/>
      <c r="T1821" s="77"/>
      <c r="U1821" s="77"/>
      <c r="V1821" s="77"/>
      <c r="W1821" s="77"/>
      <c r="X1821" s="77"/>
      <c r="Y1821" s="77"/>
      <c r="Z1821" s="77"/>
      <c r="AA1821" s="77"/>
      <c r="AB1821" s="77"/>
      <c r="AC1821" s="77"/>
      <c r="AD1821" s="77"/>
      <c r="AE1821" s="79"/>
    </row>
    <row r="1822" spans="1:31" ht="15" thickBot="1" x14ac:dyDescent="0.35">
      <c r="A1822" s="81"/>
      <c r="B1822" s="82" t="s">
        <v>1832</v>
      </c>
      <c r="C1822" s="82" t="s">
        <v>1499</v>
      </c>
      <c r="D1822" s="82" t="s">
        <v>702</v>
      </c>
      <c r="E1822" s="82" t="s">
        <v>1490</v>
      </c>
      <c r="F1822" s="82" t="s">
        <v>1631</v>
      </c>
      <c r="G1822" s="82" t="s">
        <v>1513</v>
      </c>
      <c r="H1822" s="83"/>
      <c r="I1822" s="226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  <c r="X1822" s="83"/>
      <c r="Y1822" s="83"/>
      <c r="Z1822" s="83"/>
      <c r="AA1822" s="83"/>
      <c r="AB1822" s="83"/>
      <c r="AC1822" s="83"/>
      <c r="AD1822" s="83"/>
      <c r="AE1822" s="84"/>
    </row>
    <row r="1823" spans="1:31" x14ac:dyDescent="0.3">
      <c r="A1823" s="72" t="s">
        <v>1039</v>
      </c>
      <c r="B1823" s="73" t="s">
        <v>2196</v>
      </c>
      <c r="C1823" s="74" t="s">
        <v>1479</v>
      </c>
      <c r="D1823" s="74" t="s">
        <v>1040</v>
      </c>
      <c r="E1823" s="74" t="s">
        <v>1480</v>
      </c>
      <c r="F1823" s="74"/>
      <c r="G1823" s="74" t="s">
        <v>1481</v>
      </c>
      <c r="H1823" s="73" t="s">
        <v>1575</v>
      </c>
      <c r="I1823" s="226"/>
      <c r="J1823" s="73" t="s">
        <v>1038</v>
      </c>
      <c r="K1823" s="73">
        <v>157</v>
      </c>
      <c r="L1823" s="73" t="s">
        <v>195</v>
      </c>
      <c r="M1823" s="73" t="s">
        <v>1483</v>
      </c>
      <c r="N1823" s="73" t="s">
        <v>1483</v>
      </c>
      <c r="O1823" s="73" t="s">
        <v>1483</v>
      </c>
      <c r="P1823" s="73" t="s">
        <v>1483</v>
      </c>
      <c r="Q1823" s="73" t="s">
        <v>1483</v>
      </c>
      <c r="R1823" s="73" t="s">
        <v>1483</v>
      </c>
      <c r="S1823" s="73" t="s">
        <v>1484</v>
      </c>
      <c r="T1823" s="73" t="s">
        <v>1484</v>
      </c>
      <c r="U1823" s="73" t="s">
        <v>1484</v>
      </c>
      <c r="V1823" s="73" t="s">
        <v>1484</v>
      </c>
      <c r="W1823" s="73" t="s">
        <v>1485</v>
      </c>
      <c r="X1823" s="73" t="s">
        <v>1484</v>
      </c>
      <c r="Y1823" s="73" t="s">
        <v>1484</v>
      </c>
      <c r="Z1823" s="73" t="s">
        <v>1484</v>
      </c>
      <c r="AA1823" s="73" t="s">
        <v>1485</v>
      </c>
      <c r="AB1823" s="73" t="s">
        <v>1484</v>
      </c>
      <c r="AC1823" s="73" t="s">
        <v>1486</v>
      </c>
      <c r="AD1823" s="73" t="s">
        <v>1487</v>
      </c>
      <c r="AE1823" s="75" t="s">
        <v>1579</v>
      </c>
    </row>
    <row r="1824" spans="1:31" x14ac:dyDescent="0.3">
      <c r="A1824" s="76"/>
      <c r="B1824" s="77"/>
      <c r="C1824" s="78" t="s">
        <v>1493</v>
      </c>
      <c r="D1824" s="78" t="s">
        <v>168</v>
      </c>
      <c r="E1824" s="78" t="s">
        <v>1503</v>
      </c>
      <c r="F1824" s="78" t="s">
        <v>1495</v>
      </c>
      <c r="G1824" s="78" t="s">
        <v>1492</v>
      </c>
      <c r="H1824" s="77"/>
      <c r="I1824" s="226"/>
      <c r="J1824" s="77"/>
      <c r="K1824" s="77"/>
      <c r="L1824" s="77"/>
      <c r="M1824" s="77"/>
      <c r="N1824" s="77"/>
      <c r="O1824" s="77"/>
      <c r="P1824" s="77"/>
      <c r="Q1824" s="77"/>
      <c r="R1824" s="77"/>
      <c r="S1824" s="77"/>
      <c r="T1824" s="77"/>
      <c r="U1824" s="77"/>
      <c r="V1824" s="77"/>
      <c r="W1824" s="77"/>
      <c r="X1824" s="77"/>
      <c r="Y1824" s="77"/>
      <c r="Z1824" s="77"/>
      <c r="AA1824" s="77"/>
      <c r="AB1824" s="77"/>
      <c r="AC1824" s="77"/>
      <c r="AD1824" s="77"/>
      <c r="AE1824" s="79"/>
    </row>
    <row r="1825" spans="1:31" x14ac:dyDescent="0.3">
      <c r="A1825" s="76"/>
      <c r="B1825" s="77"/>
      <c r="C1825" s="78" t="s">
        <v>1496</v>
      </c>
      <c r="D1825" s="78" t="s">
        <v>501</v>
      </c>
      <c r="E1825" s="78" t="s">
        <v>1986</v>
      </c>
      <c r="F1825" s="78" t="s">
        <v>1611</v>
      </c>
      <c r="G1825" s="78" t="s">
        <v>1492</v>
      </c>
      <c r="H1825" s="77"/>
      <c r="I1825" s="226"/>
      <c r="J1825" s="77"/>
      <c r="K1825" s="77"/>
      <c r="L1825" s="77"/>
      <c r="M1825" s="77"/>
      <c r="N1825" s="77"/>
      <c r="O1825" s="77"/>
      <c r="P1825" s="77"/>
      <c r="Q1825" s="77"/>
      <c r="R1825" s="77"/>
      <c r="S1825" s="77"/>
      <c r="T1825" s="77"/>
      <c r="U1825" s="77"/>
      <c r="V1825" s="77"/>
      <c r="W1825" s="77"/>
      <c r="X1825" s="77"/>
      <c r="Y1825" s="77"/>
      <c r="Z1825" s="77"/>
      <c r="AA1825" s="77"/>
      <c r="AB1825" s="77"/>
      <c r="AC1825" s="77"/>
      <c r="AD1825" s="77"/>
      <c r="AE1825" s="79"/>
    </row>
    <row r="1826" spans="1:31" x14ac:dyDescent="0.3">
      <c r="A1826" s="76"/>
      <c r="B1826" s="77"/>
      <c r="C1826" s="78" t="s">
        <v>1499</v>
      </c>
      <c r="D1826" s="78" t="s">
        <v>748</v>
      </c>
      <c r="E1826" s="78" t="s">
        <v>1620</v>
      </c>
      <c r="F1826" s="78" t="s">
        <v>1495</v>
      </c>
      <c r="G1826" s="78" t="s">
        <v>1492</v>
      </c>
      <c r="H1826" s="77"/>
      <c r="I1826" s="226"/>
      <c r="J1826" s="77"/>
      <c r="K1826" s="77"/>
      <c r="L1826" s="77"/>
      <c r="M1826" s="77"/>
      <c r="N1826" s="77"/>
      <c r="O1826" s="77"/>
      <c r="P1826" s="77"/>
      <c r="Q1826" s="77"/>
      <c r="R1826" s="77"/>
      <c r="S1826" s="77"/>
      <c r="T1826" s="77"/>
      <c r="U1826" s="77"/>
      <c r="V1826" s="77"/>
      <c r="W1826" s="77"/>
      <c r="X1826" s="77"/>
      <c r="Y1826" s="77"/>
      <c r="Z1826" s="77"/>
      <c r="AA1826" s="77"/>
      <c r="AB1826" s="77"/>
      <c r="AC1826" s="77"/>
      <c r="AD1826" s="77"/>
      <c r="AE1826" s="79"/>
    </row>
    <row r="1827" spans="1:31" ht="15" thickBot="1" x14ac:dyDescent="0.35">
      <c r="A1827" s="76"/>
      <c r="B1827" s="77"/>
      <c r="C1827" s="78" t="s">
        <v>1502</v>
      </c>
      <c r="D1827" s="78" t="s">
        <v>130</v>
      </c>
      <c r="E1827" s="78" t="s">
        <v>1500</v>
      </c>
      <c r="F1827" s="78" t="s">
        <v>1501</v>
      </c>
      <c r="G1827" s="78" t="s">
        <v>1492</v>
      </c>
      <c r="H1827" s="77"/>
      <c r="I1827" s="227"/>
      <c r="J1827" s="77"/>
      <c r="K1827" s="77"/>
      <c r="L1827" s="77"/>
      <c r="M1827" s="77"/>
      <c r="N1827" s="77"/>
      <c r="O1827" s="77"/>
      <c r="P1827" s="77"/>
      <c r="Q1827" s="77"/>
      <c r="R1827" s="77"/>
      <c r="S1827" s="77"/>
      <c r="T1827" s="77"/>
      <c r="U1827" s="77"/>
      <c r="V1827" s="77"/>
      <c r="W1827" s="77"/>
      <c r="X1827" s="77"/>
      <c r="Y1827" s="77"/>
      <c r="Z1827" s="77"/>
      <c r="AA1827" s="77"/>
      <c r="AB1827" s="77"/>
      <c r="AC1827" s="77"/>
      <c r="AD1827" s="77"/>
      <c r="AE1827" s="79"/>
    </row>
    <row r="1828" spans="1:31" x14ac:dyDescent="0.3">
      <c r="A1828" s="76"/>
      <c r="B1828" s="77"/>
      <c r="C1828" s="78" t="s">
        <v>1504</v>
      </c>
      <c r="D1828" s="78" t="s">
        <v>681</v>
      </c>
      <c r="E1828" s="78" t="s">
        <v>1490</v>
      </c>
      <c r="F1828" s="78" t="s">
        <v>1528</v>
      </c>
      <c r="G1828" s="78" t="s">
        <v>1492</v>
      </c>
      <c r="H1828" s="77"/>
      <c r="I1828" s="225" t="s">
        <v>1485</v>
      </c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U1828" s="77"/>
      <c r="V1828" s="77"/>
      <c r="W1828" s="77"/>
      <c r="X1828" s="77"/>
      <c r="Y1828" s="77"/>
      <c r="Z1828" s="77"/>
      <c r="AA1828" s="77"/>
      <c r="AB1828" s="77"/>
      <c r="AC1828" s="77"/>
      <c r="AD1828" s="77"/>
      <c r="AE1828" s="79"/>
    </row>
    <row r="1829" spans="1:31" x14ac:dyDescent="0.3">
      <c r="A1829" s="76"/>
      <c r="B1829" s="80"/>
      <c r="C1829" s="78" t="s">
        <v>1507</v>
      </c>
      <c r="D1829" s="78" t="s">
        <v>315</v>
      </c>
      <c r="E1829" s="78" t="s">
        <v>1500</v>
      </c>
      <c r="F1829" s="78" t="s">
        <v>1501</v>
      </c>
      <c r="G1829" s="78" t="s">
        <v>1492</v>
      </c>
      <c r="H1829" s="77"/>
      <c r="I1829" s="226"/>
      <c r="J1829" s="77"/>
      <c r="K1829" s="77"/>
      <c r="L1829" s="77"/>
      <c r="M1829" s="77"/>
      <c r="N1829" s="77"/>
      <c r="O1829" s="77"/>
      <c r="P1829" s="77"/>
      <c r="Q1829" s="77"/>
      <c r="R1829" s="77"/>
      <c r="S1829" s="77"/>
      <c r="T1829" s="77"/>
      <c r="U1829" s="77"/>
      <c r="V1829" s="77"/>
      <c r="W1829" s="77"/>
      <c r="X1829" s="77"/>
      <c r="Y1829" s="77"/>
      <c r="Z1829" s="77"/>
      <c r="AA1829" s="77"/>
      <c r="AB1829" s="77"/>
      <c r="AC1829" s="77"/>
      <c r="AD1829" s="77"/>
      <c r="AE1829" s="79"/>
    </row>
    <row r="1830" spans="1:31" x14ac:dyDescent="0.3">
      <c r="A1830" s="76"/>
      <c r="B1830" s="78" t="s">
        <v>1485</v>
      </c>
      <c r="C1830" s="78" t="s">
        <v>1485</v>
      </c>
      <c r="D1830" s="78" t="s">
        <v>1041</v>
      </c>
      <c r="E1830" s="78" t="s">
        <v>1709</v>
      </c>
      <c r="F1830" s="78" t="s">
        <v>1512</v>
      </c>
      <c r="G1830" s="78" t="s">
        <v>1513</v>
      </c>
      <c r="H1830" s="77"/>
      <c r="I1830" s="226"/>
      <c r="J1830" s="77"/>
      <c r="K1830" s="77"/>
      <c r="L1830" s="77"/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  <c r="AA1830" s="77"/>
      <c r="AB1830" s="77"/>
      <c r="AC1830" s="77"/>
      <c r="AD1830" s="77"/>
      <c r="AE1830" s="79"/>
    </row>
    <row r="1831" spans="1:31" x14ac:dyDescent="0.3">
      <c r="A1831" s="76"/>
      <c r="B1831" s="78" t="s">
        <v>1682</v>
      </c>
      <c r="C1831" s="78" t="s">
        <v>1496</v>
      </c>
      <c r="D1831" s="78" t="s">
        <v>168</v>
      </c>
      <c r="E1831" s="78" t="s">
        <v>1503</v>
      </c>
      <c r="F1831" s="78" t="s">
        <v>1495</v>
      </c>
      <c r="G1831" s="78" t="s">
        <v>1513</v>
      </c>
      <c r="H1831" s="77"/>
      <c r="I1831" s="226"/>
      <c r="J1831" s="77"/>
      <c r="K1831" s="77"/>
      <c r="L1831" s="77"/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  <c r="AA1831" s="77"/>
      <c r="AB1831" s="77"/>
      <c r="AC1831" s="77"/>
      <c r="AD1831" s="77"/>
      <c r="AE1831" s="79"/>
    </row>
    <row r="1832" spans="1:31" x14ac:dyDescent="0.3">
      <c r="A1832" s="76"/>
      <c r="B1832" s="78" t="s">
        <v>2066</v>
      </c>
      <c r="C1832" s="78" t="s">
        <v>1496</v>
      </c>
      <c r="D1832" s="78" t="s">
        <v>748</v>
      </c>
      <c r="E1832" s="78" t="s">
        <v>1620</v>
      </c>
      <c r="F1832" s="78" t="s">
        <v>1495</v>
      </c>
      <c r="G1832" s="78" t="s">
        <v>1513</v>
      </c>
      <c r="H1832" s="77"/>
      <c r="I1832" s="226"/>
      <c r="J1832" s="77"/>
      <c r="K1832" s="77"/>
      <c r="L1832" s="77"/>
      <c r="M1832" s="77"/>
      <c r="N1832" s="77"/>
      <c r="O1832" s="77"/>
      <c r="P1832" s="77"/>
      <c r="Q1832" s="77"/>
      <c r="R1832" s="77"/>
      <c r="S1832" s="77"/>
      <c r="T1832" s="77"/>
      <c r="U1832" s="77"/>
      <c r="V1832" s="77"/>
      <c r="W1832" s="77"/>
      <c r="X1832" s="77"/>
      <c r="Y1832" s="77"/>
      <c r="Z1832" s="77"/>
      <c r="AA1832" s="77"/>
      <c r="AB1832" s="77"/>
      <c r="AC1832" s="77"/>
      <c r="AD1832" s="77"/>
      <c r="AE1832" s="79"/>
    </row>
    <row r="1833" spans="1:31" x14ac:dyDescent="0.3">
      <c r="A1833" s="76"/>
      <c r="B1833" s="78" t="s">
        <v>1570</v>
      </c>
      <c r="C1833" s="78" t="s">
        <v>2197</v>
      </c>
      <c r="D1833" s="78" t="s">
        <v>130</v>
      </c>
      <c r="E1833" s="78" t="s">
        <v>1500</v>
      </c>
      <c r="F1833" s="78" t="s">
        <v>1501</v>
      </c>
      <c r="G1833" s="78" t="s">
        <v>1513</v>
      </c>
      <c r="H1833" s="77"/>
      <c r="I1833" s="226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7"/>
      <c r="AE1833" s="79"/>
    </row>
    <row r="1834" spans="1:31" x14ac:dyDescent="0.3">
      <c r="A1834" s="76"/>
      <c r="B1834" s="78" t="s">
        <v>1945</v>
      </c>
      <c r="C1834" s="78" t="s">
        <v>1504</v>
      </c>
      <c r="D1834" s="78" t="s">
        <v>315</v>
      </c>
      <c r="E1834" s="78" t="s">
        <v>1500</v>
      </c>
      <c r="F1834" s="78" t="s">
        <v>1501</v>
      </c>
      <c r="G1834" s="78" t="s">
        <v>1513</v>
      </c>
      <c r="H1834" s="77"/>
      <c r="I1834" s="226"/>
      <c r="J1834" s="77"/>
      <c r="K1834" s="77"/>
      <c r="L1834" s="77"/>
      <c r="M1834" s="77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  <c r="AA1834" s="77"/>
      <c r="AB1834" s="77"/>
      <c r="AC1834" s="77"/>
      <c r="AD1834" s="77"/>
      <c r="AE1834" s="79"/>
    </row>
    <row r="1835" spans="1:31" ht="15" thickBot="1" x14ac:dyDescent="0.35">
      <c r="A1835" s="81"/>
      <c r="B1835" s="82" t="s">
        <v>1540</v>
      </c>
      <c r="C1835" s="82" t="s">
        <v>1496</v>
      </c>
      <c r="D1835" s="82" t="s">
        <v>681</v>
      </c>
      <c r="E1835" s="82" t="s">
        <v>1490</v>
      </c>
      <c r="F1835" s="82" t="s">
        <v>1528</v>
      </c>
      <c r="G1835" s="82" t="s">
        <v>1513</v>
      </c>
      <c r="H1835" s="83"/>
      <c r="I1835" s="227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  <c r="X1835" s="83"/>
      <c r="Y1835" s="83"/>
      <c r="Z1835" s="83"/>
      <c r="AA1835" s="83"/>
      <c r="AB1835" s="83"/>
      <c r="AC1835" s="83"/>
      <c r="AD1835" s="83"/>
      <c r="AE1835" s="84"/>
    </row>
    <row r="1836" spans="1:31" x14ac:dyDescent="0.3">
      <c r="A1836" s="72" t="s">
        <v>1044</v>
      </c>
      <c r="B1836" s="73" t="s">
        <v>2198</v>
      </c>
      <c r="C1836" s="74" t="s">
        <v>1479</v>
      </c>
      <c r="D1836" s="74" t="s">
        <v>1045</v>
      </c>
      <c r="E1836" s="74" t="s">
        <v>1480</v>
      </c>
      <c r="F1836" s="74"/>
      <c r="G1836" s="74" t="s">
        <v>1481</v>
      </c>
      <c r="H1836" s="73" t="s">
        <v>1482</v>
      </c>
      <c r="I1836" s="225" t="s">
        <v>1485</v>
      </c>
      <c r="J1836" s="73" t="s">
        <v>1043</v>
      </c>
      <c r="K1836" s="73">
        <v>158</v>
      </c>
      <c r="L1836" s="73" t="s">
        <v>195</v>
      </c>
      <c r="M1836" s="73" t="s">
        <v>1483</v>
      </c>
      <c r="N1836" s="73" t="s">
        <v>1483</v>
      </c>
      <c r="O1836" s="73" t="s">
        <v>1483</v>
      </c>
      <c r="P1836" s="73" t="s">
        <v>1483</v>
      </c>
      <c r="Q1836" s="73" t="s">
        <v>1483</v>
      </c>
      <c r="R1836" s="73" t="s">
        <v>1483</v>
      </c>
      <c r="S1836" s="73" t="s">
        <v>1484</v>
      </c>
      <c r="T1836" s="73" t="s">
        <v>1484</v>
      </c>
      <c r="U1836" s="73" t="s">
        <v>1484</v>
      </c>
      <c r="V1836" s="73" t="s">
        <v>1484</v>
      </c>
      <c r="W1836" s="73" t="s">
        <v>1485</v>
      </c>
      <c r="X1836" s="73" t="s">
        <v>1484</v>
      </c>
      <c r="Y1836" s="73" t="s">
        <v>1484</v>
      </c>
      <c r="Z1836" s="73" t="s">
        <v>1485</v>
      </c>
      <c r="AA1836" s="73" t="s">
        <v>1485</v>
      </c>
      <c r="AB1836" s="73" t="s">
        <v>1484</v>
      </c>
      <c r="AC1836" s="73" t="s">
        <v>1486</v>
      </c>
      <c r="AD1836" s="73" t="s">
        <v>1487</v>
      </c>
      <c r="AE1836" s="75" t="s">
        <v>1488</v>
      </c>
    </row>
    <row r="1837" spans="1:31" x14ac:dyDescent="0.3">
      <c r="A1837" s="76"/>
      <c r="B1837" s="77"/>
      <c r="C1837" s="78" t="s">
        <v>1493</v>
      </c>
      <c r="D1837" s="78" t="s">
        <v>150</v>
      </c>
      <c r="E1837" s="78" t="s">
        <v>1503</v>
      </c>
      <c r="F1837" s="78" t="s">
        <v>1495</v>
      </c>
      <c r="G1837" s="78" t="s">
        <v>1492</v>
      </c>
      <c r="H1837" s="77"/>
      <c r="I1837" s="226"/>
      <c r="J1837" s="77"/>
      <c r="K1837" s="77"/>
      <c r="L1837" s="77"/>
      <c r="M1837" s="77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  <c r="AA1837" s="77"/>
      <c r="AB1837" s="77"/>
      <c r="AC1837" s="77"/>
      <c r="AD1837" s="77"/>
      <c r="AE1837" s="79"/>
    </row>
    <row r="1838" spans="1:31" x14ac:dyDescent="0.3">
      <c r="A1838" s="76"/>
      <c r="B1838" s="77"/>
      <c r="C1838" s="78" t="s">
        <v>1499</v>
      </c>
      <c r="D1838" s="78" t="s">
        <v>759</v>
      </c>
      <c r="E1838" s="78" t="s">
        <v>1620</v>
      </c>
      <c r="F1838" s="78" t="s">
        <v>1495</v>
      </c>
      <c r="G1838" s="78" t="s">
        <v>1492</v>
      </c>
      <c r="H1838" s="77"/>
      <c r="I1838" s="226"/>
      <c r="J1838" s="77"/>
      <c r="K1838" s="77"/>
      <c r="L1838" s="77"/>
      <c r="M1838" s="77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  <c r="AA1838" s="77"/>
      <c r="AB1838" s="77"/>
      <c r="AC1838" s="77"/>
      <c r="AD1838" s="77"/>
      <c r="AE1838" s="79"/>
    </row>
    <row r="1839" spans="1:31" x14ac:dyDescent="0.3">
      <c r="A1839" s="76"/>
      <c r="B1839" s="80"/>
      <c r="C1839" s="78" t="s">
        <v>1504</v>
      </c>
      <c r="D1839" s="78" t="s">
        <v>687</v>
      </c>
      <c r="E1839" s="78" t="s">
        <v>1490</v>
      </c>
      <c r="F1839" s="78" t="s">
        <v>1619</v>
      </c>
      <c r="G1839" s="78" t="s">
        <v>1492</v>
      </c>
      <c r="H1839" s="77"/>
      <c r="I1839" s="226"/>
      <c r="J1839" s="77"/>
      <c r="K1839" s="77"/>
      <c r="L1839" s="77"/>
      <c r="M1839" s="77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  <c r="AA1839" s="77"/>
      <c r="AB1839" s="77"/>
      <c r="AC1839" s="77"/>
      <c r="AD1839" s="77"/>
      <c r="AE1839" s="79"/>
    </row>
    <row r="1840" spans="1:31" x14ac:dyDescent="0.3">
      <c r="A1840" s="76"/>
      <c r="B1840" s="78" t="s">
        <v>1485</v>
      </c>
      <c r="C1840" s="78" t="s">
        <v>1485</v>
      </c>
      <c r="D1840" s="78" t="s">
        <v>2199</v>
      </c>
      <c r="E1840" s="78" t="s">
        <v>1534</v>
      </c>
      <c r="F1840" s="78" t="s">
        <v>1535</v>
      </c>
      <c r="G1840" s="78" t="s">
        <v>1513</v>
      </c>
      <c r="H1840" s="77"/>
      <c r="I1840" s="226"/>
      <c r="J1840" s="77"/>
      <c r="K1840" s="77"/>
      <c r="L1840" s="77"/>
      <c r="M1840" s="77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  <c r="AA1840" s="77"/>
      <c r="AB1840" s="77"/>
      <c r="AC1840" s="77"/>
      <c r="AD1840" s="77"/>
      <c r="AE1840" s="79"/>
    </row>
    <row r="1841" spans="1:31" x14ac:dyDescent="0.3">
      <c r="A1841" s="76"/>
      <c r="B1841" s="78" t="s">
        <v>1485</v>
      </c>
      <c r="C1841" s="78" t="s">
        <v>1485</v>
      </c>
      <c r="D1841" s="78" t="s">
        <v>2200</v>
      </c>
      <c r="E1841" s="78" t="s">
        <v>1709</v>
      </c>
      <c r="F1841" s="78" t="s">
        <v>1623</v>
      </c>
      <c r="G1841" s="78" t="s">
        <v>1513</v>
      </c>
      <c r="H1841" s="77"/>
      <c r="I1841" s="226"/>
      <c r="J1841" s="77"/>
      <c r="K1841" s="77"/>
      <c r="L1841" s="77"/>
      <c r="M1841" s="77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  <c r="AA1841" s="77"/>
      <c r="AB1841" s="77"/>
      <c r="AC1841" s="77"/>
      <c r="AD1841" s="77"/>
      <c r="AE1841" s="79"/>
    </row>
    <row r="1842" spans="1:31" x14ac:dyDescent="0.3">
      <c r="A1842" s="76"/>
      <c r="B1842" s="78" t="s">
        <v>1985</v>
      </c>
      <c r="C1842" s="78" t="s">
        <v>1496</v>
      </c>
      <c r="D1842" s="78" t="s">
        <v>512</v>
      </c>
      <c r="E1842" s="78" t="s">
        <v>1986</v>
      </c>
      <c r="F1842" s="78" t="s">
        <v>1600</v>
      </c>
      <c r="G1842" s="78" t="s">
        <v>1513</v>
      </c>
      <c r="H1842" s="77"/>
      <c r="I1842" s="226"/>
      <c r="J1842" s="77"/>
      <c r="K1842" s="77"/>
      <c r="L1842" s="77"/>
      <c r="M1842" s="77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  <c r="AA1842" s="77"/>
      <c r="AB1842" s="77"/>
      <c r="AC1842" s="77"/>
      <c r="AD1842" s="77"/>
      <c r="AE1842" s="79"/>
    </row>
    <row r="1843" spans="1:31" x14ac:dyDescent="0.3">
      <c r="A1843" s="76"/>
      <c r="B1843" s="78" t="s">
        <v>1786</v>
      </c>
      <c r="C1843" s="78" t="s">
        <v>1493</v>
      </c>
      <c r="D1843" s="78" t="s">
        <v>150</v>
      </c>
      <c r="E1843" s="78" t="s">
        <v>1503</v>
      </c>
      <c r="F1843" s="78" t="s">
        <v>1495</v>
      </c>
      <c r="G1843" s="78" t="s">
        <v>1513</v>
      </c>
      <c r="H1843" s="77"/>
      <c r="I1843" s="226"/>
      <c r="J1843" s="77"/>
      <c r="K1843" s="77"/>
      <c r="L1843" s="77"/>
      <c r="M1843" s="77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  <c r="AA1843" s="77"/>
      <c r="AB1843" s="77"/>
      <c r="AC1843" s="77"/>
      <c r="AD1843" s="77"/>
      <c r="AE1843" s="79"/>
    </row>
    <row r="1844" spans="1:31" ht="15" thickBot="1" x14ac:dyDescent="0.35">
      <c r="A1844" s="76"/>
      <c r="B1844" s="78" t="s">
        <v>2068</v>
      </c>
      <c r="C1844" s="78" t="s">
        <v>1493</v>
      </c>
      <c r="D1844" s="78" t="s">
        <v>759</v>
      </c>
      <c r="E1844" s="78" t="s">
        <v>1620</v>
      </c>
      <c r="F1844" s="78" t="s">
        <v>1495</v>
      </c>
      <c r="G1844" s="78" t="s">
        <v>1513</v>
      </c>
      <c r="H1844" s="77"/>
      <c r="I1844" s="227"/>
      <c r="J1844" s="77"/>
      <c r="K1844" s="77"/>
      <c r="L1844" s="77"/>
      <c r="M1844" s="77"/>
      <c r="N1844" s="77"/>
      <c r="O1844" s="77"/>
      <c r="P1844" s="77"/>
      <c r="Q1844" s="77"/>
      <c r="R1844" s="77"/>
      <c r="S1844" s="77"/>
      <c r="T1844" s="77"/>
      <c r="U1844" s="77"/>
      <c r="V1844" s="77"/>
      <c r="W1844" s="77"/>
      <c r="X1844" s="77"/>
      <c r="Y1844" s="77"/>
      <c r="Z1844" s="77"/>
      <c r="AA1844" s="77"/>
      <c r="AB1844" s="77"/>
      <c r="AC1844" s="77"/>
      <c r="AD1844" s="77"/>
      <c r="AE1844" s="79"/>
    </row>
    <row r="1845" spans="1:31" ht="15" thickBot="1" x14ac:dyDescent="0.35">
      <c r="A1845" s="81"/>
      <c r="B1845" s="82" t="s">
        <v>1839</v>
      </c>
      <c r="C1845" s="82" t="s">
        <v>1496</v>
      </c>
      <c r="D1845" s="82" t="s">
        <v>687</v>
      </c>
      <c r="E1845" s="82" t="s">
        <v>1490</v>
      </c>
      <c r="F1845" s="82" t="s">
        <v>1619</v>
      </c>
      <c r="G1845" s="82" t="s">
        <v>1513</v>
      </c>
      <c r="H1845" s="83"/>
      <c r="I1845" s="225" t="s">
        <v>1485</v>
      </c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  <c r="X1845" s="83"/>
      <c r="Y1845" s="83"/>
      <c r="Z1845" s="83"/>
      <c r="AA1845" s="83"/>
      <c r="AB1845" s="83"/>
      <c r="AC1845" s="83"/>
      <c r="AD1845" s="83"/>
      <c r="AE1845" s="84"/>
    </row>
    <row r="1846" spans="1:31" x14ac:dyDescent="0.3">
      <c r="A1846" s="72" t="s">
        <v>1076</v>
      </c>
      <c r="B1846" s="73" t="s">
        <v>2201</v>
      </c>
      <c r="C1846" s="74" t="s">
        <v>1479</v>
      </c>
      <c r="D1846" s="74" t="s">
        <v>1077</v>
      </c>
      <c r="E1846" s="74" t="s">
        <v>1480</v>
      </c>
      <c r="F1846" s="74"/>
      <c r="G1846" s="74" t="s">
        <v>1481</v>
      </c>
      <c r="H1846" s="73" t="s">
        <v>1482</v>
      </c>
      <c r="I1846" s="226"/>
      <c r="J1846" s="73" t="s">
        <v>1075</v>
      </c>
      <c r="K1846" s="73">
        <v>164</v>
      </c>
      <c r="L1846" s="73" t="s">
        <v>195</v>
      </c>
      <c r="M1846" s="73" t="s">
        <v>1483</v>
      </c>
      <c r="N1846" s="73" t="s">
        <v>1483</v>
      </c>
      <c r="O1846" s="73" t="s">
        <v>1483</v>
      </c>
      <c r="P1846" s="73" t="s">
        <v>1483</v>
      </c>
      <c r="Q1846" s="73" t="s">
        <v>1483</v>
      </c>
      <c r="R1846" s="73" t="s">
        <v>1483</v>
      </c>
      <c r="S1846" s="73" t="s">
        <v>1484</v>
      </c>
      <c r="T1846" s="73" t="s">
        <v>1484</v>
      </c>
      <c r="U1846" s="73" t="s">
        <v>1484</v>
      </c>
      <c r="V1846" s="73" t="s">
        <v>1484</v>
      </c>
      <c r="W1846" s="73" t="s">
        <v>1485</v>
      </c>
      <c r="X1846" s="73" t="s">
        <v>1484</v>
      </c>
      <c r="Y1846" s="73" t="s">
        <v>1484</v>
      </c>
      <c r="Z1846" s="73" t="s">
        <v>1485</v>
      </c>
      <c r="AA1846" s="73" t="s">
        <v>1485</v>
      </c>
      <c r="AB1846" s="73" t="s">
        <v>1484</v>
      </c>
      <c r="AC1846" s="73" t="s">
        <v>1486</v>
      </c>
      <c r="AD1846" s="73" t="s">
        <v>1487</v>
      </c>
      <c r="AE1846" s="75" t="s">
        <v>1488</v>
      </c>
    </row>
    <row r="1847" spans="1:31" x14ac:dyDescent="0.3">
      <c r="A1847" s="76"/>
      <c r="B1847" s="77"/>
      <c r="C1847" s="78" t="s">
        <v>1493</v>
      </c>
      <c r="D1847" s="78" t="s">
        <v>723</v>
      </c>
      <c r="E1847" s="78" t="s">
        <v>1503</v>
      </c>
      <c r="F1847" s="78" t="s">
        <v>1495</v>
      </c>
      <c r="G1847" s="78" t="s">
        <v>1492</v>
      </c>
      <c r="H1847" s="77"/>
      <c r="I1847" s="226"/>
      <c r="J1847" s="77"/>
      <c r="K1847" s="77"/>
      <c r="L1847" s="77"/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  <c r="AA1847" s="77"/>
      <c r="AB1847" s="77"/>
      <c r="AC1847" s="77"/>
      <c r="AD1847" s="77"/>
      <c r="AE1847" s="79"/>
    </row>
    <row r="1848" spans="1:31" x14ac:dyDescent="0.3">
      <c r="A1848" s="76"/>
      <c r="B1848" s="80"/>
      <c r="C1848" s="78" t="s">
        <v>1499</v>
      </c>
      <c r="D1848" s="78" t="s">
        <v>770</v>
      </c>
      <c r="E1848" s="78" t="s">
        <v>1620</v>
      </c>
      <c r="F1848" s="78" t="s">
        <v>1495</v>
      </c>
      <c r="G1848" s="78" t="s">
        <v>1492</v>
      </c>
      <c r="H1848" s="77"/>
      <c r="I1848" s="226"/>
      <c r="J1848" s="77"/>
      <c r="K1848" s="77"/>
      <c r="L1848" s="77"/>
      <c r="M1848" s="77"/>
      <c r="N1848" s="77"/>
      <c r="O1848" s="77"/>
      <c r="P1848" s="77"/>
      <c r="Q1848" s="77"/>
      <c r="R1848" s="77"/>
      <c r="S1848" s="77"/>
      <c r="T1848" s="77"/>
      <c r="U1848" s="77"/>
      <c r="V1848" s="77"/>
      <c r="W1848" s="77"/>
      <c r="X1848" s="77"/>
      <c r="Y1848" s="77"/>
      <c r="Z1848" s="77"/>
      <c r="AA1848" s="77"/>
      <c r="AB1848" s="77"/>
      <c r="AC1848" s="77"/>
      <c r="AD1848" s="77"/>
      <c r="AE1848" s="79"/>
    </row>
    <row r="1849" spans="1:31" x14ac:dyDescent="0.3">
      <c r="A1849" s="76"/>
      <c r="B1849" s="78" t="s">
        <v>1485</v>
      </c>
      <c r="C1849" s="78" t="s">
        <v>1485</v>
      </c>
      <c r="D1849" s="78" t="s">
        <v>1078</v>
      </c>
      <c r="E1849" s="78" t="s">
        <v>1709</v>
      </c>
      <c r="F1849" s="78" t="s">
        <v>1623</v>
      </c>
      <c r="G1849" s="78" t="s">
        <v>1513</v>
      </c>
      <c r="H1849" s="77"/>
      <c r="I1849" s="226"/>
      <c r="J1849" s="77"/>
      <c r="K1849" s="77"/>
      <c r="L1849" s="77"/>
      <c r="M1849" s="77"/>
      <c r="N1849" s="77"/>
      <c r="O1849" s="77"/>
      <c r="P1849" s="77"/>
      <c r="Q1849" s="77"/>
      <c r="R1849" s="77"/>
      <c r="S1849" s="77"/>
      <c r="T1849" s="77"/>
      <c r="U1849" s="77"/>
      <c r="V1849" s="77"/>
      <c r="W1849" s="77"/>
      <c r="X1849" s="77"/>
      <c r="Y1849" s="77"/>
      <c r="Z1849" s="77"/>
      <c r="AA1849" s="77"/>
      <c r="AB1849" s="77"/>
      <c r="AC1849" s="77"/>
      <c r="AD1849" s="77"/>
      <c r="AE1849" s="79"/>
    </row>
    <row r="1850" spans="1:31" x14ac:dyDescent="0.3">
      <c r="A1850" s="76"/>
      <c r="B1850" s="78" t="s">
        <v>1735</v>
      </c>
      <c r="C1850" s="78" t="s">
        <v>1496</v>
      </c>
      <c r="D1850" s="78" t="s">
        <v>723</v>
      </c>
      <c r="E1850" s="78" t="s">
        <v>1503</v>
      </c>
      <c r="F1850" s="78" t="s">
        <v>1495</v>
      </c>
      <c r="G1850" s="78" t="s">
        <v>1513</v>
      </c>
      <c r="H1850" s="77"/>
      <c r="I1850" s="226"/>
      <c r="J1850" s="77"/>
      <c r="K1850" s="77"/>
      <c r="L1850" s="77"/>
      <c r="M1850" s="77"/>
      <c r="N1850" s="77"/>
      <c r="O1850" s="77"/>
      <c r="P1850" s="77"/>
      <c r="Q1850" s="77"/>
      <c r="R1850" s="77"/>
      <c r="S1850" s="77"/>
      <c r="T1850" s="77"/>
      <c r="U1850" s="77"/>
      <c r="V1850" s="77"/>
      <c r="W1850" s="77"/>
      <c r="X1850" s="77"/>
      <c r="Y1850" s="77"/>
      <c r="Z1850" s="77"/>
      <c r="AA1850" s="77"/>
      <c r="AB1850" s="77"/>
      <c r="AC1850" s="77"/>
      <c r="AD1850" s="77"/>
      <c r="AE1850" s="79"/>
    </row>
    <row r="1851" spans="1:31" ht="15" thickBot="1" x14ac:dyDescent="0.35">
      <c r="A1851" s="81"/>
      <c r="B1851" s="82" t="s">
        <v>2072</v>
      </c>
      <c r="C1851" s="82" t="s">
        <v>1496</v>
      </c>
      <c r="D1851" s="82" t="s">
        <v>770</v>
      </c>
      <c r="E1851" s="82" t="s">
        <v>1620</v>
      </c>
      <c r="F1851" s="82" t="s">
        <v>1495</v>
      </c>
      <c r="G1851" s="82" t="s">
        <v>1513</v>
      </c>
      <c r="H1851" s="83"/>
      <c r="I1851" s="226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  <c r="X1851" s="83"/>
      <c r="Y1851" s="83"/>
      <c r="Z1851" s="83"/>
      <c r="AA1851" s="83"/>
      <c r="AB1851" s="83"/>
      <c r="AC1851" s="83"/>
      <c r="AD1851" s="83"/>
      <c r="AE1851" s="84"/>
    </row>
    <row r="1852" spans="1:31" x14ac:dyDescent="0.3">
      <c r="A1852" s="72" t="s">
        <v>1138</v>
      </c>
      <c r="B1852" s="73" t="s">
        <v>2202</v>
      </c>
      <c r="C1852" s="74" t="s">
        <v>1479</v>
      </c>
      <c r="D1852" s="74" t="s">
        <v>1139</v>
      </c>
      <c r="E1852" s="74" t="s">
        <v>1480</v>
      </c>
      <c r="F1852" s="74"/>
      <c r="G1852" s="74" t="s">
        <v>1481</v>
      </c>
      <c r="H1852" s="73" t="s">
        <v>1482</v>
      </c>
      <c r="I1852" s="226"/>
      <c r="J1852" s="73" t="s">
        <v>1137</v>
      </c>
      <c r="K1852" s="73" t="s">
        <v>1485</v>
      </c>
      <c r="L1852" s="73" t="s">
        <v>195</v>
      </c>
      <c r="M1852" s="73" t="s">
        <v>1483</v>
      </c>
      <c r="N1852" s="73" t="s">
        <v>1483</v>
      </c>
      <c r="O1852" s="73" t="s">
        <v>1483</v>
      </c>
      <c r="P1852" s="73" t="s">
        <v>1483</v>
      </c>
      <c r="Q1852" s="73" t="s">
        <v>1483</v>
      </c>
      <c r="R1852" s="73" t="s">
        <v>1483</v>
      </c>
      <c r="S1852" s="73" t="s">
        <v>1484</v>
      </c>
      <c r="T1852" s="73" t="s">
        <v>1484</v>
      </c>
      <c r="U1852" s="73" t="s">
        <v>1484</v>
      </c>
      <c r="V1852" s="73" t="s">
        <v>1484</v>
      </c>
      <c r="W1852" s="73" t="s">
        <v>1485</v>
      </c>
      <c r="X1852" s="73" t="s">
        <v>1484</v>
      </c>
      <c r="Y1852" s="73" t="s">
        <v>1484</v>
      </c>
      <c r="Z1852" s="73" t="s">
        <v>1485</v>
      </c>
      <c r="AA1852" s="73" t="s">
        <v>1485</v>
      </c>
      <c r="AB1852" s="73" t="s">
        <v>1484</v>
      </c>
      <c r="AC1852" s="73" t="s">
        <v>1486</v>
      </c>
      <c r="AD1852" s="73" t="s">
        <v>1487</v>
      </c>
      <c r="AE1852" s="75" t="s">
        <v>1488</v>
      </c>
    </row>
    <row r="1853" spans="1:31" x14ac:dyDescent="0.3">
      <c r="A1853" s="76"/>
      <c r="B1853" s="80"/>
      <c r="C1853" s="78" t="s">
        <v>1493</v>
      </c>
      <c r="D1853" s="78" t="s">
        <v>179</v>
      </c>
      <c r="E1853" s="78" t="s">
        <v>1503</v>
      </c>
      <c r="F1853" s="78" t="s">
        <v>1495</v>
      </c>
      <c r="G1853" s="78" t="s">
        <v>1492</v>
      </c>
      <c r="H1853" s="77"/>
      <c r="I1853" s="226"/>
      <c r="J1853" s="77"/>
      <c r="K1853" s="77"/>
      <c r="L1853" s="77"/>
      <c r="M1853" s="77"/>
      <c r="N1853" s="77"/>
      <c r="O1853" s="77"/>
      <c r="P1853" s="77"/>
      <c r="Q1853" s="77"/>
      <c r="R1853" s="77"/>
      <c r="S1853" s="77"/>
      <c r="T1853" s="77"/>
      <c r="U1853" s="77"/>
      <c r="V1853" s="77"/>
      <c r="W1853" s="77"/>
      <c r="X1853" s="77"/>
      <c r="Y1853" s="77"/>
      <c r="Z1853" s="77"/>
      <c r="AA1853" s="77"/>
      <c r="AB1853" s="77"/>
      <c r="AC1853" s="77"/>
      <c r="AD1853" s="77"/>
      <c r="AE1853" s="79"/>
    </row>
    <row r="1854" spans="1:31" ht="15" thickBot="1" x14ac:dyDescent="0.35">
      <c r="A1854" s="81"/>
      <c r="B1854" s="82" t="s">
        <v>1741</v>
      </c>
      <c r="C1854" s="82" t="s">
        <v>1489</v>
      </c>
      <c r="D1854" s="82" t="s">
        <v>179</v>
      </c>
      <c r="E1854" s="82" t="s">
        <v>1503</v>
      </c>
      <c r="F1854" s="82" t="s">
        <v>1495</v>
      </c>
      <c r="G1854" s="82" t="s">
        <v>1513</v>
      </c>
      <c r="H1854" s="83"/>
      <c r="I1854" s="226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  <c r="X1854" s="83"/>
      <c r="Y1854" s="83"/>
      <c r="Z1854" s="83"/>
      <c r="AA1854" s="83"/>
      <c r="AB1854" s="83"/>
      <c r="AC1854" s="83"/>
      <c r="AD1854" s="83"/>
      <c r="AE1854" s="84"/>
    </row>
    <row r="1855" spans="1:31" x14ac:dyDescent="0.3">
      <c r="A1855" s="72" t="s">
        <v>1142</v>
      </c>
      <c r="B1855" s="73" t="s">
        <v>2203</v>
      </c>
      <c r="C1855" s="74" t="s">
        <v>1479</v>
      </c>
      <c r="D1855" s="74" t="s">
        <v>1143</v>
      </c>
      <c r="E1855" s="74" t="s">
        <v>1480</v>
      </c>
      <c r="F1855" s="74"/>
      <c r="G1855" s="74" t="s">
        <v>1481</v>
      </c>
      <c r="H1855" s="73" t="s">
        <v>1575</v>
      </c>
      <c r="I1855" s="226"/>
      <c r="J1855" s="73" t="s">
        <v>1141</v>
      </c>
      <c r="K1855" s="73" t="s">
        <v>1485</v>
      </c>
      <c r="L1855" s="73" t="s">
        <v>195</v>
      </c>
      <c r="M1855" s="73" t="s">
        <v>1483</v>
      </c>
      <c r="N1855" s="73" t="s">
        <v>1483</v>
      </c>
      <c r="O1855" s="73" t="s">
        <v>1483</v>
      </c>
      <c r="P1855" s="73" t="s">
        <v>1483</v>
      </c>
      <c r="Q1855" s="73" t="s">
        <v>1483</v>
      </c>
      <c r="R1855" s="73" t="s">
        <v>1483</v>
      </c>
      <c r="S1855" s="73" t="s">
        <v>1484</v>
      </c>
      <c r="T1855" s="73" t="s">
        <v>1484</v>
      </c>
      <c r="U1855" s="73" t="s">
        <v>1484</v>
      </c>
      <c r="V1855" s="73" t="s">
        <v>1484</v>
      </c>
      <c r="W1855" s="73" t="s">
        <v>1485</v>
      </c>
      <c r="X1855" s="73" t="s">
        <v>1484</v>
      </c>
      <c r="Y1855" s="73" t="s">
        <v>1484</v>
      </c>
      <c r="Z1855" s="73" t="s">
        <v>1484</v>
      </c>
      <c r="AA1855" s="73" t="s">
        <v>1485</v>
      </c>
      <c r="AB1855" s="73" t="s">
        <v>1484</v>
      </c>
      <c r="AC1855" s="73" t="s">
        <v>1486</v>
      </c>
      <c r="AD1855" s="73" t="s">
        <v>1487</v>
      </c>
      <c r="AE1855" s="75" t="s">
        <v>1579</v>
      </c>
    </row>
    <row r="1856" spans="1:31" ht="15" thickBot="1" x14ac:dyDescent="0.35">
      <c r="A1856" s="81"/>
      <c r="B1856" s="83"/>
      <c r="C1856" s="82" t="s">
        <v>1489</v>
      </c>
      <c r="D1856" s="82" t="s">
        <v>313</v>
      </c>
      <c r="E1856" s="82" t="s">
        <v>1948</v>
      </c>
      <c r="F1856" s="82" t="s">
        <v>1611</v>
      </c>
      <c r="G1856" s="78" t="s">
        <v>1492</v>
      </c>
      <c r="H1856" s="83"/>
      <c r="I1856" s="226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  <c r="X1856" s="83"/>
      <c r="Y1856" s="83"/>
      <c r="Z1856" s="83"/>
      <c r="AA1856" s="83"/>
      <c r="AB1856" s="83"/>
      <c r="AC1856" s="83"/>
      <c r="AD1856" s="83"/>
      <c r="AE1856" s="84"/>
    </row>
    <row r="1857" spans="1:31" ht="15" thickBot="1" x14ac:dyDescent="0.35">
      <c r="A1857" s="72" t="s">
        <v>1146</v>
      </c>
      <c r="B1857" s="74" t="s">
        <v>2204</v>
      </c>
      <c r="C1857" s="74" t="s">
        <v>1479</v>
      </c>
      <c r="D1857" s="74" t="s">
        <v>1147</v>
      </c>
      <c r="E1857" s="74" t="s">
        <v>1480</v>
      </c>
      <c r="F1857" s="74"/>
      <c r="G1857" s="74" t="s">
        <v>1481</v>
      </c>
      <c r="H1857" s="73" t="s">
        <v>1482</v>
      </c>
      <c r="I1857" s="227"/>
      <c r="J1857" s="73" t="s">
        <v>1145</v>
      </c>
      <c r="K1857" s="73" t="s">
        <v>1485</v>
      </c>
      <c r="L1857" s="73" t="s">
        <v>195</v>
      </c>
      <c r="M1857" s="73" t="s">
        <v>1483</v>
      </c>
      <c r="N1857" s="73" t="s">
        <v>1483</v>
      </c>
      <c r="O1857" s="73" t="s">
        <v>1483</v>
      </c>
      <c r="P1857" s="73" t="s">
        <v>1483</v>
      </c>
      <c r="Q1857" s="73" t="s">
        <v>1483</v>
      </c>
      <c r="R1857" s="73" t="s">
        <v>1483</v>
      </c>
      <c r="S1857" s="73" t="s">
        <v>1484</v>
      </c>
      <c r="T1857" s="73" t="s">
        <v>1484</v>
      </c>
      <c r="U1857" s="73" t="s">
        <v>1484</v>
      </c>
      <c r="V1857" s="73" t="s">
        <v>1484</v>
      </c>
      <c r="W1857" s="73" t="s">
        <v>1485</v>
      </c>
      <c r="X1857" s="73" t="s">
        <v>1484</v>
      </c>
      <c r="Y1857" s="73" t="s">
        <v>1484</v>
      </c>
      <c r="Z1857" s="73" t="s">
        <v>1485</v>
      </c>
      <c r="AA1857" s="73" t="s">
        <v>1485</v>
      </c>
      <c r="AB1857" s="73" t="s">
        <v>1484</v>
      </c>
      <c r="AC1857" s="73" t="s">
        <v>1486</v>
      </c>
      <c r="AD1857" s="73" t="s">
        <v>1487</v>
      </c>
      <c r="AE1857" s="75" t="s">
        <v>1488</v>
      </c>
    </row>
    <row r="1858" spans="1:31" ht="15" thickBot="1" x14ac:dyDescent="0.35">
      <c r="A1858" s="81"/>
      <c r="B1858" s="82" t="s">
        <v>1955</v>
      </c>
      <c r="C1858" s="82" t="s">
        <v>1499</v>
      </c>
      <c r="D1858" s="82" t="s">
        <v>303</v>
      </c>
      <c r="E1858" s="82" t="s">
        <v>1948</v>
      </c>
      <c r="F1858" s="82" t="s">
        <v>1600</v>
      </c>
      <c r="G1858" s="82" t="s">
        <v>1513</v>
      </c>
      <c r="H1858" s="83"/>
      <c r="I1858" s="225" t="s">
        <v>1485</v>
      </c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  <c r="X1858" s="83"/>
      <c r="Y1858" s="83"/>
      <c r="Z1858" s="83"/>
      <c r="AA1858" s="83"/>
      <c r="AB1858" s="83"/>
      <c r="AC1858" s="83"/>
      <c r="AD1858" s="83"/>
      <c r="AE1858" s="84"/>
    </row>
    <row r="1859" spans="1:31" x14ac:dyDescent="0.3">
      <c r="A1859" s="72" t="s">
        <v>1150</v>
      </c>
      <c r="B1859" s="73" t="s">
        <v>2205</v>
      </c>
      <c r="C1859" s="74" t="s">
        <v>1479</v>
      </c>
      <c r="D1859" s="74" t="s">
        <v>1151</v>
      </c>
      <c r="E1859" s="74" t="s">
        <v>1480</v>
      </c>
      <c r="F1859" s="74"/>
      <c r="G1859" s="74" t="s">
        <v>1481</v>
      </c>
      <c r="H1859" s="73" t="s">
        <v>1575</v>
      </c>
      <c r="I1859" s="226"/>
      <c r="J1859" s="73" t="s">
        <v>1149</v>
      </c>
      <c r="K1859" s="73" t="s">
        <v>1485</v>
      </c>
      <c r="L1859" s="73" t="s">
        <v>195</v>
      </c>
      <c r="M1859" s="73" t="s">
        <v>1483</v>
      </c>
      <c r="N1859" s="73" t="s">
        <v>1483</v>
      </c>
      <c r="O1859" s="73" t="s">
        <v>1483</v>
      </c>
      <c r="P1859" s="73" t="s">
        <v>1483</v>
      </c>
      <c r="Q1859" s="73" t="s">
        <v>1483</v>
      </c>
      <c r="R1859" s="73" t="s">
        <v>1483</v>
      </c>
      <c r="S1859" s="73" t="s">
        <v>1484</v>
      </c>
      <c r="T1859" s="73" t="s">
        <v>1484</v>
      </c>
      <c r="U1859" s="73" t="s">
        <v>1484</v>
      </c>
      <c r="V1859" s="73" t="s">
        <v>1484</v>
      </c>
      <c r="W1859" s="73" t="s">
        <v>1485</v>
      </c>
      <c r="X1859" s="73" t="s">
        <v>1484</v>
      </c>
      <c r="Y1859" s="73" t="s">
        <v>1484</v>
      </c>
      <c r="Z1859" s="73" t="s">
        <v>1484</v>
      </c>
      <c r="AA1859" s="73" t="s">
        <v>1485</v>
      </c>
      <c r="AB1859" s="73" t="s">
        <v>1484</v>
      </c>
      <c r="AC1859" s="73" t="s">
        <v>1486</v>
      </c>
      <c r="AD1859" s="73" t="s">
        <v>1487</v>
      </c>
      <c r="AE1859" s="75" t="s">
        <v>1579</v>
      </c>
    </row>
    <row r="1860" spans="1:31" x14ac:dyDescent="0.3">
      <c r="A1860" s="76"/>
      <c r="B1860" s="77"/>
      <c r="C1860" s="78" t="s">
        <v>1489</v>
      </c>
      <c r="D1860" s="78" t="s">
        <v>225</v>
      </c>
      <c r="E1860" s="78" t="s">
        <v>1795</v>
      </c>
      <c r="F1860" s="78" t="s">
        <v>1611</v>
      </c>
      <c r="G1860" s="78" t="s">
        <v>1492</v>
      </c>
      <c r="H1860" s="77"/>
      <c r="I1860" s="226"/>
      <c r="J1860" s="77"/>
      <c r="K1860" s="77"/>
      <c r="L1860" s="77"/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7"/>
      <c r="Z1860" s="77"/>
      <c r="AA1860" s="77"/>
      <c r="AB1860" s="77"/>
      <c r="AC1860" s="77"/>
      <c r="AD1860" s="77"/>
      <c r="AE1860" s="79"/>
    </row>
    <row r="1861" spans="1:31" ht="15" thickBot="1" x14ac:dyDescent="0.35">
      <c r="A1861" s="81"/>
      <c r="B1861" s="83"/>
      <c r="C1861" s="82" t="s">
        <v>1493</v>
      </c>
      <c r="D1861" s="82" t="s">
        <v>1052</v>
      </c>
      <c r="E1861" s="82" t="s">
        <v>1515</v>
      </c>
      <c r="F1861" s="82" t="s">
        <v>1581</v>
      </c>
      <c r="G1861" s="78" t="s">
        <v>1492</v>
      </c>
      <c r="H1861" s="83"/>
      <c r="I1861" s="226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83"/>
      <c r="AD1861" s="83"/>
      <c r="AE1861" s="84"/>
    </row>
    <row r="1862" spans="1:31" x14ac:dyDescent="0.3">
      <c r="A1862" s="72" t="s">
        <v>1154</v>
      </c>
      <c r="B1862" s="73" t="s">
        <v>2206</v>
      </c>
      <c r="C1862" s="74" t="s">
        <v>1479</v>
      </c>
      <c r="D1862" s="74" t="s">
        <v>1155</v>
      </c>
      <c r="E1862" s="74" t="s">
        <v>1480</v>
      </c>
      <c r="F1862" s="74"/>
      <c r="G1862" s="74" t="s">
        <v>1481</v>
      </c>
      <c r="H1862" s="73" t="s">
        <v>1482</v>
      </c>
      <c r="I1862" s="226"/>
      <c r="J1862" s="73" t="s">
        <v>1153</v>
      </c>
      <c r="K1862" s="73" t="s">
        <v>1485</v>
      </c>
      <c r="L1862" s="73" t="s">
        <v>195</v>
      </c>
      <c r="M1862" s="73" t="s">
        <v>1483</v>
      </c>
      <c r="N1862" s="73" t="s">
        <v>1483</v>
      </c>
      <c r="O1862" s="73" t="s">
        <v>1483</v>
      </c>
      <c r="P1862" s="73" t="s">
        <v>1483</v>
      </c>
      <c r="Q1862" s="73" t="s">
        <v>1483</v>
      </c>
      <c r="R1862" s="73" t="s">
        <v>1483</v>
      </c>
      <c r="S1862" s="73" t="s">
        <v>1484</v>
      </c>
      <c r="T1862" s="73" t="s">
        <v>1484</v>
      </c>
      <c r="U1862" s="73" t="s">
        <v>1484</v>
      </c>
      <c r="V1862" s="73" t="s">
        <v>1484</v>
      </c>
      <c r="W1862" s="73" t="s">
        <v>1485</v>
      </c>
      <c r="X1862" s="73" t="s">
        <v>1484</v>
      </c>
      <c r="Y1862" s="73" t="s">
        <v>1484</v>
      </c>
      <c r="Z1862" s="73" t="s">
        <v>1485</v>
      </c>
      <c r="AA1862" s="73" t="s">
        <v>1485</v>
      </c>
      <c r="AB1862" s="73" t="s">
        <v>1484</v>
      </c>
      <c r="AC1862" s="73" t="s">
        <v>1486</v>
      </c>
      <c r="AD1862" s="73" t="s">
        <v>1487</v>
      </c>
      <c r="AE1862" s="75" t="s">
        <v>1488</v>
      </c>
    </row>
    <row r="1863" spans="1:31" x14ac:dyDescent="0.3">
      <c r="A1863" s="76"/>
      <c r="B1863" s="80"/>
      <c r="C1863" s="78" t="s">
        <v>1493</v>
      </c>
      <c r="D1863" s="200" t="s">
        <v>2654</v>
      </c>
      <c r="E1863" s="78" t="s">
        <v>1515</v>
      </c>
      <c r="F1863" s="78" t="s">
        <v>1652</v>
      </c>
      <c r="G1863" s="78" t="s">
        <v>1492</v>
      </c>
      <c r="H1863" s="77"/>
      <c r="I1863" s="226"/>
      <c r="J1863" s="77"/>
      <c r="K1863" s="77"/>
      <c r="L1863" s="77"/>
      <c r="M1863" s="77"/>
      <c r="N1863" s="77"/>
      <c r="O1863" s="77"/>
      <c r="P1863" s="77"/>
      <c r="Q1863" s="77"/>
      <c r="R1863" s="77"/>
      <c r="S1863" s="77"/>
      <c r="T1863" s="77"/>
      <c r="U1863" s="77"/>
      <c r="V1863" s="77"/>
      <c r="W1863" s="77"/>
      <c r="X1863" s="77"/>
      <c r="Y1863" s="77"/>
      <c r="Z1863" s="77"/>
      <c r="AA1863" s="77"/>
      <c r="AB1863" s="77"/>
      <c r="AC1863" s="77"/>
      <c r="AD1863" s="77"/>
      <c r="AE1863" s="79"/>
    </row>
    <row r="1864" spans="1:31" ht="15" thickBot="1" x14ac:dyDescent="0.35">
      <c r="A1864" s="81"/>
      <c r="B1864" s="82" t="s">
        <v>1794</v>
      </c>
      <c r="C1864" s="82" t="s">
        <v>1499</v>
      </c>
      <c r="D1864" s="82" t="s">
        <v>219</v>
      </c>
      <c r="E1864" s="82" t="s">
        <v>1795</v>
      </c>
      <c r="F1864" s="82" t="s">
        <v>1600</v>
      </c>
      <c r="G1864" s="82" t="s">
        <v>1513</v>
      </c>
      <c r="H1864" s="83"/>
      <c r="I1864" s="226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  <c r="X1864" s="83"/>
      <c r="Y1864" s="83"/>
      <c r="Z1864" s="83"/>
      <c r="AA1864" s="83"/>
      <c r="AB1864" s="83"/>
      <c r="AC1864" s="83"/>
      <c r="AD1864" s="83"/>
      <c r="AE1864" s="84"/>
    </row>
    <row r="1865" spans="1:31" x14ac:dyDescent="0.3">
      <c r="A1865" s="72" t="s">
        <v>1158</v>
      </c>
      <c r="B1865" s="73" t="s">
        <v>2207</v>
      </c>
      <c r="C1865" s="74" t="s">
        <v>1479</v>
      </c>
      <c r="D1865" s="74" t="s">
        <v>1159</v>
      </c>
      <c r="E1865" s="74" t="s">
        <v>1480</v>
      </c>
      <c r="F1865" s="74"/>
      <c r="G1865" s="74" t="s">
        <v>1481</v>
      </c>
      <c r="H1865" s="73" t="s">
        <v>1482</v>
      </c>
      <c r="I1865" s="226"/>
      <c r="J1865" s="73" t="s">
        <v>1157</v>
      </c>
      <c r="K1865" s="73" t="s">
        <v>1485</v>
      </c>
      <c r="L1865" s="73" t="s">
        <v>195</v>
      </c>
      <c r="M1865" s="73" t="s">
        <v>1483</v>
      </c>
      <c r="N1865" s="73" t="s">
        <v>1483</v>
      </c>
      <c r="O1865" s="73" t="s">
        <v>1483</v>
      </c>
      <c r="P1865" s="73" t="s">
        <v>1483</v>
      </c>
      <c r="Q1865" s="73" t="s">
        <v>1483</v>
      </c>
      <c r="R1865" s="73" t="s">
        <v>1483</v>
      </c>
      <c r="S1865" s="73" t="s">
        <v>1484</v>
      </c>
      <c r="T1865" s="73" t="s">
        <v>1484</v>
      </c>
      <c r="U1865" s="73" t="s">
        <v>1484</v>
      </c>
      <c r="V1865" s="73" t="s">
        <v>1484</v>
      </c>
      <c r="W1865" s="73" t="s">
        <v>1485</v>
      </c>
      <c r="X1865" s="73" t="s">
        <v>1484</v>
      </c>
      <c r="Y1865" s="73" t="s">
        <v>1484</v>
      </c>
      <c r="Z1865" s="73" t="s">
        <v>1485</v>
      </c>
      <c r="AA1865" s="73" t="s">
        <v>1485</v>
      </c>
      <c r="AB1865" s="73" t="s">
        <v>1484</v>
      </c>
      <c r="AC1865" s="73" t="s">
        <v>1486</v>
      </c>
      <c r="AD1865" s="73" t="s">
        <v>1487</v>
      </c>
      <c r="AE1865" s="75" t="s">
        <v>1488</v>
      </c>
    </row>
    <row r="1866" spans="1:31" x14ac:dyDescent="0.3">
      <c r="A1866" s="76"/>
      <c r="B1866" s="77"/>
      <c r="C1866" s="78" t="s">
        <v>1489</v>
      </c>
      <c r="D1866" s="78" t="s">
        <v>102</v>
      </c>
      <c r="E1866" s="78" t="s">
        <v>1933</v>
      </c>
      <c r="F1866" s="78" t="s">
        <v>1565</v>
      </c>
      <c r="G1866" s="78" t="s">
        <v>1492</v>
      </c>
      <c r="H1866" s="77"/>
      <c r="I1866" s="226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U1866" s="77"/>
      <c r="V1866" s="77"/>
      <c r="W1866" s="77"/>
      <c r="X1866" s="77"/>
      <c r="Y1866" s="77"/>
      <c r="Z1866" s="77"/>
      <c r="AA1866" s="77"/>
      <c r="AB1866" s="77"/>
      <c r="AC1866" s="77"/>
      <c r="AD1866" s="77"/>
      <c r="AE1866" s="79"/>
    </row>
    <row r="1867" spans="1:31" ht="15" thickBot="1" x14ac:dyDescent="0.35">
      <c r="A1867" s="76"/>
      <c r="B1867" s="77"/>
      <c r="C1867" s="78" t="s">
        <v>1493</v>
      </c>
      <c r="D1867" s="78" t="s">
        <v>29</v>
      </c>
      <c r="E1867" s="78" t="s">
        <v>1620</v>
      </c>
      <c r="F1867" s="78" t="s">
        <v>1495</v>
      </c>
      <c r="G1867" s="78" t="s">
        <v>1492</v>
      </c>
      <c r="H1867" s="77"/>
      <c r="I1867" s="227"/>
      <c r="J1867" s="77"/>
      <c r="K1867" s="77"/>
      <c r="L1867" s="77"/>
      <c r="M1867" s="77"/>
      <c r="N1867" s="77"/>
      <c r="O1867" s="77"/>
      <c r="P1867" s="77"/>
      <c r="Q1867" s="77"/>
      <c r="R1867" s="77"/>
      <c r="S1867" s="77"/>
      <c r="T1867" s="77"/>
      <c r="U1867" s="77"/>
      <c r="V1867" s="77"/>
      <c r="W1867" s="77"/>
      <c r="X1867" s="77"/>
      <c r="Y1867" s="77"/>
      <c r="Z1867" s="77"/>
      <c r="AA1867" s="77"/>
      <c r="AB1867" s="77"/>
      <c r="AC1867" s="77"/>
      <c r="AD1867" s="77"/>
      <c r="AE1867" s="79"/>
    </row>
    <row r="1868" spans="1:31" x14ac:dyDescent="0.3">
      <c r="A1868" s="76"/>
      <c r="B1868" s="80"/>
      <c r="C1868" s="78" t="s">
        <v>1496</v>
      </c>
      <c r="D1868" s="78" t="s">
        <v>76</v>
      </c>
      <c r="E1868" s="78" t="s">
        <v>1618</v>
      </c>
      <c r="F1868" s="78" t="s">
        <v>1564</v>
      </c>
      <c r="G1868" s="78" t="s">
        <v>1492</v>
      </c>
      <c r="H1868" s="77"/>
      <c r="I1868" s="225" t="s">
        <v>1485</v>
      </c>
      <c r="J1868" s="77"/>
      <c r="K1868" s="77"/>
      <c r="L1868" s="77"/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  <c r="AA1868" s="77"/>
      <c r="AB1868" s="77"/>
      <c r="AC1868" s="77"/>
      <c r="AD1868" s="77"/>
      <c r="AE1868" s="79"/>
    </row>
    <row r="1869" spans="1:31" x14ac:dyDescent="0.3">
      <c r="A1869" s="76"/>
      <c r="B1869" s="78" t="s">
        <v>1517</v>
      </c>
      <c r="C1869" s="78" t="s">
        <v>1502</v>
      </c>
      <c r="D1869" s="78" t="s">
        <v>31</v>
      </c>
      <c r="E1869" s="78" t="s">
        <v>1480</v>
      </c>
      <c r="F1869" s="78" t="s">
        <v>1518</v>
      </c>
      <c r="G1869" s="78" t="s">
        <v>1513</v>
      </c>
      <c r="H1869" s="77"/>
      <c r="I1869" s="226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7"/>
      <c r="AE1869" s="79"/>
    </row>
    <row r="1870" spans="1:31" x14ac:dyDescent="0.3">
      <c r="A1870" s="76"/>
      <c r="B1870" s="78" t="s">
        <v>1715</v>
      </c>
      <c r="C1870" s="78" t="s">
        <v>1489</v>
      </c>
      <c r="D1870" s="78" t="s">
        <v>29</v>
      </c>
      <c r="E1870" s="78" t="s">
        <v>1620</v>
      </c>
      <c r="F1870" s="78" t="s">
        <v>1495</v>
      </c>
      <c r="G1870" s="78" t="s">
        <v>1513</v>
      </c>
      <c r="H1870" s="77"/>
      <c r="I1870" s="226"/>
      <c r="J1870" s="77"/>
      <c r="K1870" s="77"/>
      <c r="L1870" s="77"/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  <c r="X1870" s="77"/>
      <c r="Y1870" s="77"/>
      <c r="Z1870" s="77"/>
      <c r="AA1870" s="77"/>
      <c r="AB1870" s="77"/>
      <c r="AC1870" s="77"/>
      <c r="AD1870" s="77"/>
      <c r="AE1870" s="79"/>
    </row>
    <row r="1871" spans="1:31" x14ac:dyDescent="0.3">
      <c r="A1871" s="76"/>
      <c r="B1871" s="78" t="s">
        <v>1942</v>
      </c>
      <c r="C1871" s="78" t="s">
        <v>1499</v>
      </c>
      <c r="D1871" s="78" t="s">
        <v>76</v>
      </c>
      <c r="E1871" s="78" t="s">
        <v>1618</v>
      </c>
      <c r="F1871" s="78" t="s">
        <v>1564</v>
      </c>
      <c r="G1871" s="78" t="s">
        <v>1513</v>
      </c>
      <c r="H1871" s="77"/>
      <c r="I1871" s="226"/>
      <c r="J1871" s="77"/>
      <c r="K1871" s="77"/>
      <c r="L1871" s="77"/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  <c r="AA1871" s="77"/>
      <c r="AB1871" s="77"/>
      <c r="AC1871" s="77"/>
      <c r="AD1871" s="77"/>
      <c r="AE1871" s="79"/>
    </row>
    <row r="1872" spans="1:31" ht="15" thickBot="1" x14ac:dyDescent="0.35">
      <c r="A1872" s="81"/>
      <c r="B1872" s="82" t="s">
        <v>1936</v>
      </c>
      <c r="C1872" s="82" t="s">
        <v>1499</v>
      </c>
      <c r="D1872" s="82" t="s">
        <v>102</v>
      </c>
      <c r="E1872" s="82" t="s">
        <v>1933</v>
      </c>
      <c r="F1872" s="82" t="s">
        <v>1565</v>
      </c>
      <c r="G1872" s="82" t="s">
        <v>1513</v>
      </c>
      <c r="H1872" s="83"/>
      <c r="I1872" s="226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  <c r="X1872" s="83"/>
      <c r="Y1872" s="83"/>
      <c r="Z1872" s="83"/>
      <c r="AA1872" s="83"/>
      <c r="AB1872" s="83"/>
      <c r="AC1872" s="83"/>
      <c r="AD1872" s="83"/>
      <c r="AE1872" s="84"/>
    </row>
    <row r="1873" spans="1:31" ht="15" thickBot="1" x14ac:dyDescent="0.35">
      <c r="A1873" s="72" t="s">
        <v>1162</v>
      </c>
      <c r="B1873" s="73" t="s">
        <v>2208</v>
      </c>
      <c r="C1873" s="74" t="s">
        <v>1479</v>
      </c>
      <c r="D1873" s="74" t="s">
        <v>1163</v>
      </c>
      <c r="E1873" s="74" t="s">
        <v>1480</v>
      </c>
      <c r="F1873" s="74"/>
      <c r="G1873" s="74" t="s">
        <v>1481</v>
      </c>
      <c r="H1873" s="73" t="s">
        <v>1482</v>
      </c>
      <c r="I1873" s="227"/>
      <c r="J1873" s="73" t="s">
        <v>1161</v>
      </c>
      <c r="K1873" s="73" t="s">
        <v>1485</v>
      </c>
      <c r="L1873" s="73" t="s">
        <v>195</v>
      </c>
      <c r="M1873" s="73" t="s">
        <v>1483</v>
      </c>
      <c r="N1873" s="73" t="s">
        <v>1483</v>
      </c>
      <c r="O1873" s="73" t="s">
        <v>1483</v>
      </c>
      <c r="P1873" s="73" t="s">
        <v>1483</v>
      </c>
      <c r="Q1873" s="73" t="s">
        <v>1483</v>
      </c>
      <c r="R1873" s="73" t="s">
        <v>1483</v>
      </c>
      <c r="S1873" s="73" t="s">
        <v>1484</v>
      </c>
      <c r="T1873" s="73" t="s">
        <v>1484</v>
      </c>
      <c r="U1873" s="73" t="s">
        <v>1484</v>
      </c>
      <c r="V1873" s="73" t="s">
        <v>1484</v>
      </c>
      <c r="W1873" s="73" t="s">
        <v>1485</v>
      </c>
      <c r="X1873" s="73" t="s">
        <v>1484</v>
      </c>
      <c r="Y1873" s="73" t="s">
        <v>1484</v>
      </c>
      <c r="Z1873" s="73" t="s">
        <v>1485</v>
      </c>
      <c r="AA1873" s="73" t="s">
        <v>1485</v>
      </c>
      <c r="AB1873" s="73" t="s">
        <v>1484</v>
      </c>
      <c r="AC1873" s="73" t="s">
        <v>1486</v>
      </c>
      <c r="AD1873" s="73" t="s">
        <v>1487</v>
      </c>
      <c r="AE1873" s="75" t="s">
        <v>1488</v>
      </c>
    </row>
    <row r="1874" spans="1:31" x14ac:dyDescent="0.3">
      <c r="A1874" s="76"/>
      <c r="B1874" s="77"/>
      <c r="C1874" s="78" t="s">
        <v>1493</v>
      </c>
      <c r="D1874" s="78" t="s">
        <v>41</v>
      </c>
      <c r="E1874" s="78" t="s">
        <v>1620</v>
      </c>
      <c r="F1874" s="78" t="s">
        <v>1495</v>
      </c>
      <c r="G1874" s="78" t="s">
        <v>1492</v>
      </c>
      <c r="H1874" s="77"/>
      <c r="I1874" s="225" t="s">
        <v>1485</v>
      </c>
      <c r="J1874" s="77"/>
      <c r="K1874" s="77"/>
      <c r="L1874" s="77"/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  <c r="AA1874" s="77"/>
      <c r="AB1874" s="77"/>
      <c r="AC1874" s="77"/>
      <c r="AD1874" s="77"/>
      <c r="AE1874" s="79"/>
    </row>
    <row r="1875" spans="1:31" x14ac:dyDescent="0.3">
      <c r="A1875" s="76"/>
      <c r="B1875" s="80"/>
      <c r="C1875" s="78" t="s">
        <v>1496</v>
      </c>
      <c r="D1875" s="78" t="s">
        <v>62</v>
      </c>
      <c r="E1875" s="78" t="s">
        <v>1618</v>
      </c>
      <c r="F1875" s="78" t="s">
        <v>1546</v>
      </c>
      <c r="G1875" s="78" t="s">
        <v>1492</v>
      </c>
      <c r="H1875" s="77"/>
      <c r="I1875" s="226"/>
      <c r="J1875" s="77"/>
      <c r="K1875" s="77"/>
      <c r="L1875" s="77"/>
      <c r="M1875" s="77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  <c r="AA1875" s="77"/>
      <c r="AB1875" s="77"/>
      <c r="AC1875" s="77"/>
      <c r="AD1875" s="77"/>
      <c r="AE1875" s="79"/>
    </row>
    <row r="1876" spans="1:31" ht="15" thickBot="1" x14ac:dyDescent="0.35">
      <c r="A1876" s="76"/>
      <c r="B1876" s="78" t="s">
        <v>1536</v>
      </c>
      <c r="C1876" s="78" t="s">
        <v>1502</v>
      </c>
      <c r="D1876" s="78" t="s">
        <v>43</v>
      </c>
      <c r="E1876" s="78" t="s">
        <v>1480</v>
      </c>
      <c r="F1876" s="78" t="s">
        <v>1518</v>
      </c>
      <c r="G1876" s="78" t="s">
        <v>1513</v>
      </c>
      <c r="H1876" s="77"/>
      <c r="I1876" s="227"/>
      <c r="J1876" s="77"/>
      <c r="K1876" s="77"/>
      <c r="L1876" s="77"/>
      <c r="M1876" s="77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  <c r="AA1876" s="77"/>
      <c r="AB1876" s="77"/>
      <c r="AC1876" s="77"/>
      <c r="AD1876" s="77"/>
      <c r="AE1876" s="79"/>
    </row>
    <row r="1877" spans="1:31" x14ac:dyDescent="0.3">
      <c r="A1877" s="76"/>
      <c r="B1877" s="78" t="s">
        <v>1721</v>
      </c>
      <c r="C1877" s="78" t="s">
        <v>1489</v>
      </c>
      <c r="D1877" s="78" t="s">
        <v>41</v>
      </c>
      <c r="E1877" s="78" t="s">
        <v>1620</v>
      </c>
      <c r="F1877" s="78" t="s">
        <v>1495</v>
      </c>
      <c r="G1877" s="78" t="s">
        <v>1513</v>
      </c>
      <c r="H1877" s="77"/>
      <c r="I1877" s="225" t="s">
        <v>1485</v>
      </c>
      <c r="J1877" s="77"/>
      <c r="K1877" s="77"/>
      <c r="L1877" s="77"/>
      <c r="M1877" s="77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  <c r="AA1877" s="77"/>
      <c r="AB1877" s="77"/>
      <c r="AC1877" s="77"/>
      <c r="AD1877" s="77"/>
      <c r="AE1877" s="79"/>
    </row>
    <row r="1878" spans="1:31" ht="15" thickBot="1" x14ac:dyDescent="0.35">
      <c r="A1878" s="76"/>
      <c r="B1878" s="78" t="s">
        <v>1939</v>
      </c>
      <c r="C1878" s="78" t="s">
        <v>1496</v>
      </c>
      <c r="D1878" s="78" t="s">
        <v>120</v>
      </c>
      <c r="E1878" s="78" t="s">
        <v>1933</v>
      </c>
      <c r="F1878" s="78" t="s">
        <v>1558</v>
      </c>
      <c r="G1878" s="78" t="s">
        <v>1513</v>
      </c>
      <c r="H1878" s="77"/>
      <c r="I1878" s="227"/>
      <c r="J1878" s="77"/>
      <c r="K1878" s="77"/>
      <c r="L1878" s="77"/>
      <c r="M1878" s="77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  <c r="AA1878" s="77"/>
      <c r="AB1878" s="77"/>
      <c r="AC1878" s="77"/>
      <c r="AD1878" s="77"/>
      <c r="AE1878" s="79"/>
    </row>
    <row r="1879" spans="1:31" ht="15" thickBot="1" x14ac:dyDescent="0.35">
      <c r="A1879" s="81"/>
      <c r="B1879" s="82" t="s">
        <v>1801</v>
      </c>
      <c r="C1879" s="82" t="s">
        <v>1499</v>
      </c>
      <c r="D1879" s="82" t="s">
        <v>62</v>
      </c>
      <c r="E1879" s="82" t="s">
        <v>1618</v>
      </c>
      <c r="F1879" s="82" t="s">
        <v>1546</v>
      </c>
      <c r="G1879" s="82" t="s">
        <v>1513</v>
      </c>
      <c r="H1879" s="83"/>
      <c r="I1879" s="225" t="s">
        <v>1485</v>
      </c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  <c r="X1879" s="83"/>
      <c r="Y1879" s="83"/>
      <c r="Z1879" s="83"/>
      <c r="AA1879" s="83"/>
      <c r="AB1879" s="83"/>
      <c r="AC1879" s="83"/>
      <c r="AD1879" s="83"/>
      <c r="AE1879" s="84"/>
    </row>
    <row r="1880" spans="1:31" ht="15" thickBot="1" x14ac:dyDescent="0.35">
      <c r="A1880" s="72" t="s">
        <v>1166</v>
      </c>
      <c r="B1880" s="73" t="s">
        <v>2209</v>
      </c>
      <c r="C1880" s="74" t="s">
        <v>1479</v>
      </c>
      <c r="D1880" s="74" t="s">
        <v>1167</v>
      </c>
      <c r="E1880" s="74" t="s">
        <v>1480</v>
      </c>
      <c r="F1880" s="74"/>
      <c r="G1880" s="74" t="s">
        <v>1481</v>
      </c>
      <c r="H1880" s="73" t="s">
        <v>1482</v>
      </c>
      <c r="I1880" s="227"/>
      <c r="J1880" s="73" t="s">
        <v>1165</v>
      </c>
      <c r="K1880" s="73" t="s">
        <v>1485</v>
      </c>
      <c r="L1880" s="73" t="s">
        <v>195</v>
      </c>
      <c r="M1880" s="73" t="s">
        <v>1483</v>
      </c>
      <c r="N1880" s="73" t="s">
        <v>1483</v>
      </c>
      <c r="O1880" s="73" t="s">
        <v>1483</v>
      </c>
      <c r="P1880" s="73" t="s">
        <v>1483</v>
      </c>
      <c r="Q1880" s="73" t="s">
        <v>1483</v>
      </c>
      <c r="R1880" s="73" t="s">
        <v>1483</v>
      </c>
      <c r="S1880" s="73" t="s">
        <v>1484</v>
      </c>
      <c r="T1880" s="73" t="s">
        <v>1484</v>
      </c>
      <c r="U1880" s="73" t="s">
        <v>1484</v>
      </c>
      <c r="V1880" s="73" t="s">
        <v>1484</v>
      </c>
      <c r="W1880" s="73" t="s">
        <v>1485</v>
      </c>
      <c r="X1880" s="73" t="s">
        <v>1484</v>
      </c>
      <c r="Y1880" s="73" t="s">
        <v>1484</v>
      </c>
      <c r="Z1880" s="73" t="s">
        <v>1485</v>
      </c>
      <c r="AA1880" s="73" t="s">
        <v>1485</v>
      </c>
      <c r="AB1880" s="73" t="s">
        <v>1484</v>
      </c>
      <c r="AC1880" s="73" t="s">
        <v>1486</v>
      </c>
      <c r="AD1880" s="73" t="s">
        <v>1487</v>
      </c>
      <c r="AE1880" s="75" t="s">
        <v>1488</v>
      </c>
    </row>
    <row r="1881" spans="1:31" x14ac:dyDescent="0.3">
      <c r="A1881" s="76"/>
      <c r="B1881" s="77"/>
      <c r="C1881" s="78" t="s">
        <v>1489</v>
      </c>
      <c r="D1881" s="78" t="s">
        <v>485</v>
      </c>
      <c r="E1881" s="78" t="s">
        <v>1694</v>
      </c>
      <c r="F1881" s="78" t="s">
        <v>1565</v>
      </c>
      <c r="G1881" s="78" t="s">
        <v>1492</v>
      </c>
      <c r="H1881" s="77"/>
      <c r="I1881" s="225" t="s">
        <v>1485</v>
      </c>
      <c r="J1881" s="77"/>
      <c r="K1881" s="77"/>
      <c r="L1881" s="77"/>
      <c r="M1881" s="77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  <c r="AA1881" s="77"/>
      <c r="AB1881" s="77"/>
      <c r="AC1881" s="77"/>
      <c r="AD1881" s="77"/>
      <c r="AE1881" s="79"/>
    </row>
    <row r="1882" spans="1:31" x14ac:dyDescent="0.3">
      <c r="A1882" s="76"/>
      <c r="B1882" s="77"/>
      <c r="C1882" s="78" t="s">
        <v>1493</v>
      </c>
      <c r="D1882" s="78" t="s">
        <v>52</v>
      </c>
      <c r="E1882" s="78" t="s">
        <v>1620</v>
      </c>
      <c r="F1882" s="78" t="s">
        <v>1495</v>
      </c>
      <c r="G1882" s="78" t="s">
        <v>1492</v>
      </c>
      <c r="H1882" s="77"/>
      <c r="I1882" s="226"/>
      <c r="J1882" s="77"/>
      <c r="K1882" s="77"/>
      <c r="L1882" s="77"/>
      <c r="M1882" s="77"/>
      <c r="N1882" s="77"/>
      <c r="O1882" s="77"/>
      <c r="P1882" s="77"/>
      <c r="Q1882" s="77"/>
      <c r="R1882" s="77"/>
      <c r="S1882" s="77"/>
      <c r="T1882" s="77"/>
      <c r="U1882" s="77"/>
      <c r="V1882" s="77"/>
      <c r="W1882" s="77"/>
      <c r="X1882" s="77"/>
      <c r="Y1882" s="77"/>
      <c r="Z1882" s="77"/>
      <c r="AA1882" s="77"/>
      <c r="AB1882" s="77"/>
      <c r="AC1882" s="77"/>
      <c r="AD1882" s="77"/>
      <c r="AE1882" s="79"/>
    </row>
    <row r="1883" spans="1:31" ht="15" thickBot="1" x14ac:dyDescent="0.35">
      <c r="A1883" s="76"/>
      <c r="B1883" s="80"/>
      <c r="C1883" s="78" t="s">
        <v>1496</v>
      </c>
      <c r="D1883" s="78" t="s">
        <v>581</v>
      </c>
      <c r="E1883" s="78" t="s">
        <v>1618</v>
      </c>
      <c r="F1883" s="78" t="s">
        <v>1619</v>
      </c>
      <c r="G1883" s="78" t="s">
        <v>1492</v>
      </c>
      <c r="H1883" s="77"/>
      <c r="I1883" s="227"/>
      <c r="J1883" s="77"/>
      <c r="K1883" s="77"/>
      <c r="L1883" s="77"/>
      <c r="M1883" s="77"/>
      <c r="N1883" s="77"/>
      <c r="O1883" s="77"/>
      <c r="P1883" s="77"/>
      <c r="Q1883" s="77"/>
      <c r="R1883" s="77"/>
      <c r="S1883" s="77"/>
      <c r="T1883" s="77"/>
      <c r="U1883" s="77"/>
      <c r="V1883" s="77"/>
      <c r="W1883" s="77"/>
      <c r="X1883" s="77"/>
      <c r="Y1883" s="77"/>
      <c r="Z1883" s="77"/>
      <c r="AA1883" s="77"/>
      <c r="AB1883" s="77"/>
      <c r="AC1883" s="77"/>
      <c r="AD1883" s="77"/>
      <c r="AE1883" s="79"/>
    </row>
    <row r="1884" spans="1:31" x14ac:dyDescent="0.3">
      <c r="A1884" s="76"/>
      <c r="B1884" s="78" t="s">
        <v>1552</v>
      </c>
      <c r="C1884" s="78" t="s">
        <v>1502</v>
      </c>
      <c r="D1884" s="78" t="s">
        <v>54</v>
      </c>
      <c r="E1884" s="78" t="s">
        <v>1480</v>
      </c>
      <c r="F1884" s="78" t="s">
        <v>1518</v>
      </c>
      <c r="G1884" s="78" t="s">
        <v>1513</v>
      </c>
      <c r="H1884" s="77"/>
      <c r="I1884" s="225" t="s">
        <v>1485</v>
      </c>
      <c r="J1884" s="77"/>
      <c r="K1884" s="77"/>
      <c r="L1884" s="77"/>
      <c r="M1884" s="77"/>
      <c r="N1884" s="77"/>
      <c r="O1884" s="77"/>
      <c r="P1884" s="77"/>
      <c r="Q1884" s="77"/>
      <c r="R1884" s="77"/>
      <c r="S1884" s="77"/>
      <c r="T1884" s="77"/>
      <c r="U1884" s="77"/>
      <c r="V1884" s="77"/>
      <c r="W1884" s="77"/>
      <c r="X1884" s="77"/>
      <c r="Y1884" s="77"/>
      <c r="Z1884" s="77"/>
      <c r="AA1884" s="77"/>
      <c r="AB1884" s="77"/>
      <c r="AC1884" s="77"/>
      <c r="AD1884" s="77"/>
      <c r="AE1884" s="79"/>
    </row>
    <row r="1885" spans="1:31" x14ac:dyDescent="0.3">
      <c r="A1885" s="76"/>
      <c r="B1885" s="78" t="s">
        <v>1727</v>
      </c>
      <c r="C1885" s="78" t="s">
        <v>1489</v>
      </c>
      <c r="D1885" s="78" t="s">
        <v>52</v>
      </c>
      <c r="E1885" s="78" t="s">
        <v>1620</v>
      </c>
      <c r="F1885" s="78" t="s">
        <v>1495</v>
      </c>
      <c r="G1885" s="78" t="s">
        <v>1513</v>
      </c>
      <c r="H1885" s="77"/>
      <c r="I1885" s="226"/>
      <c r="J1885" s="77"/>
      <c r="K1885" s="77"/>
      <c r="L1885" s="77"/>
      <c r="M1885" s="77"/>
      <c r="N1885" s="77"/>
      <c r="O1885" s="77"/>
      <c r="P1885" s="77"/>
      <c r="Q1885" s="77"/>
      <c r="R1885" s="77"/>
      <c r="S1885" s="77"/>
      <c r="T1885" s="77"/>
      <c r="U1885" s="77"/>
      <c r="V1885" s="77"/>
      <c r="W1885" s="77"/>
      <c r="X1885" s="77"/>
      <c r="Y1885" s="77"/>
      <c r="Z1885" s="77"/>
      <c r="AA1885" s="77"/>
      <c r="AB1885" s="77"/>
      <c r="AC1885" s="77"/>
      <c r="AD1885" s="77"/>
      <c r="AE1885" s="79"/>
    </row>
    <row r="1886" spans="1:31" ht="15" thickBot="1" x14ac:dyDescent="0.35">
      <c r="A1886" s="76"/>
      <c r="B1886" s="78" t="s">
        <v>1629</v>
      </c>
      <c r="C1886" s="78" t="s">
        <v>1499</v>
      </c>
      <c r="D1886" s="78" t="s">
        <v>581</v>
      </c>
      <c r="E1886" s="78" t="s">
        <v>1618</v>
      </c>
      <c r="F1886" s="78" t="s">
        <v>1619</v>
      </c>
      <c r="G1886" s="78" t="s">
        <v>1513</v>
      </c>
      <c r="H1886" s="77"/>
      <c r="I1886" s="227"/>
      <c r="J1886" s="77"/>
      <c r="K1886" s="77"/>
      <c r="L1886" s="77"/>
      <c r="M1886" s="77"/>
      <c r="N1886" s="77"/>
      <c r="O1886" s="77"/>
      <c r="P1886" s="77"/>
      <c r="Q1886" s="77"/>
      <c r="R1886" s="77"/>
      <c r="S1886" s="77"/>
      <c r="T1886" s="77"/>
      <c r="U1886" s="77"/>
      <c r="V1886" s="77"/>
      <c r="W1886" s="77"/>
      <c r="X1886" s="77"/>
      <c r="Y1886" s="77"/>
      <c r="Z1886" s="77"/>
      <c r="AA1886" s="77"/>
      <c r="AB1886" s="77"/>
      <c r="AC1886" s="77"/>
      <c r="AD1886" s="77"/>
      <c r="AE1886" s="79"/>
    </row>
    <row r="1887" spans="1:31" ht="15" thickBot="1" x14ac:dyDescent="0.35">
      <c r="A1887" s="81"/>
      <c r="B1887" s="82" t="s">
        <v>1706</v>
      </c>
      <c r="C1887" s="82" t="s">
        <v>1499</v>
      </c>
      <c r="D1887" s="82" t="s">
        <v>485</v>
      </c>
      <c r="E1887" s="82" t="s">
        <v>1694</v>
      </c>
      <c r="F1887" s="82" t="s">
        <v>1565</v>
      </c>
      <c r="G1887" s="82" t="s">
        <v>1513</v>
      </c>
      <c r="H1887" s="83"/>
      <c r="I1887" s="225" t="s">
        <v>1485</v>
      </c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  <c r="AA1887" s="83"/>
      <c r="AB1887" s="83"/>
      <c r="AC1887" s="83"/>
      <c r="AD1887" s="83"/>
      <c r="AE1887" s="84"/>
    </row>
    <row r="1888" spans="1:31" x14ac:dyDescent="0.3">
      <c r="A1888" s="72" t="s">
        <v>1170</v>
      </c>
      <c r="B1888" s="73" t="s">
        <v>2210</v>
      </c>
      <c r="C1888" s="74" t="s">
        <v>1479</v>
      </c>
      <c r="D1888" s="74" t="s">
        <v>1171</v>
      </c>
      <c r="E1888" s="74" t="s">
        <v>1480</v>
      </c>
      <c r="F1888" s="74"/>
      <c r="G1888" s="74" t="s">
        <v>1481</v>
      </c>
      <c r="H1888" s="73" t="s">
        <v>1482</v>
      </c>
      <c r="I1888" s="226"/>
      <c r="J1888" s="73" t="s">
        <v>1169</v>
      </c>
      <c r="K1888" s="73" t="s">
        <v>1485</v>
      </c>
      <c r="L1888" s="73" t="s">
        <v>195</v>
      </c>
      <c r="M1888" s="73" t="s">
        <v>1483</v>
      </c>
      <c r="N1888" s="73" t="s">
        <v>1483</v>
      </c>
      <c r="O1888" s="73" t="s">
        <v>1483</v>
      </c>
      <c r="P1888" s="73" t="s">
        <v>1483</v>
      </c>
      <c r="Q1888" s="73" t="s">
        <v>1483</v>
      </c>
      <c r="R1888" s="73" t="s">
        <v>1483</v>
      </c>
      <c r="S1888" s="73" t="s">
        <v>1484</v>
      </c>
      <c r="T1888" s="73" t="s">
        <v>1484</v>
      </c>
      <c r="U1888" s="73" t="s">
        <v>1484</v>
      </c>
      <c r="V1888" s="73" t="s">
        <v>1484</v>
      </c>
      <c r="W1888" s="73" t="s">
        <v>1485</v>
      </c>
      <c r="X1888" s="73" t="s">
        <v>1484</v>
      </c>
      <c r="Y1888" s="73" t="s">
        <v>1484</v>
      </c>
      <c r="Z1888" s="73" t="s">
        <v>1485</v>
      </c>
      <c r="AA1888" s="73" t="s">
        <v>1485</v>
      </c>
      <c r="AB1888" s="73" t="s">
        <v>1484</v>
      </c>
      <c r="AC1888" s="73" t="s">
        <v>1486</v>
      </c>
      <c r="AD1888" s="73" t="s">
        <v>1487</v>
      </c>
      <c r="AE1888" s="75" t="s">
        <v>1488</v>
      </c>
    </row>
    <row r="1889" spans="1:31" x14ac:dyDescent="0.3">
      <c r="A1889" s="76"/>
      <c r="B1889" s="77"/>
      <c r="C1889" s="78" t="s">
        <v>1493</v>
      </c>
      <c r="D1889" s="78" t="s">
        <v>94</v>
      </c>
      <c r="E1889" s="78" t="s">
        <v>1620</v>
      </c>
      <c r="F1889" s="78" t="s">
        <v>1495</v>
      </c>
      <c r="G1889" s="78" t="s">
        <v>1492</v>
      </c>
      <c r="H1889" s="77"/>
      <c r="I1889" s="226"/>
      <c r="J1889" s="77"/>
      <c r="K1889" s="77"/>
      <c r="L1889" s="77"/>
      <c r="M1889" s="77"/>
      <c r="N1889" s="77"/>
      <c r="O1889" s="77"/>
      <c r="P1889" s="77"/>
      <c r="Q1889" s="77"/>
      <c r="R1889" s="77"/>
      <c r="S1889" s="77"/>
      <c r="T1889" s="77"/>
      <c r="U1889" s="77"/>
      <c r="V1889" s="77"/>
      <c r="W1889" s="77"/>
      <c r="X1889" s="77"/>
      <c r="Y1889" s="77"/>
      <c r="Z1889" s="77"/>
      <c r="AA1889" s="77"/>
      <c r="AB1889" s="77"/>
      <c r="AC1889" s="77"/>
      <c r="AD1889" s="77"/>
      <c r="AE1889" s="79"/>
    </row>
    <row r="1890" spans="1:31" x14ac:dyDescent="0.3">
      <c r="A1890" s="76"/>
      <c r="B1890" s="80"/>
      <c r="C1890" s="78" t="s">
        <v>1496</v>
      </c>
      <c r="D1890" s="78" t="s">
        <v>127</v>
      </c>
      <c r="E1890" s="78" t="s">
        <v>1618</v>
      </c>
      <c r="F1890" s="78" t="s">
        <v>1631</v>
      </c>
      <c r="G1890" s="78" t="s">
        <v>1492</v>
      </c>
      <c r="H1890" s="77"/>
      <c r="I1890" s="226"/>
      <c r="J1890" s="77"/>
      <c r="K1890" s="77"/>
      <c r="L1890" s="77"/>
      <c r="M1890" s="77"/>
      <c r="N1890" s="77"/>
      <c r="O1890" s="77"/>
      <c r="P1890" s="77"/>
      <c r="Q1890" s="77"/>
      <c r="R1890" s="77"/>
      <c r="S1890" s="77"/>
      <c r="T1890" s="77"/>
      <c r="U1890" s="77"/>
      <c r="V1890" s="77"/>
      <c r="W1890" s="77"/>
      <c r="X1890" s="77"/>
      <c r="Y1890" s="77"/>
      <c r="Z1890" s="77"/>
      <c r="AA1890" s="77"/>
      <c r="AB1890" s="77"/>
      <c r="AC1890" s="77"/>
      <c r="AD1890" s="77"/>
      <c r="AE1890" s="79"/>
    </row>
    <row r="1891" spans="1:31" x14ac:dyDescent="0.3">
      <c r="A1891" s="76"/>
      <c r="B1891" s="78" t="s">
        <v>1566</v>
      </c>
      <c r="C1891" s="78" t="s">
        <v>1502</v>
      </c>
      <c r="D1891" s="78" t="s">
        <v>96</v>
      </c>
      <c r="E1891" s="78" t="s">
        <v>1480</v>
      </c>
      <c r="F1891" s="78" t="s">
        <v>1518</v>
      </c>
      <c r="G1891" s="78" t="s">
        <v>1513</v>
      </c>
      <c r="H1891" s="77"/>
      <c r="I1891" s="226"/>
      <c r="J1891" s="77"/>
      <c r="K1891" s="77"/>
      <c r="L1891" s="77"/>
      <c r="M1891" s="77"/>
      <c r="N1891" s="77"/>
      <c r="O1891" s="77"/>
      <c r="P1891" s="77"/>
      <c r="Q1891" s="77"/>
      <c r="R1891" s="77"/>
      <c r="S1891" s="77"/>
      <c r="T1891" s="77"/>
      <c r="U1891" s="77"/>
      <c r="V1891" s="77"/>
      <c r="W1891" s="77"/>
      <c r="X1891" s="77"/>
      <c r="Y1891" s="77"/>
      <c r="Z1891" s="77"/>
      <c r="AA1891" s="77"/>
      <c r="AB1891" s="77"/>
      <c r="AC1891" s="77"/>
      <c r="AD1891" s="77"/>
      <c r="AE1891" s="79"/>
    </row>
    <row r="1892" spans="1:31" x14ac:dyDescent="0.3">
      <c r="A1892" s="76"/>
      <c r="B1892" s="78" t="s">
        <v>1730</v>
      </c>
      <c r="C1892" s="78" t="s">
        <v>1489</v>
      </c>
      <c r="D1892" s="78" t="s">
        <v>94</v>
      </c>
      <c r="E1892" s="78" t="s">
        <v>1620</v>
      </c>
      <c r="F1892" s="78" t="s">
        <v>1495</v>
      </c>
      <c r="G1892" s="78" t="s">
        <v>1513</v>
      </c>
      <c r="H1892" s="77"/>
      <c r="I1892" s="226"/>
      <c r="J1892" s="77"/>
      <c r="K1892" s="77"/>
      <c r="L1892" s="77"/>
      <c r="M1892" s="77"/>
      <c r="N1892" s="77"/>
      <c r="O1892" s="77"/>
      <c r="P1892" s="77"/>
      <c r="Q1892" s="77"/>
      <c r="R1892" s="77"/>
      <c r="S1892" s="77"/>
      <c r="T1892" s="77"/>
      <c r="U1892" s="77"/>
      <c r="V1892" s="77"/>
      <c r="W1892" s="77"/>
      <c r="X1892" s="77"/>
      <c r="Y1892" s="77"/>
      <c r="Z1892" s="77"/>
      <c r="AA1892" s="77"/>
      <c r="AB1892" s="77"/>
      <c r="AC1892" s="77"/>
      <c r="AD1892" s="77"/>
      <c r="AE1892" s="79"/>
    </row>
    <row r="1893" spans="1:31" x14ac:dyDescent="0.3">
      <c r="A1893" s="76"/>
      <c r="B1893" s="78" t="s">
        <v>1693</v>
      </c>
      <c r="C1893" s="78" t="s">
        <v>1496</v>
      </c>
      <c r="D1893" s="78" t="s">
        <v>496</v>
      </c>
      <c r="E1893" s="78" t="s">
        <v>1694</v>
      </c>
      <c r="F1893" s="78" t="s">
        <v>1558</v>
      </c>
      <c r="G1893" s="78" t="s">
        <v>1513</v>
      </c>
      <c r="H1893" s="77"/>
      <c r="I1893" s="226"/>
      <c r="J1893" s="77"/>
      <c r="K1893" s="77"/>
      <c r="L1893" s="77"/>
      <c r="M1893" s="77"/>
      <c r="N1893" s="77"/>
      <c r="O1893" s="77"/>
      <c r="P1893" s="77"/>
      <c r="Q1893" s="77"/>
      <c r="R1893" s="77"/>
      <c r="S1893" s="77"/>
      <c r="T1893" s="77"/>
      <c r="U1893" s="77"/>
      <c r="V1893" s="77"/>
      <c r="W1893" s="77"/>
      <c r="X1893" s="77"/>
      <c r="Y1893" s="77"/>
      <c r="Z1893" s="77"/>
      <c r="AA1893" s="77"/>
      <c r="AB1893" s="77"/>
      <c r="AC1893" s="77"/>
      <c r="AD1893" s="77"/>
      <c r="AE1893" s="79"/>
    </row>
    <row r="1894" spans="1:31" ht="15" thickBot="1" x14ac:dyDescent="0.35">
      <c r="A1894" s="81"/>
      <c r="B1894" s="82" t="s">
        <v>1637</v>
      </c>
      <c r="C1894" s="82" t="s">
        <v>1504</v>
      </c>
      <c r="D1894" s="82" t="s">
        <v>127</v>
      </c>
      <c r="E1894" s="82" t="s">
        <v>1618</v>
      </c>
      <c r="F1894" s="82" t="s">
        <v>1631</v>
      </c>
      <c r="G1894" s="82" t="s">
        <v>1513</v>
      </c>
      <c r="H1894" s="83"/>
      <c r="I1894" s="227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  <c r="X1894" s="83"/>
      <c r="Y1894" s="83"/>
      <c r="Z1894" s="83"/>
      <c r="AA1894" s="83"/>
      <c r="AB1894" s="83"/>
      <c r="AC1894" s="83"/>
      <c r="AD1894" s="83"/>
      <c r="AE1894" s="84"/>
    </row>
    <row r="1895" spans="1:31" x14ac:dyDescent="0.3">
      <c r="A1895" s="72" t="s">
        <v>1174</v>
      </c>
      <c r="B1895" s="73" t="s">
        <v>2211</v>
      </c>
      <c r="C1895" s="74" t="s">
        <v>1479</v>
      </c>
      <c r="D1895" s="74" t="s">
        <v>1175</v>
      </c>
      <c r="E1895" s="74" t="s">
        <v>1480</v>
      </c>
      <c r="F1895" s="74"/>
      <c r="G1895" s="74" t="s">
        <v>1481</v>
      </c>
      <c r="H1895" s="73" t="s">
        <v>1575</v>
      </c>
      <c r="I1895" s="225" t="s">
        <v>1485</v>
      </c>
      <c r="J1895" s="73" t="s">
        <v>1173</v>
      </c>
      <c r="K1895" s="73" t="s">
        <v>1485</v>
      </c>
      <c r="L1895" s="73" t="s">
        <v>195</v>
      </c>
      <c r="M1895" s="73" t="s">
        <v>1483</v>
      </c>
      <c r="N1895" s="73" t="s">
        <v>1483</v>
      </c>
      <c r="O1895" s="73" t="s">
        <v>1483</v>
      </c>
      <c r="P1895" s="73" t="s">
        <v>1483</v>
      </c>
      <c r="Q1895" s="73" t="s">
        <v>1483</v>
      </c>
      <c r="R1895" s="73" t="s">
        <v>1483</v>
      </c>
      <c r="S1895" s="73" t="s">
        <v>1484</v>
      </c>
      <c r="T1895" s="73" t="s">
        <v>1484</v>
      </c>
      <c r="U1895" s="73" t="s">
        <v>1484</v>
      </c>
      <c r="V1895" s="73" t="s">
        <v>1484</v>
      </c>
      <c r="W1895" s="73" t="s">
        <v>1485</v>
      </c>
      <c r="X1895" s="73" t="s">
        <v>1484</v>
      </c>
      <c r="Y1895" s="73" t="s">
        <v>1484</v>
      </c>
      <c r="Z1895" s="73" t="s">
        <v>1484</v>
      </c>
      <c r="AA1895" s="73" t="s">
        <v>1485</v>
      </c>
      <c r="AB1895" s="73" t="s">
        <v>1484</v>
      </c>
      <c r="AC1895" s="73" t="s">
        <v>1486</v>
      </c>
      <c r="AD1895" s="73" t="s">
        <v>1487</v>
      </c>
      <c r="AE1895" s="75" t="s">
        <v>1579</v>
      </c>
    </row>
    <row r="1896" spans="1:31" x14ac:dyDescent="0.3">
      <c r="A1896" s="76"/>
      <c r="B1896" s="77"/>
      <c r="C1896" s="78" t="s">
        <v>1489</v>
      </c>
      <c r="D1896" s="78" t="s">
        <v>243</v>
      </c>
      <c r="E1896" s="78" t="s">
        <v>2004</v>
      </c>
      <c r="F1896" s="78" t="s">
        <v>1611</v>
      </c>
      <c r="G1896" s="78" t="s">
        <v>1492</v>
      </c>
      <c r="H1896" s="77"/>
      <c r="I1896" s="226"/>
      <c r="J1896" s="77"/>
      <c r="K1896" s="77"/>
      <c r="L1896" s="77"/>
      <c r="M1896" s="77"/>
      <c r="N1896" s="77"/>
      <c r="O1896" s="77"/>
      <c r="P1896" s="77"/>
      <c r="Q1896" s="77"/>
      <c r="R1896" s="77"/>
      <c r="S1896" s="77"/>
      <c r="T1896" s="77"/>
      <c r="U1896" s="77"/>
      <c r="V1896" s="77"/>
      <c r="W1896" s="77"/>
      <c r="X1896" s="77"/>
      <c r="Y1896" s="77"/>
      <c r="Z1896" s="77"/>
      <c r="AA1896" s="77"/>
      <c r="AB1896" s="77"/>
      <c r="AC1896" s="77"/>
      <c r="AD1896" s="77"/>
      <c r="AE1896" s="79"/>
    </row>
    <row r="1897" spans="1:31" x14ac:dyDescent="0.3">
      <c r="A1897" s="76"/>
      <c r="B1897" s="77"/>
      <c r="C1897" s="78" t="s">
        <v>1493</v>
      </c>
      <c r="D1897" s="78" t="s">
        <v>748</v>
      </c>
      <c r="E1897" s="78" t="s">
        <v>1620</v>
      </c>
      <c r="F1897" s="78" t="s">
        <v>1495</v>
      </c>
      <c r="G1897" s="78" t="s">
        <v>1492</v>
      </c>
      <c r="H1897" s="77"/>
      <c r="I1897" s="226"/>
      <c r="J1897" s="77"/>
      <c r="K1897" s="77"/>
      <c r="L1897" s="77"/>
      <c r="M1897" s="77"/>
      <c r="N1897" s="77"/>
      <c r="O1897" s="77"/>
      <c r="P1897" s="77"/>
      <c r="Q1897" s="77"/>
      <c r="R1897" s="77"/>
      <c r="S1897" s="77"/>
      <c r="T1897" s="77"/>
      <c r="U1897" s="77"/>
      <c r="V1897" s="77"/>
      <c r="W1897" s="77"/>
      <c r="X1897" s="77"/>
      <c r="Y1897" s="77"/>
      <c r="Z1897" s="77"/>
      <c r="AA1897" s="77"/>
      <c r="AB1897" s="77"/>
      <c r="AC1897" s="77"/>
      <c r="AD1897" s="77"/>
      <c r="AE1897" s="79"/>
    </row>
    <row r="1898" spans="1:31" x14ac:dyDescent="0.3">
      <c r="A1898" s="76"/>
      <c r="B1898" s="80"/>
      <c r="C1898" s="78" t="s">
        <v>1499</v>
      </c>
      <c r="D1898" s="78" t="s">
        <v>92</v>
      </c>
      <c r="E1898" s="78" t="s">
        <v>1500</v>
      </c>
      <c r="F1898" s="78" t="s">
        <v>1501</v>
      </c>
      <c r="G1898" s="78" t="s">
        <v>1492</v>
      </c>
      <c r="H1898" s="77"/>
      <c r="I1898" s="226"/>
      <c r="J1898" s="77"/>
      <c r="K1898" s="77"/>
      <c r="L1898" s="77"/>
      <c r="M1898" s="77"/>
      <c r="N1898" s="77"/>
      <c r="O1898" s="77"/>
      <c r="P1898" s="77"/>
      <c r="Q1898" s="77"/>
      <c r="R1898" s="77"/>
      <c r="S1898" s="77"/>
      <c r="T1898" s="77"/>
      <c r="U1898" s="77"/>
      <c r="V1898" s="77"/>
      <c r="W1898" s="77"/>
      <c r="X1898" s="77"/>
      <c r="Y1898" s="77"/>
      <c r="Z1898" s="77"/>
      <c r="AA1898" s="77"/>
      <c r="AB1898" s="77"/>
      <c r="AC1898" s="77"/>
      <c r="AD1898" s="77"/>
      <c r="AE1898" s="79"/>
    </row>
    <row r="1899" spans="1:31" x14ac:dyDescent="0.3">
      <c r="A1899" s="76"/>
      <c r="B1899" s="78" t="s">
        <v>1584</v>
      </c>
      <c r="C1899" s="78" t="s">
        <v>1502</v>
      </c>
      <c r="D1899" s="78" t="s">
        <v>173</v>
      </c>
      <c r="E1899" s="78" t="s">
        <v>1480</v>
      </c>
      <c r="F1899" s="78" t="s">
        <v>1518</v>
      </c>
      <c r="G1899" s="78" t="s">
        <v>1513</v>
      </c>
      <c r="H1899" s="77"/>
      <c r="I1899" s="226"/>
      <c r="J1899" s="77"/>
      <c r="K1899" s="77"/>
      <c r="L1899" s="77"/>
      <c r="M1899" s="77"/>
      <c r="N1899" s="77"/>
      <c r="O1899" s="77"/>
      <c r="P1899" s="77"/>
      <c r="Q1899" s="77"/>
      <c r="R1899" s="77"/>
      <c r="S1899" s="77"/>
      <c r="T1899" s="77"/>
      <c r="U1899" s="77"/>
      <c r="V1899" s="77"/>
      <c r="W1899" s="77"/>
      <c r="X1899" s="77"/>
      <c r="Y1899" s="77"/>
      <c r="Z1899" s="77"/>
      <c r="AA1899" s="77"/>
      <c r="AB1899" s="77"/>
      <c r="AC1899" s="77"/>
      <c r="AD1899" s="77"/>
      <c r="AE1899" s="79"/>
    </row>
    <row r="1900" spans="1:31" x14ac:dyDescent="0.3">
      <c r="A1900" s="76"/>
      <c r="B1900" s="78" t="s">
        <v>2066</v>
      </c>
      <c r="C1900" s="78" t="s">
        <v>1489</v>
      </c>
      <c r="D1900" s="78" t="s">
        <v>748</v>
      </c>
      <c r="E1900" s="78" t="s">
        <v>1620</v>
      </c>
      <c r="F1900" s="78" t="s">
        <v>1495</v>
      </c>
      <c r="G1900" s="78" t="s">
        <v>1513</v>
      </c>
      <c r="H1900" s="77"/>
      <c r="I1900" s="226"/>
      <c r="J1900" s="77"/>
      <c r="K1900" s="77"/>
      <c r="L1900" s="77"/>
      <c r="M1900" s="77"/>
      <c r="N1900" s="77"/>
      <c r="O1900" s="77"/>
      <c r="P1900" s="77"/>
      <c r="Q1900" s="77"/>
      <c r="R1900" s="77"/>
      <c r="S1900" s="77"/>
      <c r="T1900" s="77"/>
      <c r="U1900" s="77"/>
      <c r="V1900" s="77"/>
      <c r="W1900" s="77"/>
      <c r="X1900" s="77"/>
      <c r="Y1900" s="77"/>
      <c r="Z1900" s="77"/>
      <c r="AA1900" s="77"/>
      <c r="AB1900" s="77"/>
      <c r="AC1900" s="77"/>
      <c r="AD1900" s="77"/>
      <c r="AE1900" s="79"/>
    </row>
    <row r="1901" spans="1:31" ht="15" thickBot="1" x14ac:dyDescent="0.35">
      <c r="A1901" s="81"/>
      <c r="B1901" s="82" t="s">
        <v>1649</v>
      </c>
      <c r="C1901" s="82" t="s">
        <v>1507</v>
      </c>
      <c r="D1901" s="82" t="s">
        <v>92</v>
      </c>
      <c r="E1901" s="82" t="s">
        <v>1500</v>
      </c>
      <c r="F1901" s="82" t="s">
        <v>1501</v>
      </c>
      <c r="G1901" s="82" t="s">
        <v>1513</v>
      </c>
      <c r="H1901" s="83"/>
      <c r="I1901" s="227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  <c r="X1901" s="83"/>
      <c r="Y1901" s="83"/>
      <c r="Z1901" s="83"/>
      <c r="AA1901" s="83"/>
      <c r="AB1901" s="83"/>
      <c r="AC1901" s="83"/>
      <c r="AD1901" s="83"/>
      <c r="AE1901" s="84"/>
    </row>
    <row r="1902" spans="1:31" x14ac:dyDescent="0.3">
      <c r="A1902" s="72" t="s">
        <v>1178</v>
      </c>
      <c r="B1902" s="73" t="s">
        <v>2212</v>
      </c>
      <c r="C1902" s="74" t="s">
        <v>1479</v>
      </c>
      <c r="D1902" s="74" t="s">
        <v>1179</v>
      </c>
      <c r="E1902" s="74" t="s">
        <v>1480</v>
      </c>
      <c r="F1902" s="74"/>
      <c r="G1902" s="74" t="s">
        <v>1481</v>
      </c>
      <c r="H1902" s="73" t="s">
        <v>1482</v>
      </c>
      <c r="I1902" s="225" t="s">
        <v>1485</v>
      </c>
      <c r="J1902" s="73" t="s">
        <v>1177</v>
      </c>
      <c r="K1902" s="73" t="s">
        <v>1485</v>
      </c>
      <c r="L1902" s="73" t="s">
        <v>195</v>
      </c>
      <c r="M1902" s="73" t="s">
        <v>1483</v>
      </c>
      <c r="N1902" s="73" t="s">
        <v>1483</v>
      </c>
      <c r="O1902" s="73" t="s">
        <v>1483</v>
      </c>
      <c r="P1902" s="73" t="s">
        <v>1483</v>
      </c>
      <c r="Q1902" s="73" t="s">
        <v>1483</v>
      </c>
      <c r="R1902" s="73" t="s">
        <v>1483</v>
      </c>
      <c r="S1902" s="73" t="s">
        <v>1484</v>
      </c>
      <c r="T1902" s="73" t="s">
        <v>1484</v>
      </c>
      <c r="U1902" s="73" t="s">
        <v>1484</v>
      </c>
      <c r="V1902" s="73" t="s">
        <v>1484</v>
      </c>
      <c r="W1902" s="73" t="s">
        <v>1485</v>
      </c>
      <c r="X1902" s="73" t="s">
        <v>1484</v>
      </c>
      <c r="Y1902" s="73" t="s">
        <v>1484</v>
      </c>
      <c r="Z1902" s="73" t="s">
        <v>1485</v>
      </c>
      <c r="AA1902" s="73" t="s">
        <v>1485</v>
      </c>
      <c r="AB1902" s="73" t="s">
        <v>1484</v>
      </c>
      <c r="AC1902" s="73" t="s">
        <v>1486</v>
      </c>
      <c r="AD1902" s="73" t="s">
        <v>1487</v>
      </c>
      <c r="AE1902" s="75" t="s">
        <v>1488</v>
      </c>
    </row>
    <row r="1903" spans="1:31" x14ac:dyDescent="0.3">
      <c r="A1903" s="76"/>
      <c r="B1903" s="80"/>
      <c r="C1903" s="78" t="s">
        <v>1493</v>
      </c>
      <c r="D1903" s="78" t="s">
        <v>759</v>
      </c>
      <c r="E1903" s="78" t="s">
        <v>1620</v>
      </c>
      <c r="F1903" s="78" t="s">
        <v>1495</v>
      </c>
      <c r="G1903" s="78" t="s">
        <v>1492</v>
      </c>
      <c r="H1903" s="77"/>
      <c r="I1903" s="226"/>
      <c r="J1903" s="77"/>
      <c r="K1903" s="77"/>
      <c r="L1903" s="77"/>
      <c r="M1903" s="77"/>
      <c r="N1903" s="77"/>
      <c r="O1903" s="77"/>
      <c r="P1903" s="77"/>
      <c r="Q1903" s="77"/>
      <c r="R1903" s="77"/>
      <c r="S1903" s="77"/>
      <c r="T1903" s="77"/>
      <c r="U1903" s="77"/>
      <c r="V1903" s="77"/>
      <c r="W1903" s="77"/>
      <c r="X1903" s="77"/>
      <c r="Y1903" s="77"/>
      <c r="Z1903" s="77"/>
      <c r="AA1903" s="77"/>
      <c r="AB1903" s="77"/>
      <c r="AC1903" s="77"/>
      <c r="AD1903" s="77"/>
      <c r="AE1903" s="79"/>
    </row>
    <row r="1904" spans="1:31" x14ac:dyDescent="0.3">
      <c r="A1904" s="76"/>
      <c r="B1904" s="78" t="s">
        <v>2010</v>
      </c>
      <c r="C1904" s="78" t="s">
        <v>1496</v>
      </c>
      <c r="D1904" s="78" t="s">
        <v>266</v>
      </c>
      <c r="E1904" s="78" t="s">
        <v>2004</v>
      </c>
      <c r="F1904" s="78" t="s">
        <v>1600</v>
      </c>
      <c r="G1904" s="78" t="s">
        <v>1513</v>
      </c>
      <c r="H1904" s="77"/>
      <c r="I1904" s="226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U1904" s="77"/>
      <c r="V1904" s="77"/>
      <c r="W1904" s="77"/>
      <c r="X1904" s="77"/>
      <c r="Y1904" s="77"/>
      <c r="Z1904" s="77"/>
      <c r="AA1904" s="77"/>
      <c r="AB1904" s="77"/>
      <c r="AC1904" s="77"/>
      <c r="AD1904" s="77"/>
      <c r="AE1904" s="79"/>
    </row>
    <row r="1905" spans="1:31" x14ac:dyDescent="0.3">
      <c r="A1905" s="76"/>
      <c r="B1905" s="78" t="s">
        <v>1593</v>
      </c>
      <c r="C1905" s="78" t="s">
        <v>1502</v>
      </c>
      <c r="D1905" s="78" t="s">
        <v>160</v>
      </c>
      <c r="E1905" s="78" t="s">
        <v>1480</v>
      </c>
      <c r="F1905" s="78" t="s">
        <v>1518</v>
      </c>
      <c r="G1905" s="78" t="s">
        <v>1513</v>
      </c>
      <c r="H1905" s="77"/>
      <c r="I1905" s="226"/>
      <c r="J1905" s="77"/>
      <c r="K1905" s="77"/>
      <c r="L1905" s="77"/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  <c r="AA1905" s="77"/>
      <c r="AB1905" s="77"/>
      <c r="AC1905" s="77"/>
      <c r="AD1905" s="77"/>
      <c r="AE1905" s="79"/>
    </row>
    <row r="1906" spans="1:31" ht="15" thickBot="1" x14ac:dyDescent="0.35">
      <c r="A1906" s="81"/>
      <c r="B1906" s="82" t="s">
        <v>2068</v>
      </c>
      <c r="C1906" s="82" t="s">
        <v>1489</v>
      </c>
      <c r="D1906" s="82" t="s">
        <v>759</v>
      </c>
      <c r="E1906" s="82" t="s">
        <v>1620</v>
      </c>
      <c r="F1906" s="82" t="s">
        <v>1495</v>
      </c>
      <c r="G1906" s="82" t="s">
        <v>1513</v>
      </c>
      <c r="H1906" s="83"/>
      <c r="I1906" s="226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  <c r="X1906" s="83"/>
      <c r="Y1906" s="83"/>
      <c r="Z1906" s="83"/>
      <c r="AA1906" s="83"/>
      <c r="AB1906" s="83"/>
      <c r="AC1906" s="83"/>
      <c r="AD1906" s="83"/>
      <c r="AE1906" s="84"/>
    </row>
    <row r="1907" spans="1:31" x14ac:dyDescent="0.3">
      <c r="A1907" s="72" t="s">
        <v>1182</v>
      </c>
      <c r="B1907" s="73" t="s">
        <v>2213</v>
      </c>
      <c r="C1907" s="74" t="s">
        <v>1479</v>
      </c>
      <c r="D1907" s="74" t="s">
        <v>1183</v>
      </c>
      <c r="E1907" s="74" t="s">
        <v>1480</v>
      </c>
      <c r="F1907" s="74"/>
      <c r="G1907" s="74" t="s">
        <v>1481</v>
      </c>
      <c r="H1907" s="73" t="s">
        <v>1482</v>
      </c>
      <c r="I1907" s="226"/>
      <c r="J1907" s="73" t="s">
        <v>1181</v>
      </c>
      <c r="K1907" s="73" t="s">
        <v>1485</v>
      </c>
      <c r="L1907" s="73" t="s">
        <v>195</v>
      </c>
      <c r="M1907" s="73" t="s">
        <v>1483</v>
      </c>
      <c r="N1907" s="73" t="s">
        <v>1483</v>
      </c>
      <c r="O1907" s="73" t="s">
        <v>1483</v>
      </c>
      <c r="P1907" s="73" t="s">
        <v>1483</v>
      </c>
      <c r="Q1907" s="73" t="s">
        <v>1483</v>
      </c>
      <c r="R1907" s="73" t="s">
        <v>1483</v>
      </c>
      <c r="S1907" s="73" t="s">
        <v>1484</v>
      </c>
      <c r="T1907" s="73" t="s">
        <v>1484</v>
      </c>
      <c r="U1907" s="73" t="s">
        <v>1484</v>
      </c>
      <c r="V1907" s="73" t="s">
        <v>1484</v>
      </c>
      <c r="W1907" s="73" t="s">
        <v>1485</v>
      </c>
      <c r="X1907" s="73" t="s">
        <v>1484</v>
      </c>
      <c r="Y1907" s="73" t="s">
        <v>1484</v>
      </c>
      <c r="Z1907" s="73" t="s">
        <v>1485</v>
      </c>
      <c r="AA1907" s="73" t="s">
        <v>1485</v>
      </c>
      <c r="AB1907" s="73" t="s">
        <v>1484</v>
      </c>
      <c r="AC1907" s="73" t="s">
        <v>1486</v>
      </c>
      <c r="AD1907" s="73" t="s">
        <v>1487</v>
      </c>
      <c r="AE1907" s="75" t="s">
        <v>1488</v>
      </c>
    </row>
    <row r="1908" spans="1:31" x14ac:dyDescent="0.3">
      <c r="A1908" s="76"/>
      <c r="B1908" s="80"/>
      <c r="C1908" s="78" t="s">
        <v>1493</v>
      </c>
      <c r="D1908" s="78" t="s">
        <v>770</v>
      </c>
      <c r="E1908" s="78" t="s">
        <v>1620</v>
      </c>
      <c r="F1908" s="78" t="s">
        <v>1495</v>
      </c>
      <c r="G1908" s="78" t="s">
        <v>1492</v>
      </c>
      <c r="H1908" s="77"/>
      <c r="I1908" s="226"/>
      <c r="J1908" s="77"/>
      <c r="K1908" s="77"/>
      <c r="L1908" s="77"/>
      <c r="M1908" s="77"/>
      <c r="N1908" s="77"/>
      <c r="O1908" s="77"/>
      <c r="P1908" s="77"/>
      <c r="Q1908" s="77"/>
      <c r="R1908" s="77"/>
      <c r="S1908" s="77"/>
      <c r="T1908" s="77"/>
      <c r="U1908" s="77"/>
      <c r="V1908" s="77"/>
      <c r="W1908" s="77"/>
      <c r="X1908" s="77"/>
      <c r="Y1908" s="77"/>
      <c r="Z1908" s="77"/>
      <c r="AA1908" s="77"/>
      <c r="AB1908" s="77"/>
      <c r="AC1908" s="77"/>
      <c r="AD1908" s="77"/>
      <c r="AE1908" s="79"/>
    </row>
    <row r="1909" spans="1:31" ht="15" thickBot="1" x14ac:dyDescent="0.35">
      <c r="A1909" s="76"/>
      <c r="B1909" s="78" t="s">
        <v>1601</v>
      </c>
      <c r="C1909" s="78" t="s">
        <v>1502</v>
      </c>
      <c r="D1909" s="78" t="s">
        <v>255</v>
      </c>
      <c r="E1909" s="78" t="s">
        <v>1480</v>
      </c>
      <c r="F1909" s="78" t="s">
        <v>1518</v>
      </c>
      <c r="G1909" s="78" t="s">
        <v>1513</v>
      </c>
      <c r="H1909" s="77"/>
      <c r="I1909" s="227"/>
      <c r="J1909" s="77"/>
      <c r="K1909" s="77"/>
      <c r="L1909" s="77"/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  <c r="AA1909" s="77"/>
      <c r="AB1909" s="77"/>
      <c r="AC1909" s="77"/>
      <c r="AD1909" s="77"/>
      <c r="AE1909" s="79"/>
    </row>
    <row r="1910" spans="1:31" ht="15" thickBot="1" x14ac:dyDescent="0.35">
      <c r="A1910" s="81"/>
      <c r="B1910" s="82" t="s">
        <v>2072</v>
      </c>
      <c r="C1910" s="82" t="s">
        <v>1489</v>
      </c>
      <c r="D1910" s="82" t="s">
        <v>770</v>
      </c>
      <c r="E1910" s="82" t="s">
        <v>1620</v>
      </c>
      <c r="F1910" s="82" t="s">
        <v>1495</v>
      </c>
      <c r="G1910" s="82" t="s">
        <v>1513</v>
      </c>
      <c r="H1910" s="83"/>
      <c r="I1910" s="225" t="s">
        <v>1485</v>
      </c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  <c r="X1910" s="83"/>
      <c r="Y1910" s="83"/>
      <c r="Z1910" s="83"/>
      <c r="AA1910" s="83"/>
      <c r="AB1910" s="83"/>
      <c r="AC1910" s="83"/>
      <c r="AD1910" s="83"/>
      <c r="AE1910" s="84"/>
    </row>
    <row r="1911" spans="1:31" x14ac:dyDescent="0.3">
      <c r="A1911" s="72" t="s">
        <v>1186</v>
      </c>
      <c r="B1911" s="73" t="s">
        <v>2214</v>
      </c>
      <c r="C1911" s="74" t="s">
        <v>1479</v>
      </c>
      <c r="D1911" s="74" t="s">
        <v>1187</v>
      </c>
      <c r="E1911" s="74" t="s">
        <v>1480</v>
      </c>
      <c r="F1911" s="74"/>
      <c r="G1911" s="74" t="s">
        <v>1481</v>
      </c>
      <c r="H1911" s="73" t="s">
        <v>1575</v>
      </c>
      <c r="I1911" s="226"/>
      <c r="J1911" s="73" t="s">
        <v>1185</v>
      </c>
      <c r="K1911" s="73" t="s">
        <v>1485</v>
      </c>
      <c r="L1911" s="73" t="s">
        <v>195</v>
      </c>
      <c r="M1911" s="73" t="s">
        <v>1483</v>
      </c>
      <c r="N1911" s="73" t="s">
        <v>1483</v>
      </c>
      <c r="O1911" s="73" t="s">
        <v>1483</v>
      </c>
      <c r="P1911" s="73" t="s">
        <v>1483</v>
      </c>
      <c r="Q1911" s="73" t="s">
        <v>1483</v>
      </c>
      <c r="R1911" s="73" t="s">
        <v>1483</v>
      </c>
      <c r="S1911" s="73" t="s">
        <v>1484</v>
      </c>
      <c r="T1911" s="73" t="s">
        <v>1484</v>
      </c>
      <c r="U1911" s="73" t="s">
        <v>1484</v>
      </c>
      <c r="V1911" s="73" t="s">
        <v>1484</v>
      </c>
      <c r="W1911" s="73" t="s">
        <v>1485</v>
      </c>
      <c r="X1911" s="73" t="s">
        <v>1484</v>
      </c>
      <c r="Y1911" s="73" t="s">
        <v>1484</v>
      </c>
      <c r="Z1911" s="73" t="s">
        <v>1484</v>
      </c>
      <c r="AA1911" s="73" t="s">
        <v>1485</v>
      </c>
      <c r="AB1911" s="73" t="s">
        <v>1484</v>
      </c>
      <c r="AC1911" s="73" t="s">
        <v>1486</v>
      </c>
      <c r="AD1911" s="73" t="s">
        <v>1487</v>
      </c>
      <c r="AE1911" s="75" t="s">
        <v>1579</v>
      </c>
    </row>
    <row r="1912" spans="1:31" x14ac:dyDescent="0.3">
      <c r="A1912" s="76"/>
      <c r="B1912" s="77"/>
      <c r="C1912" s="78" t="s">
        <v>1493</v>
      </c>
      <c r="D1912" s="78" t="s">
        <v>911</v>
      </c>
      <c r="E1912" s="78" t="s">
        <v>1620</v>
      </c>
      <c r="F1912" s="78" t="s">
        <v>1495</v>
      </c>
      <c r="G1912" s="78" t="s">
        <v>1492</v>
      </c>
      <c r="H1912" s="77"/>
      <c r="I1912" s="226"/>
      <c r="J1912" s="77"/>
      <c r="K1912" s="77"/>
      <c r="L1912" s="77"/>
      <c r="M1912" s="77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  <c r="AA1912" s="77"/>
      <c r="AB1912" s="77"/>
      <c r="AC1912" s="77"/>
      <c r="AD1912" s="77"/>
      <c r="AE1912" s="79"/>
    </row>
    <row r="1913" spans="1:31" x14ac:dyDescent="0.3">
      <c r="A1913" s="76"/>
      <c r="B1913" s="77"/>
      <c r="C1913" s="78" t="s">
        <v>1496</v>
      </c>
      <c r="D1913" s="78" t="s">
        <v>484</v>
      </c>
      <c r="E1913" s="78" t="s">
        <v>1980</v>
      </c>
      <c r="F1913" s="78" t="s">
        <v>1989</v>
      </c>
      <c r="G1913" s="78" t="s">
        <v>1492</v>
      </c>
      <c r="H1913" s="77"/>
      <c r="I1913" s="226"/>
      <c r="J1913" s="77"/>
      <c r="K1913" s="77"/>
      <c r="L1913" s="77"/>
      <c r="M1913" s="77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  <c r="AA1913" s="77"/>
      <c r="AB1913" s="77"/>
      <c r="AC1913" s="77"/>
      <c r="AD1913" s="77"/>
      <c r="AE1913" s="79"/>
    </row>
    <row r="1914" spans="1:31" x14ac:dyDescent="0.3">
      <c r="A1914" s="76"/>
      <c r="B1914" s="80"/>
      <c r="C1914" s="78" t="s">
        <v>1499</v>
      </c>
      <c r="D1914" s="78" t="s">
        <v>106</v>
      </c>
      <c r="E1914" s="78" t="s">
        <v>1500</v>
      </c>
      <c r="F1914" s="78" t="s">
        <v>1501</v>
      </c>
      <c r="G1914" s="78" t="s">
        <v>1492</v>
      </c>
      <c r="H1914" s="77"/>
      <c r="I1914" s="226"/>
      <c r="J1914" s="77"/>
      <c r="K1914" s="77"/>
      <c r="L1914" s="77"/>
      <c r="M1914" s="77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  <c r="AA1914" s="77"/>
      <c r="AB1914" s="77"/>
      <c r="AC1914" s="77"/>
      <c r="AD1914" s="77"/>
      <c r="AE1914" s="79"/>
    </row>
    <row r="1915" spans="1:31" x14ac:dyDescent="0.3">
      <c r="A1915" s="76"/>
      <c r="B1915" s="78" t="s">
        <v>1612</v>
      </c>
      <c r="C1915" s="78" t="s">
        <v>1502</v>
      </c>
      <c r="D1915" s="78" t="s">
        <v>283</v>
      </c>
      <c r="E1915" s="78" t="s">
        <v>1480</v>
      </c>
      <c r="F1915" s="78" t="s">
        <v>1518</v>
      </c>
      <c r="G1915" s="78" t="s">
        <v>1513</v>
      </c>
      <c r="H1915" s="77"/>
      <c r="I1915" s="226"/>
      <c r="J1915" s="77"/>
      <c r="K1915" s="77"/>
      <c r="L1915" s="77"/>
      <c r="M1915" s="77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  <c r="AA1915" s="77"/>
      <c r="AB1915" s="77"/>
      <c r="AC1915" s="77"/>
      <c r="AD1915" s="77"/>
      <c r="AE1915" s="79"/>
    </row>
    <row r="1916" spans="1:31" ht="15" thickBot="1" x14ac:dyDescent="0.35">
      <c r="A1916" s="76"/>
      <c r="B1916" s="78" t="s">
        <v>1626</v>
      </c>
      <c r="C1916" s="78" t="s">
        <v>1493</v>
      </c>
      <c r="D1916" s="78" t="s">
        <v>911</v>
      </c>
      <c r="E1916" s="78" t="s">
        <v>1620</v>
      </c>
      <c r="F1916" s="78" t="s">
        <v>1495</v>
      </c>
      <c r="G1916" s="78" t="s">
        <v>1513</v>
      </c>
      <c r="H1916" s="77"/>
      <c r="I1916" s="227"/>
      <c r="J1916" s="77"/>
      <c r="K1916" s="77"/>
      <c r="L1916" s="77"/>
      <c r="M1916" s="77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  <c r="AA1916" s="77"/>
      <c r="AB1916" s="77"/>
      <c r="AC1916" s="77"/>
      <c r="AD1916" s="77"/>
      <c r="AE1916" s="79"/>
    </row>
    <row r="1917" spans="1:31" x14ac:dyDescent="0.3">
      <c r="A1917" s="76"/>
      <c r="B1917" s="78" t="s">
        <v>1656</v>
      </c>
      <c r="C1917" s="78" t="s">
        <v>1586</v>
      </c>
      <c r="D1917" s="78" t="s">
        <v>106</v>
      </c>
      <c r="E1917" s="78" t="s">
        <v>1500</v>
      </c>
      <c r="F1917" s="78" t="s">
        <v>1501</v>
      </c>
      <c r="G1917" s="78" t="s">
        <v>1513</v>
      </c>
      <c r="H1917" s="77"/>
      <c r="I1917" s="225" t="s">
        <v>1485</v>
      </c>
      <c r="J1917" s="77"/>
      <c r="K1917" s="77"/>
      <c r="L1917" s="77"/>
      <c r="M1917" s="77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  <c r="AA1917" s="77"/>
      <c r="AB1917" s="77"/>
      <c r="AC1917" s="77"/>
      <c r="AD1917" s="77"/>
      <c r="AE1917" s="79"/>
    </row>
    <row r="1918" spans="1:31" ht="15" thickBot="1" x14ac:dyDescent="0.35">
      <c r="A1918" s="81"/>
      <c r="B1918" s="82" t="s">
        <v>1992</v>
      </c>
      <c r="C1918" s="82" t="s">
        <v>1502</v>
      </c>
      <c r="D1918" s="82" t="s">
        <v>484</v>
      </c>
      <c r="E1918" s="82" t="s">
        <v>1980</v>
      </c>
      <c r="F1918" s="82" t="s">
        <v>1989</v>
      </c>
      <c r="G1918" s="82" t="s">
        <v>1513</v>
      </c>
      <c r="H1918" s="83"/>
      <c r="I1918" s="226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  <c r="X1918" s="83"/>
      <c r="Y1918" s="83"/>
      <c r="Z1918" s="83"/>
      <c r="AA1918" s="83"/>
      <c r="AB1918" s="83"/>
      <c r="AC1918" s="83"/>
      <c r="AD1918" s="83"/>
      <c r="AE1918" s="84"/>
    </row>
    <row r="1919" spans="1:31" x14ac:dyDescent="0.3">
      <c r="A1919" s="72" t="s">
        <v>1190</v>
      </c>
      <c r="B1919" s="73" t="s">
        <v>2215</v>
      </c>
      <c r="C1919" s="74" t="s">
        <v>1479</v>
      </c>
      <c r="D1919" s="74" t="s">
        <v>1191</v>
      </c>
      <c r="E1919" s="74" t="s">
        <v>1480</v>
      </c>
      <c r="F1919" s="74"/>
      <c r="G1919" s="74" t="s">
        <v>1481</v>
      </c>
      <c r="H1919" s="73" t="s">
        <v>1575</v>
      </c>
      <c r="I1919" s="226"/>
      <c r="J1919" s="73" t="s">
        <v>1189</v>
      </c>
      <c r="K1919" s="73" t="s">
        <v>1485</v>
      </c>
      <c r="L1919" s="73" t="s">
        <v>195</v>
      </c>
      <c r="M1919" s="73" t="s">
        <v>1483</v>
      </c>
      <c r="N1919" s="73" t="s">
        <v>1483</v>
      </c>
      <c r="O1919" s="73" t="s">
        <v>1483</v>
      </c>
      <c r="P1919" s="73" t="s">
        <v>1483</v>
      </c>
      <c r="Q1919" s="73" t="s">
        <v>1483</v>
      </c>
      <c r="R1919" s="73" t="s">
        <v>1483</v>
      </c>
      <c r="S1919" s="73" t="s">
        <v>1484</v>
      </c>
      <c r="T1919" s="73" t="s">
        <v>1484</v>
      </c>
      <c r="U1919" s="73" t="s">
        <v>1484</v>
      </c>
      <c r="V1919" s="73" t="s">
        <v>1484</v>
      </c>
      <c r="W1919" s="73" t="s">
        <v>1485</v>
      </c>
      <c r="X1919" s="73" t="s">
        <v>1484</v>
      </c>
      <c r="Y1919" s="73" t="s">
        <v>1484</v>
      </c>
      <c r="Z1919" s="73" t="s">
        <v>1484</v>
      </c>
      <c r="AA1919" s="73" t="s">
        <v>1485</v>
      </c>
      <c r="AB1919" s="73" t="s">
        <v>1484</v>
      </c>
      <c r="AC1919" s="73" t="s">
        <v>1486</v>
      </c>
      <c r="AD1919" s="73" t="s">
        <v>1487</v>
      </c>
      <c r="AE1919" s="75" t="s">
        <v>1579</v>
      </c>
    </row>
    <row r="1920" spans="1:31" x14ac:dyDescent="0.3">
      <c r="A1920" s="76"/>
      <c r="B1920" s="77"/>
      <c r="C1920" s="78" t="s">
        <v>1493</v>
      </c>
      <c r="D1920" s="78" t="s">
        <v>187</v>
      </c>
      <c r="E1920" s="78" t="s">
        <v>1620</v>
      </c>
      <c r="F1920" s="78" t="s">
        <v>1495</v>
      </c>
      <c r="G1920" s="78" t="s">
        <v>1492</v>
      </c>
      <c r="H1920" s="77"/>
      <c r="I1920" s="226"/>
      <c r="J1920" s="77"/>
      <c r="K1920" s="77"/>
      <c r="L1920" s="77"/>
      <c r="M1920" s="77"/>
      <c r="N1920" s="77"/>
      <c r="O1920" s="77"/>
      <c r="P1920" s="77"/>
      <c r="Q1920" s="77"/>
      <c r="R1920" s="77"/>
      <c r="S1920" s="77"/>
      <c r="T1920" s="77"/>
      <c r="U1920" s="77"/>
      <c r="V1920" s="77"/>
      <c r="W1920" s="77"/>
      <c r="X1920" s="77"/>
      <c r="Y1920" s="77"/>
      <c r="Z1920" s="77"/>
      <c r="AA1920" s="77"/>
      <c r="AB1920" s="77"/>
      <c r="AC1920" s="77"/>
      <c r="AD1920" s="77"/>
      <c r="AE1920" s="79"/>
    </row>
    <row r="1921" spans="1:31" x14ac:dyDescent="0.3">
      <c r="A1921" s="76"/>
      <c r="B1921" s="77"/>
      <c r="C1921" s="78" t="s">
        <v>1496</v>
      </c>
      <c r="D1921" s="78" t="s">
        <v>493</v>
      </c>
      <c r="E1921" s="78" t="s">
        <v>1980</v>
      </c>
      <c r="F1921" s="78" t="s">
        <v>1982</v>
      </c>
      <c r="G1921" s="78" t="s">
        <v>1492</v>
      </c>
      <c r="H1921" s="77"/>
      <c r="I1921" s="226"/>
      <c r="J1921" s="77"/>
      <c r="K1921" s="77"/>
      <c r="L1921" s="77"/>
      <c r="M1921" s="77"/>
      <c r="N1921" s="77"/>
      <c r="O1921" s="77"/>
      <c r="P1921" s="77"/>
      <c r="Q1921" s="77"/>
      <c r="R1921" s="77"/>
      <c r="S1921" s="77"/>
      <c r="T1921" s="77"/>
      <c r="U1921" s="77"/>
      <c r="V1921" s="77"/>
      <c r="W1921" s="77"/>
      <c r="X1921" s="77"/>
      <c r="Y1921" s="77"/>
      <c r="Z1921" s="77"/>
      <c r="AA1921" s="77"/>
      <c r="AB1921" s="77"/>
      <c r="AC1921" s="77"/>
      <c r="AD1921" s="77"/>
      <c r="AE1921" s="79"/>
    </row>
    <row r="1922" spans="1:31" x14ac:dyDescent="0.3">
      <c r="A1922" s="76"/>
      <c r="B1922" s="80"/>
      <c r="C1922" s="78" t="s">
        <v>1499</v>
      </c>
      <c r="D1922" s="78" t="s">
        <v>79</v>
      </c>
      <c r="E1922" s="78" t="s">
        <v>1500</v>
      </c>
      <c r="F1922" s="78" t="s">
        <v>1501</v>
      </c>
      <c r="G1922" s="78" t="s">
        <v>1492</v>
      </c>
      <c r="H1922" s="77"/>
      <c r="I1922" s="226"/>
      <c r="J1922" s="77"/>
      <c r="K1922" s="77"/>
      <c r="L1922" s="77"/>
      <c r="M1922" s="77"/>
      <c r="N1922" s="77"/>
      <c r="O1922" s="77"/>
      <c r="P1922" s="77"/>
      <c r="Q1922" s="77"/>
      <c r="R1922" s="77"/>
      <c r="S1922" s="77"/>
      <c r="T1922" s="77"/>
      <c r="U1922" s="77"/>
      <c r="V1922" s="77"/>
      <c r="W1922" s="77"/>
      <c r="X1922" s="77"/>
      <c r="Y1922" s="77"/>
      <c r="Z1922" s="77"/>
      <c r="AA1922" s="77"/>
      <c r="AB1922" s="77"/>
      <c r="AC1922" s="77"/>
      <c r="AD1922" s="77"/>
      <c r="AE1922" s="79"/>
    </row>
    <row r="1923" spans="1:31" ht="15" thickBot="1" x14ac:dyDescent="0.35">
      <c r="A1923" s="76"/>
      <c r="B1923" s="78" t="s">
        <v>1624</v>
      </c>
      <c r="C1923" s="78" t="s">
        <v>1499</v>
      </c>
      <c r="D1923" s="78" t="s">
        <v>656</v>
      </c>
      <c r="E1923" s="78" t="s">
        <v>1480</v>
      </c>
      <c r="F1923" s="78" t="s">
        <v>1518</v>
      </c>
      <c r="G1923" s="78" t="s">
        <v>1513</v>
      </c>
      <c r="H1923" s="77"/>
      <c r="I1923" s="227"/>
      <c r="J1923" s="77"/>
      <c r="K1923" s="77"/>
      <c r="L1923" s="77"/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  <c r="AA1923" s="77"/>
      <c r="AB1923" s="77"/>
      <c r="AC1923" s="77"/>
      <c r="AD1923" s="77"/>
      <c r="AE1923" s="79"/>
    </row>
    <row r="1924" spans="1:31" x14ac:dyDescent="0.3">
      <c r="A1924" s="76"/>
      <c r="B1924" s="78" t="s">
        <v>1747</v>
      </c>
      <c r="C1924" s="78" t="s">
        <v>1489</v>
      </c>
      <c r="D1924" s="78" t="s">
        <v>187</v>
      </c>
      <c r="E1924" s="78" t="s">
        <v>1620</v>
      </c>
      <c r="F1924" s="78" t="s">
        <v>1495</v>
      </c>
      <c r="G1924" s="78" t="s">
        <v>1513</v>
      </c>
      <c r="H1924" s="77"/>
      <c r="I1924" s="225" t="s">
        <v>1485</v>
      </c>
      <c r="J1924" s="77"/>
      <c r="K1924" s="77"/>
      <c r="L1924" s="77"/>
      <c r="M1924" s="77"/>
      <c r="N1924" s="77"/>
      <c r="O1924" s="77"/>
      <c r="P1924" s="77"/>
      <c r="Q1924" s="77"/>
      <c r="R1924" s="77"/>
      <c r="S1924" s="77"/>
      <c r="T1924" s="77"/>
      <c r="U1924" s="77"/>
      <c r="V1924" s="77"/>
      <c r="W1924" s="77"/>
      <c r="X1924" s="77"/>
      <c r="Y1924" s="77"/>
      <c r="Z1924" s="77"/>
      <c r="AA1924" s="77"/>
      <c r="AB1924" s="77"/>
      <c r="AC1924" s="77"/>
      <c r="AD1924" s="77"/>
      <c r="AE1924" s="79"/>
    </row>
    <row r="1925" spans="1:31" x14ac:dyDescent="0.3">
      <c r="A1925" s="76"/>
      <c r="B1925" s="78" t="s">
        <v>1521</v>
      </c>
      <c r="C1925" s="78" t="s">
        <v>1759</v>
      </c>
      <c r="D1925" s="78" t="s">
        <v>79</v>
      </c>
      <c r="E1925" s="78" t="s">
        <v>1500</v>
      </c>
      <c r="F1925" s="78" t="s">
        <v>1501</v>
      </c>
      <c r="G1925" s="78" t="s">
        <v>1513</v>
      </c>
      <c r="H1925" s="77"/>
      <c r="I1925" s="226"/>
      <c r="J1925" s="77"/>
      <c r="K1925" s="77"/>
      <c r="L1925" s="77"/>
      <c r="M1925" s="77"/>
      <c r="N1925" s="77"/>
      <c r="O1925" s="77"/>
      <c r="P1925" s="77"/>
      <c r="Q1925" s="77"/>
      <c r="R1925" s="77"/>
      <c r="S1925" s="77"/>
      <c r="T1925" s="77"/>
      <c r="U1925" s="77"/>
      <c r="V1925" s="77"/>
      <c r="W1925" s="77"/>
      <c r="X1925" s="77"/>
      <c r="Y1925" s="77"/>
      <c r="Z1925" s="77"/>
      <c r="AA1925" s="77"/>
      <c r="AB1925" s="77"/>
      <c r="AC1925" s="77"/>
      <c r="AD1925" s="77"/>
      <c r="AE1925" s="79"/>
    </row>
    <row r="1926" spans="1:31" ht="15" thickBot="1" x14ac:dyDescent="0.35">
      <c r="A1926" s="81"/>
      <c r="B1926" s="82" t="s">
        <v>1987</v>
      </c>
      <c r="C1926" s="82" t="s">
        <v>1499</v>
      </c>
      <c r="D1926" s="82" t="s">
        <v>493</v>
      </c>
      <c r="E1926" s="82" t="s">
        <v>1980</v>
      </c>
      <c r="F1926" s="82" t="s">
        <v>1982</v>
      </c>
      <c r="G1926" s="82" t="s">
        <v>1513</v>
      </c>
      <c r="H1926" s="83"/>
      <c r="I1926" s="226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  <c r="X1926" s="83"/>
      <c r="Y1926" s="83"/>
      <c r="Z1926" s="83"/>
      <c r="AA1926" s="83"/>
      <c r="AB1926" s="83"/>
      <c r="AC1926" s="83"/>
      <c r="AD1926" s="83"/>
      <c r="AE1926" s="84"/>
    </row>
    <row r="1927" spans="1:31" x14ac:dyDescent="0.3">
      <c r="A1927" s="72" t="s">
        <v>1194</v>
      </c>
      <c r="B1927" s="73" t="s">
        <v>2216</v>
      </c>
      <c r="C1927" s="74" t="s">
        <v>1479</v>
      </c>
      <c r="D1927" s="74" t="s">
        <v>1195</v>
      </c>
      <c r="E1927" s="74" t="s">
        <v>1480</v>
      </c>
      <c r="F1927" s="74"/>
      <c r="G1927" s="74" t="s">
        <v>1481</v>
      </c>
      <c r="H1927" s="73" t="s">
        <v>1482</v>
      </c>
      <c r="I1927" s="226"/>
      <c r="J1927" s="73" t="s">
        <v>1193</v>
      </c>
      <c r="K1927" s="73" t="s">
        <v>1485</v>
      </c>
      <c r="L1927" s="73" t="s">
        <v>195</v>
      </c>
      <c r="M1927" s="73" t="s">
        <v>1483</v>
      </c>
      <c r="N1927" s="73" t="s">
        <v>1483</v>
      </c>
      <c r="O1927" s="73" t="s">
        <v>1483</v>
      </c>
      <c r="P1927" s="73" t="s">
        <v>1483</v>
      </c>
      <c r="Q1927" s="73" t="s">
        <v>1483</v>
      </c>
      <c r="R1927" s="73" t="s">
        <v>1483</v>
      </c>
      <c r="S1927" s="73" t="s">
        <v>1484</v>
      </c>
      <c r="T1927" s="73" t="s">
        <v>1484</v>
      </c>
      <c r="U1927" s="73" t="s">
        <v>1484</v>
      </c>
      <c r="V1927" s="73" t="s">
        <v>1484</v>
      </c>
      <c r="W1927" s="73" t="s">
        <v>1485</v>
      </c>
      <c r="X1927" s="73" t="s">
        <v>1484</v>
      </c>
      <c r="Y1927" s="73" t="s">
        <v>1484</v>
      </c>
      <c r="Z1927" s="73" t="s">
        <v>1485</v>
      </c>
      <c r="AA1927" s="73" t="s">
        <v>1485</v>
      </c>
      <c r="AB1927" s="73" t="s">
        <v>1484</v>
      </c>
      <c r="AC1927" s="73" t="s">
        <v>1486</v>
      </c>
      <c r="AD1927" s="73" t="s">
        <v>1487</v>
      </c>
      <c r="AE1927" s="75" t="s">
        <v>1488</v>
      </c>
    </row>
    <row r="1928" spans="1:31" ht="15" thickBot="1" x14ac:dyDescent="0.35">
      <c r="A1928" s="76"/>
      <c r="B1928" s="77"/>
      <c r="C1928" s="78" t="s">
        <v>1493</v>
      </c>
      <c r="D1928" s="78" t="s">
        <v>510</v>
      </c>
      <c r="E1928" s="78" t="s">
        <v>1620</v>
      </c>
      <c r="F1928" s="78" t="s">
        <v>1495</v>
      </c>
      <c r="G1928" s="78" t="s">
        <v>1492</v>
      </c>
      <c r="H1928" s="77"/>
      <c r="I1928" s="227"/>
      <c r="J1928" s="77"/>
      <c r="K1928" s="77"/>
      <c r="L1928" s="77"/>
      <c r="M1928" s="77"/>
      <c r="N1928" s="77"/>
      <c r="O1928" s="77"/>
      <c r="P1928" s="77"/>
      <c r="Q1928" s="77"/>
      <c r="R1928" s="77"/>
      <c r="S1928" s="77"/>
      <c r="T1928" s="77"/>
      <c r="U1928" s="77"/>
      <c r="V1928" s="77"/>
      <c r="W1928" s="77"/>
      <c r="X1928" s="77"/>
      <c r="Y1928" s="77"/>
      <c r="Z1928" s="77"/>
      <c r="AA1928" s="77"/>
      <c r="AB1928" s="77"/>
      <c r="AC1928" s="77"/>
      <c r="AD1928" s="77"/>
      <c r="AE1928" s="79"/>
    </row>
    <row r="1929" spans="1:31" x14ac:dyDescent="0.3">
      <c r="A1929" s="76"/>
      <c r="B1929" s="80"/>
      <c r="C1929" s="78" t="s">
        <v>1496</v>
      </c>
      <c r="D1929" s="78" t="s">
        <v>582</v>
      </c>
      <c r="E1929" s="78" t="s">
        <v>1511</v>
      </c>
      <c r="F1929" s="78" t="s">
        <v>1791</v>
      </c>
      <c r="G1929" s="78" t="s">
        <v>1492</v>
      </c>
      <c r="H1929" s="77"/>
      <c r="I1929" s="225" t="s">
        <v>1485</v>
      </c>
      <c r="J1929" s="77"/>
      <c r="K1929" s="77"/>
      <c r="L1929" s="77"/>
      <c r="M1929" s="77"/>
      <c r="N1929" s="77"/>
      <c r="O1929" s="77"/>
      <c r="P1929" s="77"/>
      <c r="Q1929" s="77"/>
      <c r="R1929" s="77"/>
      <c r="S1929" s="77"/>
      <c r="T1929" s="77"/>
      <c r="U1929" s="77"/>
      <c r="V1929" s="77"/>
      <c r="W1929" s="77"/>
      <c r="X1929" s="77"/>
      <c r="Y1929" s="77"/>
      <c r="Z1929" s="77"/>
      <c r="AA1929" s="77"/>
      <c r="AB1929" s="77"/>
      <c r="AC1929" s="77"/>
      <c r="AD1929" s="77"/>
      <c r="AE1929" s="79"/>
    </row>
    <row r="1930" spans="1:31" x14ac:dyDescent="0.3">
      <c r="A1930" s="76"/>
      <c r="B1930" s="78" t="s">
        <v>1635</v>
      </c>
      <c r="C1930" s="78" t="s">
        <v>1499</v>
      </c>
      <c r="D1930" s="78" t="s">
        <v>663</v>
      </c>
      <c r="E1930" s="78" t="s">
        <v>1480</v>
      </c>
      <c r="F1930" s="78" t="s">
        <v>1518</v>
      </c>
      <c r="G1930" s="78" t="s">
        <v>1513</v>
      </c>
      <c r="H1930" s="77"/>
      <c r="I1930" s="226"/>
      <c r="J1930" s="77"/>
      <c r="K1930" s="77"/>
      <c r="L1930" s="77"/>
      <c r="M1930" s="77"/>
      <c r="N1930" s="77"/>
      <c r="O1930" s="77"/>
      <c r="P1930" s="77"/>
      <c r="Q1930" s="77"/>
      <c r="R1930" s="77"/>
      <c r="S1930" s="77"/>
      <c r="T1930" s="77"/>
      <c r="U1930" s="77"/>
      <c r="V1930" s="77"/>
      <c r="W1930" s="77"/>
      <c r="X1930" s="77"/>
      <c r="Y1930" s="77"/>
      <c r="Z1930" s="77"/>
      <c r="AA1930" s="77"/>
      <c r="AB1930" s="77"/>
      <c r="AC1930" s="77"/>
      <c r="AD1930" s="77"/>
      <c r="AE1930" s="79"/>
    </row>
    <row r="1931" spans="1:31" ht="15" thickBot="1" x14ac:dyDescent="0.35">
      <c r="A1931" s="81"/>
      <c r="B1931" s="82" t="s">
        <v>1752</v>
      </c>
      <c r="C1931" s="82" t="s">
        <v>1489</v>
      </c>
      <c r="D1931" s="82" t="s">
        <v>510</v>
      </c>
      <c r="E1931" s="82" t="s">
        <v>1620</v>
      </c>
      <c r="F1931" s="82" t="s">
        <v>1495</v>
      </c>
      <c r="G1931" s="82" t="s">
        <v>1513</v>
      </c>
      <c r="H1931" s="83"/>
      <c r="I1931" s="226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  <c r="X1931" s="83"/>
      <c r="Y1931" s="83"/>
      <c r="Z1931" s="83"/>
      <c r="AA1931" s="83"/>
      <c r="AB1931" s="83"/>
      <c r="AC1931" s="83"/>
      <c r="AD1931" s="83"/>
      <c r="AE1931" s="84"/>
    </row>
    <row r="1932" spans="1:31" ht="15" thickBot="1" x14ac:dyDescent="0.35">
      <c r="A1932" s="72" t="s">
        <v>1198</v>
      </c>
      <c r="B1932" s="73" t="s">
        <v>2217</v>
      </c>
      <c r="C1932" s="74" t="s">
        <v>1479</v>
      </c>
      <c r="D1932" s="74" t="s">
        <v>1199</v>
      </c>
      <c r="E1932" s="74" t="s">
        <v>1480</v>
      </c>
      <c r="F1932" s="74"/>
      <c r="G1932" s="74" t="s">
        <v>1481</v>
      </c>
      <c r="H1932" s="73" t="s">
        <v>1482</v>
      </c>
      <c r="I1932" s="227"/>
      <c r="J1932" s="73" t="s">
        <v>1197</v>
      </c>
      <c r="K1932" s="73" t="s">
        <v>1485</v>
      </c>
      <c r="L1932" s="73" t="s">
        <v>195</v>
      </c>
      <c r="M1932" s="73" t="s">
        <v>1483</v>
      </c>
      <c r="N1932" s="73" t="s">
        <v>1483</v>
      </c>
      <c r="O1932" s="73" t="s">
        <v>1483</v>
      </c>
      <c r="P1932" s="73" t="s">
        <v>1483</v>
      </c>
      <c r="Q1932" s="73" t="s">
        <v>1483</v>
      </c>
      <c r="R1932" s="73" t="s">
        <v>1483</v>
      </c>
      <c r="S1932" s="73" t="s">
        <v>1484</v>
      </c>
      <c r="T1932" s="73" t="s">
        <v>1484</v>
      </c>
      <c r="U1932" s="73" t="s">
        <v>1484</v>
      </c>
      <c r="V1932" s="73" t="s">
        <v>1484</v>
      </c>
      <c r="W1932" s="73" t="s">
        <v>1485</v>
      </c>
      <c r="X1932" s="73" t="s">
        <v>1484</v>
      </c>
      <c r="Y1932" s="73" t="s">
        <v>1484</v>
      </c>
      <c r="Z1932" s="73" t="s">
        <v>1485</v>
      </c>
      <c r="AA1932" s="73" t="s">
        <v>1485</v>
      </c>
      <c r="AB1932" s="73" t="s">
        <v>1484</v>
      </c>
      <c r="AC1932" s="73" t="s">
        <v>1486</v>
      </c>
      <c r="AD1932" s="73" t="s">
        <v>1487</v>
      </c>
      <c r="AE1932" s="75" t="s">
        <v>1488</v>
      </c>
    </row>
    <row r="1933" spans="1:31" x14ac:dyDescent="0.3">
      <c r="A1933" s="76"/>
      <c r="B1933" s="77"/>
      <c r="C1933" s="78" t="s">
        <v>1493</v>
      </c>
      <c r="D1933" s="78" t="s">
        <v>238</v>
      </c>
      <c r="E1933" s="78" t="s">
        <v>1620</v>
      </c>
      <c r="F1933" s="78" t="s">
        <v>1495</v>
      </c>
      <c r="G1933" s="78" t="s">
        <v>1492</v>
      </c>
      <c r="H1933" s="77"/>
      <c r="I1933" s="225" t="s">
        <v>1485</v>
      </c>
      <c r="J1933" s="77"/>
      <c r="K1933" s="77"/>
      <c r="L1933" s="77"/>
      <c r="M1933" s="77"/>
      <c r="N1933" s="77"/>
      <c r="O1933" s="77"/>
      <c r="P1933" s="77"/>
      <c r="Q1933" s="77"/>
      <c r="R1933" s="77"/>
      <c r="S1933" s="77"/>
      <c r="T1933" s="77"/>
      <c r="U1933" s="77"/>
      <c r="V1933" s="77"/>
      <c r="W1933" s="77"/>
      <c r="X1933" s="77"/>
      <c r="Y1933" s="77"/>
      <c r="Z1933" s="77"/>
      <c r="AA1933" s="77"/>
      <c r="AB1933" s="77"/>
      <c r="AC1933" s="77"/>
      <c r="AD1933" s="77"/>
      <c r="AE1933" s="79"/>
    </row>
    <row r="1934" spans="1:31" x14ac:dyDescent="0.3">
      <c r="A1934" s="76"/>
      <c r="B1934" s="80"/>
      <c r="C1934" s="78" t="s">
        <v>1496</v>
      </c>
      <c r="D1934" s="78" t="s">
        <v>555</v>
      </c>
      <c r="E1934" s="78" t="s">
        <v>1511</v>
      </c>
      <c r="F1934" s="78" t="s">
        <v>1791</v>
      </c>
      <c r="G1934" s="78" t="s">
        <v>1492</v>
      </c>
      <c r="H1934" s="77"/>
      <c r="I1934" s="226"/>
      <c r="J1934" s="77"/>
      <c r="K1934" s="77"/>
      <c r="L1934" s="77"/>
      <c r="M1934" s="77"/>
      <c r="N1934" s="77"/>
      <c r="O1934" s="77"/>
      <c r="P1934" s="77"/>
      <c r="Q1934" s="77"/>
      <c r="R1934" s="77"/>
      <c r="S1934" s="77"/>
      <c r="T1934" s="77"/>
      <c r="U1934" s="77"/>
      <c r="V1934" s="77"/>
      <c r="W1934" s="77"/>
      <c r="X1934" s="77"/>
      <c r="Y1934" s="77"/>
      <c r="Z1934" s="77"/>
      <c r="AA1934" s="77"/>
      <c r="AB1934" s="77"/>
      <c r="AC1934" s="77"/>
      <c r="AD1934" s="77"/>
      <c r="AE1934" s="79"/>
    </row>
    <row r="1935" spans="1:31" x14ac:dyDescent="0.3">
      <c r="A1935" s="76"/>
      <c r="B1935" s="78" t="s">
        <v>1647</v>
      </c>
      <c r="C1935" s="78" t="s">
        <v>1499</v>
      </c>
      <c r="D1935" s="78" t="s">
        <v>669</v>
      </c>
      <c r="E1935" s="78" t="s">
        <v>1480</v>
      </c>
      <c r="F1935" s="78" t="s">
        <v>1518</v>
      </c>
      <c r="G1935" s="78" t="s">
        <v>1513</v>
      </c>
      <c r="H1935" s="77"/>
      <c r="I1935" s="226"/>
      <c r="J1935" s="77"/>
      <c r="K1935" s="77"/>
      <c r="L1935" s="77"/>
      <c r="M1935" s="77"/>
      <c r="N1935" s="77"/>
      <c r="O1935" s="77"/>
      <c r="P1935" s="77"/>
      <c r="Q1935" s="77"/>
      <c r="R1935" s="77"/>
      <c r="S1935" s="77"/>
      <c r="T1935" s="77"/>
      <c r="U1935" s="77"/>
      <c r="V1935" s="77"/>
      <c r="W1935" s="77"/>
      <c r="X1935" s="77"/>
      <c r="Y1935" s="77"/>
      <c r="Z1935" s="77"/>
      <c r="AA1935" s="77"/>
      <c r="AB1935" s="77"/>
      <c r="AC1935" s="77"/>
      <c r="AD1935" s="77"/>
      <c r="AE1935" s="79"/>
    </row>
    <row r="1936" spans="1:31" ht="15" thickBot="1" x14ac:dyDescent="0.35">
      <c r="A1936" s="81"/>
      <c r="B1936" s="82" t="s">
        <v>1757</v>
      </c>
      <c r="C1936" s="82" t="s">
        <v>1489</v>
      </c>
      <c r="D1936" s="82" t="s">
        <v>238</v>
      </c>
      <c r="E1936" s="82" t="s">
        <v>1620</v>
      </c>
      <c r="F1936" s="82" t="s">
        <v>1495</v>
      </c>
      <c r="G1936" s="82" t="s">
        <v>1513</v>
      </c>
      <c r="H1936" s="83"/>
      <c r="I1936" s="226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  <c r="X1936" s="83"/>
      <c r="Y1936" s="83"/>
      <c r="Z1936" s="83"/>
      <c r="AA1936" s="83"/>
      <c r="AB1936" s="83"/>
      <c r="AC1936" s="83"/>
      <c r="AD1936" s="83"/>
      <c r="AE1936" s="84"/>
    </row>
    <row r="1937" spans="1:31" x14ac:dyDescent="0.3">
      <c r="A1937" s="72" t="s">
        <v>1202</v>
      </c>
      <c r="B1937" s="73" t="s">
        <v>2218</v>
      </c>
      <c r="C1937" s="74" t="s">
        <v>1479</v>
      </c>
      <c r="D1937" s="74" t="s">
        <v>1203</v>
      </c>
      <c r="E1937" s="74" t="s">
        <v>1480</v>
      </c>
      <c r="F1937" s="74"/>
      <c r="G1937" s="74" t="s">
        <v>1481</v>
      </c>
      <c r="H1937" s="73" t="s">
        <v>1482</v>
      </c>
      <c r="I1937" s="226"/>
      <c r="J1937" s="73" t="s">
        <v>1201</v>
      </c>
      <c r="K1937" s="73" t="s">
        <v>1485</v>
      </c>
      <c r="L1937" s="73" t="s">
        <v>195</v>
      </c>
      <c r="M1937" s="73" t="s">
        <v>1483</v>
      </c>
      <c r="N1937" s="73" t="s">
        <v>1483</v>
      </c>
      <c r="O1937" s="73" t="s">
        <v>1483</v>
      </c>
      <c r="P1937" s="73" t="s">
        <v>1483</v>
      </c>
      <c r="Q1937" s="73" t="s">
        <v>1483</v>
      </c>
      <c r="R1937" s="73" t="s">
        <v>1483</v>
      </c>
      <c r="S1937" s="73" t="s">
        <v>1484</v>
      </c>
      <c r="T1937" s="73" t="s">
        <v>1484</v>
      </c>
      <c r="U1937" s="73" t="s">
        <v>1484</v>
      </c>
      <c r="V1937" s="73" t="s">
        <v>1484</v>
      </c>
      <c r="W1937" s="73" t="s">
        <v>1485</v>
      </c>
      <c r="X1937" s="73" t="s">
        <v>1484</v>
      </c>
      <c r="Y1937" s="73" t="s">
        <v>1484</v>
      </c>
      <c r="Z1937" s="73" t="s">
        <v>1485</v>
      </c>
      <c r="AA1937" s="73" t="s">
        <v>1485</v>
      </c>
      <c r="AB1937" s="73" t="s">
        <v>1484</v>
      </c>
      <c r="AC1937" s="73" t="s">
        <v>1486</v>
      </c>
      <c r="AD1937" s="73" t="s">
        <v>1487</v>
      </c>
      <c r="AE1937" s="75" t="s">
        <v>1488</v>
      </c>
    </row>
    <row r="1938" spans="1:31" x14ac:dyDescent="0.3">
      <c r="A1938" s="76"/>
      <c r="B1938" s="77"/>
      <c r="C1938" s="78" t="s">
        <v>1493</v>
      </c>
      <c r="D1938" s="78" t="s">
        <v>253</v>
      </c>
      <c r="E1938" s="78" t="s">
        <v>1620</v>
      </c>
      <c r="F1938" s="78" t="s">
        <v>1495</v>
      </c>
      <c r="G1938" s="78" t="s">
        <v>1492</v>
      </c>
      <c r="H1938" s="77"/>
      <c r="I1938" s="226"/>
      <c r="J1938" s="77"/>
      <c r="K1938" s="77"/>
      <c r="L1938" s="77"/>
      <c r="M1938" s="77"/>
      <c r="N1938" s="77"/>
      <c r="O1938" s="77"/>
      <c r="P1938" s="77"/>
      <c r="Q1938" s="77"/>
      <c r="R1938" s="77"/>
      <c r="S1938" s="77"/>
      <c r="T1938" s="77"/>
      <c r="U1938" s="77"/>
      <c r="V1938" s="77"/>
      <c r="W1938" s="77"/>
      <c r="X1938" s="77"/>
      <c r="Y1938" s="77"/>
      <c r="Z1938" s="77"/>
      <c r="AA1938" s="77"/>
      <c r="AB1938" s="77"/>
      <c r="AC1938" s="77"/>
      <c r="AD1938" s="77"/>
      <c r="AE1938" s="79"/>
    </row>
    <row r="1939" spans="1:31" x14ac:dyDescent="0.3">
      <c r="A1939" s="76"/>
      <c r="B1939" s="80"/>
      <c r="C1939" s="78" t="s">
        <v>1496</v>
      </c>
      <c r="D1939" s="78" t="s">
        <v>528</v>
      </c>
      <c r="E1939" s="78" t="s">
        <v>1511</v>
      </c>
      <c r="F1939" s="78" t="s">
        <v>1791</v>
      </c>
      <c r="G1939" s="78" t="s">
        <v>1492</v>
      </c>
      <c r="H1939" s="77"/>
      <c r="I1939" s="226"/>
      <c r="J1939" s="77"/>
      <c r="K1939" s="77"/>
      <c r="L1939" s="77"/>
      <c r="M1939" s="77"/>
      <c r="N1939" s="77"/>
      <c r="O1939" s="77"/>
      <c r="P1939" s="77"/>
      <c r="Q1939" s="77"/>
      <c r="R1939" s="77"/>
      <c r="S1939" s="77"/>
      <c r="T1939" s="77"/>
      <c r="U1939" s="77"/>
      <c r="V1939" s="77"/>
      <c r="W1939" s="77"/>
      <c r="X1939" s="77"/>
      <c r="Y1939" s="77"/>
      <c r="Z1939" s="77"/>
      <c r="AA1939" s="77"/>
      <c r="AB1939" s="77"/>
      <c r="AC1939" s="77"/>
      <c r="AD1939" s="77"/>
      <c r="AE1939" s="79"/>
    </row>
    <row r="1940" spans="1:31" ht="15" thickBot="1" x14ac:dyDescent="0.35">
      <c r="A1940" s="76"/>
      <c r="B1940" s="78" t="s">
        <v>1653</v>
      </c>
      <c r="C1940" s="78" t="s">
        <v>1499</v>
      </c>
      <c r="D1940" s="78" t="s">
        <v>676</v>
      </c>
      <c r="E1940" s="78" t="s">
        <v>1480</v>
      </c>
      <c r="F1940" s="78" t="s">
        <v>1518</v>
      </c>
      <c r="G1940" s="78" t="s">
        <v>1513</v>
      </c>
      <c r="H1940" s="77"/>
      <c r="I1940" s="227"/>
      <c r="J1940" s="77"/>
      <c r="K1940" s="77"/>
      <c r="L1940" s="77"/>
      <c r="M1940" s="77"/>
      <c r="N1940" s="77"/>
      <c r="O1940" s="77"/>
      <c r="P1940" s="77"/>
      <c r="Q1940" s="77"/>
      <c r="R1940" s="77"/>
      <c r="S1940" s="77"/>
      <c r="T1940" s="77"/>
      <c r="U1940" s="77"/>
      <c r="V1940" s="77"/>
      <c r="W1940" s="77"/>
      <c r="X1940" s="77"/>
      <c r="Y1940" s="77"/>
      <c r="Z1940" s="77"/>
      <c r="AA1940" s="77"/>
      <c r="AB1940" s="77"/>
      <c r="AC1940" s="77"/>
      <c r="AD1940" s="77"/>
      <c r="AE1940" s="79"/>
    </row>
    <row r="1941" spans="1:31" x14ac:dyDescent="0.3">
      <c r="A1941" s="76"/>
      <c r="B1941" s="78" t="s">
        <v>1761</v>
      </c>
      <c r="C1941" s="78" t="s">
        <v>1489</v>
      </c>
      <c r="D1941" s="78" t="s">
        <v>253</v>
      </c>
      <c r="E1941" s="78" t="s">
        <v>1620</v>
      </c>
      <c r="F1941" s="78" t="s">
        <v>1495</v>
      </c>
      <c r="G1941" s="78" t="s">
        <v>1513</v>
      </c>
      <c r="H1941" s="77"/>
      <c r="I1941" s="225" t="s">
        <v>1485</v>
      </c>
      <c r="J1941" s="77"/>
      <c r="K1941" s="77"/>
      <c r="L1941" s="77"/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  <c r="AA1941" s="77"/>
      <c r="AB1941" s="77"/>
      <c r="AC1941" s="77"/>
      <c r="AD1941" s="77"/>
      <c r="AE1941" s="79"/>
    </row>
    <row r="1942" spans="1:31" ht="15" thickBot="1" x14ac:dyDescent="0.35">
      <c r="A1942" s="81"/>
      <c r="B1942" s="82" t="s">
        <v>1788</v>
      </c>
      <c r="C1942" s="82" t="s">
        <v>1499</v>
      </c>
      <c r="D1942" s="82" t="s">
        <v>717</v>
      </c>
      <c r="E1942" s="82" t="s">
        <v>1774</v>
      </c>
      <c r="F1942" s="82" t="s">
        <v>1789</v>
      </c>
      <c r="G1942" s="82" t="s">
        <v>1513</v>
      </c>
      <c r="H1942" s="83"/>
      <c r="I1942" s="226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83"/>
      <c r="V1942" s="83"/>
      <c r="W1942" s="83"/>
      <c r="X1942" s="83"/>
      <c r="Y1942" s="83"/>
      <c r="Z1942" s="83"/>
      <c r="AA1942" s="83"/>
      <c r="AB1942" s="83"/>
      <c r="AC1942" s="83"/>
      <c r="AD1942" s="83"/>
      <c r="AE1942" s="84"/>
    </row>
    <row r="1943" spans="1:31" x14ac:dyDescent="0.3">
      <c r="A1943" s="72" t="s">
        <v>1206</v>
      </c>
      <c r="B1943" s="73" t="s">
        <v>2219</v>
      </c>
      <c r="C1943" s="74" t="s">
        <v>1479</v>
      </c>
      <c r="D1943" s="74" t="s">
        <v>1207</v>
      </c>
      <c r="E1943" s="74" t="s">
        <v>1480</v>
      </c>
      <c r="F1943" s="74"/>
      <c r="G1943" s="74" t="s">
        <v>1481</v>
      </c>
      <c r="H1943" s="73" t="s">
        <v>1482</v>
      </c>
      <c r="I1943" s="226"/>
      <c r="J1943" s="73" t="s">
        <v>1205</v>
      </c>
      <c r="K1943" s="73" t="s">
        <v>1485</v>
      </c>
      <c r="L1943" s="73" t="s">
        <v>195</v>
      </c>
      <c r="M1943" s="73" t="s">
        <v>1483</v>
      </c>
      <c r="N1943" s="73" t="s">
        <v>1483</v>
      </c>
      <c r="O1943" s="73" t="s">
        <v>1483</v>
      </c>
      <c r="P1943" s="73" t="s">
        <v>1483</v>
      </c>
      <c r="Q1943" s="73" t="s">
        <v>1483</v>
      </c>
      <c r="R1943" s="73" t="s">
        <v>1483</v>
      </c>
      <c r="S1943" s="73" t="s">
        <v>1484</v>
      </c>
      <c r="T1943" s="73" t="s">
        <v>1484</v>
      </c>
      <c r="U1943" s="73" t="s">
        <v>1484</v>
      </c>
      <c r="V1943" s="73" t="s">
        <v>1484</v>
      </c>
      <c r="W1943" s="73" t="s">
        <v>1485</v>
      </c>
      <c r="X1943" s="73" t="s">
        <v>1484</v>
      </c>
      <c r="Y1943" s="73" t="s">
        <v>1484</v>
      </c>
      <c r="Z1943" s="73" t="s">
        <v>1485</v>
      </c>
      <c r="AA1943" s="73" t="s">
        <v>1485</v>
      </c>
      <c r="AB1943" s="73" t="s">
        <v>1484</v>
      </c>
      <c r="AC1943" s="73" t="s">
        <v>1486</v>
      </c>
      <c r="AD1943" s="73" t="s">
        <v>1487</v>
      </c>
      <c r="AE1943" s="75" t="s">
        <v>1488</v>
      </c>
    </row>
    <row r="1944" spans="1:31" x14ac:dyDescent="0.3">
      <c r="A1944" s="76"/>
      <c r="B1944" s="77"/>
      <c r="C1944" s="78" t="s">
        <v>1489</v>
      </c>
      <c r="D1944" s="78" t="s">
        <v>623</v>
      </c>
      <c r="E1944" s="78" t="s">
        <v>2016</v>
      </c>
      <c r="F1944" s="78" t="s">
        <v>1565</v>
      </c>
      <c r="G1944" s="78" t="s">
        <v>1492</v>
      </c>
      <c r="H1944" s="77"/>
      <c r="I1944" s="226"/>
      <c r="J1944" s="77"/>
      <c r="K1944" s="77"/>
      <c r="L1944" s="77"/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  <c r="AA1944" s="77"/>
      <c r="AB1944" s="77"/>
      <c r="AC1944" s="77"/>
      <c r="AD1944" s="77"/>
      <c r="AE1944" s="79"/>
    </row>
    <row r="1945" spans="1:31" x14ac:dyDescent="0.3">
      <c r="A1945" s="76"/>
      <c r="B1945" s="77"/>
      <c r="C1945" s="78" t="s">
        <v>1493</v>
      </c>
      <c r="D1945" s="78" t="s">
        <v>274</v>
      </c>
      <c r="E1945" s="78" t="s">
        <v>1620</v>
      </c>
      <c r="F1945" s="78" t="s">
        <v>1495</v>
      </c>
      <c r="G1945" s="78" t="s">
        <v>1492</v>
      </c>
      <c r="H1945" s="77"/>
      <c r="I1945" s="226"/>
      <c r="J1945" s="77"/>
      <c r="K1945" s="77"/>
      <c r="L1945" s="77"/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  <c r="AA1945" s="77"/>
      <c r="AB1945" s="77"/>
      <c r="AC1945" s="77"/>
      <c r="AD1945" s="77"/>
      <c r="AE1945" s="79"/>
    </row>
    <row r="1946" spans="1:31" x14ac:dyDescent="0.3">
      <c r="A1946" s="76"/>
      <c r="B1946" s="77"/>
      <c r="C1946" s="78" t="s">
        <v>1496</v>
      </c>
      <c r="D1946" s="78" t="s">
        <v>582</v>
      </c>
      <c r="E1946" s="78" t="s">
        <v>1511</v>
      </c>
      <c r="F1946" s="78" t="s">
        <v>1791</v>
      </c>
      <c r="G1946" s="78" t="s">
        <v>1492</v>
      </c>
      <c r="H1946" s="77"/>
      <c r="I1946" s="226"/>
      <c r="J1946" s="77"/>
      <c r="K1946" s="77"/>
      <c r="L1946" s="77"/>
      <c r="M1946" s="77"/>
      <c r="N1946" s="77"/>
      <c r="O1946" s="77"/>
      <c r="P1946" s="77"/>
      <c r="Q1946" s="77"/>
      <c r="R1946" s="77"/>
      <c r="S1946" s="77"/>
      <c r="T1946" s="77"/>
      <c r="U1946" s="77"/>
      <c r="V1946" s="77"/>
      <c r="W1946" s="77"/>
      <c r="X1946" s="77"/>
      <c r="Y1946" s="77"/>
      <c r="Z1946" s="77"/>
      <c r="AA1946" s="77"/>
      <c r="AB1946" s="77"/>
      <c r="AC1946" s="77"/>
      <c r="AD1946" s="77"/>
      <c r="AE1946" s="79"/>
    </row>
    <row r="1947" spans="1:31" x14ac:dyDescent="0.3">
      <c r="A1947" s="76"/>
      <c r="B1947" s="80"/>
      <c r="C1947" s="78" t="s">
        <v>1499</v>
      </c>
      <c r="D1947" s="78" t="s">
        <v>138</v>
      </c>
      <c r="E1947" s="78" t="s">
        <v>1595</v>
      </c>
      <c r="F1947" s="78" t="s">
        <v>1546</v>
      </c>
      <c r="G1947" s="78" t="s">
        <v>1492</v>
      </c>
      <c r="H1947" s="77"/>
      <c r="I1947" s="226"/>
      <c r="J1947" s="77"/>
      <c r="K1947" s="77"/>
      <c r="L1947" s="77"/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  <c r="AA1947" s="77"/>
      <c r="AB1947" s="77"/>
      <c r="AC1947" s="77"/>
      <c r="AD1947" s="77"/>
      <c r="AE1947" s="79"/>
    </row>
    <row r="1948" spans="1:31" ht="15" thickBot="1" x14ac:dyDescent="0.35">
      <c r="A1948" s="76"/>
      <c r="B1948" s="78" t="s">
        <v>1663</v>
      </c>
      <c r="C1948" s="78" t="s">
        <v>1499</v>
      </c>
      <c r="D1948" s="78" t="s">
        <v>641</v>
      </c>
      <c r="E1948" s="78" t="s">
        <v>1480</v>
      </c>
      <c r="F1948" s="78" t="s">
        <v>1518</v>
      </c>
      <c r="G1948" s="78" t="s">
        <v>1513</v>
      </c>
      <c r="H1948" s="77"/>
      <c r="I1948" s="227"/>
      <c r="J1948" s="77"/>
      <c r="K1948" s="77"/>
      <c r="L1948" s="77"/>
      <c r="M1948" s="77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  <c r="AA1948" s="77"/>
      <c r="AB1948" s="77"/>
      <c r="AC1948" s="77"/>
      <c r="AD1948" s="77"/>
      <c r="AE1948" s="79"/>
    </row>
    <row r="1949" spans="1:31" x14ac:dyDescent="0.3">
      <c r="A1949" s="76"/>
      <c r="B1949" s="78" t="s">
        <v>1763</v>
      </c>
      <c r="C1949" s="78" t="s">
        <v>1493</v>
      </c>
      <c r="D1949" s="78" t="s">
        <v>274</v>
      </c>
      <c r="E1949" s="78" t="s">
        <v>1620</v>
      </c>
      <c r="F1949" s="78" t="s">
        <v>1495</v>
      </c>
      <c r="G1949" s="78" t="s">
        <v>1513</v>
      </c>
      <c r="H1949" s="77"/>
      <c r="I1949" s="225" t="s">
        <v>1485</v>
      </c>
      <c r="J1949" s="77"/>
      <c r="K1949" s="77"/>
      <c r="L1949" s="77"/>
      <c r="M1949" s="77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7"/>
      <c r="AE1949" s="79"/>
    </row>
    <row r="1950" spans="1:31" x14ac:dyDescent="0.3">
      <c r="A1950" s="76"/>
      <c r="B1950" s="78" t="s">
        <v>2037</v>
      </c>
      <c r="C1950" s="78" t="s">
        <v>1499</v>
      </c>
      <c r="D1950" s="78" t="s">
        <v>138</v>
      </c>
      <c r="E1950" s="78" t="s">
        <v>1595</v>
      </c>
      <c r="F1950" s="78" t="s">
        <v>1546</v>
      </c>
      <c r="G1950" s="78" t="s">
        <v>1513</v>
      </c>
      <c r="H1950" s="77"/>
      <c r="I1950" s="226"/>
      <c r="J1950" s="77"/>
      <c r="K1950" s="77"/>
      <c r="L1950" s="77"/>
      <c r="M1950" s="77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  <c r="AA1950" s="77"/>
      <c r="AB1950" s="77"/>
      <c r="AC1950" s="77"/>
      <c r="AD1950" s="77"/>
      <c r="AE1950" s="79"/>
    </row>
    <row r="1951" spans="1:31" ht="15" thickBot="1" x14ac:dyDescent="0.35">
      <c r="A1951" s="81"/>
      <c r="B1951" s="82" t="s">
        <v>2023</v>
      </c>
      <c r="C1951" s="82" t="s">
        <v>1496</v>
      </c>
      <c r="D1951" s="82" t="s">
        <v>623</v>
      </c>
      <c r="E1951" s="82" t="s">
        <v>2016</v>
      </c>
      <c r="F1951" s="82" t="s">
        <v>1565</v>
      </c>
      <c r="G1951" s="82" t="s">
        <v>1513</v>
      </c>
      <c r="H1951" s="83"/>
      <c r="I1951" s="226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  <c r="AA1951" s="83"/>
      <c r="AB1951" s="83"/>
      <c r="AC1951" s="83"/>
      <c r="AD1951" s="83"/>
      <c r="AE1951" s="84"/>
    </row>
    <row r="1952" spans="1:31" x14ac:dyDescent="0.3">
      <c r="A1952" s="72" t="s">
        <v>1210</v>
      </c>
      <c r="B1952" s="73" t="s">
        <v>2220</v>
      </c>
      <c r="C1952" s="74" t="s">
        <v>1479</v>
      </c>
      <c r="D1952" s="74" t="s">
        <v>1211</v>
      </c>
      <c r="E1952" s="74" t="s">
        <v>1480</v>
      </c>
      <c r="F1952" s="74"/>
      <c r="G1952" s="74" t="s">
        <v>1481</v>
      </c>
      <c r="H1952" s="73" t="s">
        <v>1482</v>
      </c>
      <c r="I1952" s="226"/>
      <c r="J1952" s="73" t="s">
        <v>1209</v>
      </c>
      <c r="K1952" s="73" t="s">
        <v>1485</v>
      </c>
      <c r="L1952" s="73" t="s">
        <v>195</v>
      </c>
      <c r="M1952" s="73" t="s">
        <v>1483</v>
      </c>
      <c r="N1952" s="73" t="s">
        <v>1483</v>
      </c>
      <c r="O1952" s="73" t="s">
        <v>1483</v>
      </c>
      <c r="P1952" s="73" t="s">
        <v>1483</v>
      </c>
      <c r="Q1952" s="73" t="s">
        <v>1483</v>
      </c>
      <c r="R1952" s="73" t="s">
        <v>1483</v>
      </c>
      <c r="S1952" s="73" t="s">
        <v>1484</v>
      </c>
      <c r="T1952" s="73" t="s">
        <v>1484</v>
      </c>
      <c r="U1952" s="73" t="s">
        <v>1484</v>
      </c>
      <c r="V1952" s="73" t="s">
        <v>1484</v>
      </c>
      <c r="W1952" s="73" t="s">
        <v>1485</v>
      </c>
      <c r="X1952" s="73" t="s">
        <v>1484</v>
      </c>
      <c r="Y1952" s="73" t="s">
        <v>1484</v>
      </c>
      <c r="Z1952" s="73" t="s">
        <v>1485</v>
      </c>
      <c r="AA1952" s="73" t="s">
        <v>1485</v>
      </c>
      <c r="AB1952" s="73" t="s">
        <v>1484</v>
      </c>
      <c r="AC1952" s="73" t="s">
        <v>1486</v>
      </c>
      <c r="AD1952" s="73" t="s">
        <v>1487</v>
      </c>
      <c r="AE1952" s="75" t="s">
        <v>1488</v>
      </c>
    </row>
    <row r="1953" spans="1:31" ht="15" thickBot="1" x14ac:dyDescent="0.35">
      <c r="A1953" s="76"/>
      <c r="B1953" s="77"/>
      <c r="C1953" s="78" t="s">
        <v>1493</v>
      </c>
      <c r="D1953" s="78" t="s">
        <v>281</v>
      </c>
      <c r="E1953" s="78" t="s">
        <v>1620</v>
      </c>
      <c r="F1953" s="78" t="s">
        <v>1495</v>
      </c>
      <c r="G1953" s="78" t="s">
        <v>1492</v>
      </c>
      <c r="H1953" s="77"/>
      <c r="I1953" s="227"/>
      <c r="J1953" s="77"/>
      <c r="K1953" s="77"/>
      <c r="L1953" s="77"/>
      <c r="M1953" s="77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  <c r="AA1953" s="77"/>
      <c r="AB1953" s="77"/>
      <c r="AC1953" s="77"/>
      <c r="AD1953" s="77"/>
      <c r="AE1953" s="79"/>
    </row>
    <row r="1954" spans="1:31" x14ac:dyDescent="0.3">
      <c r="A1954" s="76"/>
      <c r="B1954" s="77"/>
      <c r="C1954" s="78" t="s">
        <v>1496</v>
      </c>
      <c r="D1954" s="78" t="s">
        <v>555</v>
      </c>
      <c r="E1954" s="78" t="s">
        <v>1511</v>
      </c>
      <c r="F1954" s="78" t="s">
        <v>1791</v>
      </c>
      <c r="G1954" s="78" t="s">
        <v>1492</v>
      </c>
      <c r="H1954" s="77"/>
      <c r="I1954" s="225" t="s">
        <v>1485</v>
      </c>
      <c r="J1954" s="77"/>
      <c r="K1954" s="77"/>
      <c r="L1954" s="77"/>
      <c r="M1954" s="77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  <c r="AA1954" s="77"/>
      <c r="AB1954" s="77"/>
      <c r="AC1954" s="77"/>
      <c r="AD1954" s="77"/>
      <c r="AE1954" s="79"/>
    </row>
    <row r="1955" spans="1:31" x14ac:dyDescent="0.3">
      <c r="A1955" s="76"/>
      <c r="B1955" s="80"/>
      <c r="C1955" s="78" t="s">
        <v>1499</v>
      </c>
      <c r="D1955" s="78" t="s">
        <v>104</v>
      </c>
      <c r="E1955" s="78" t="s">
        <v>1595</v>
      </c>
      <c r="F1955" s="78" t="s">
        <v>1564</v>
      </c>
      <c r="G1955" s="78" t="s">
        <v>1492</v>
      </c>
      <c r="H1955" s="77"/>
      <c r="I1955" s="226"/>
      <c r="J1955" s="77"/>
      <c r="K1955" s="77"/>
      <c r="L1955" s="77"/>
      <c r="M1955" s="77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  <c r="AA1955" s="77"/>
      <c r="AB1955" s="77"/>
      <c r="AC1955" s="77"/>
      <c r="AD1955" s="77"/>
      <c r="AE1955" s="79"/>
    </row>
    <row r="1956" spans="1:31" x14ac:dyDescent="0.3">
      <c r="A1956" s="76"/>
      <c r="B1956" s="78" t="s">
        <v>1673</v>
      </c>
      <c r="C1956" s="78" t="s">
        <v>1499</v>
      </c>
      <c r="D1956" s="78" t="s">
        <v>626</v>
      </c>
      <c r="E1956" s="78" t="s">
        <v>1480</v>
      </c>
      <c r="F1956" s="78" t="s">
        <v>1518</v>
      </c>
      <c r="G1956" s="78" t="s">
        <v>1513</v>
      </c>
      <c r="H1956" s="77"/>
      <c r="I1956" s="226"/>
      <c r="J1956" s="77"/>
      <c r="K1956" s="77"/>
      <c r="L1956" s="77"/>
      <c r="M1956" s="77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  <c r="AA1956" s="77"/>
      <c r="AB1956" s="77"/>
      <c r="AC1956" s="77"/>
      <c r="AD1956" s="77"/>
      <c r="AE1956" s="79"/>
    </row>
    <row r="1957" spans="1:31" x14ac:dyDescent="0.3">
      <c r="A1957" s="76"/>
      <c r="B1957" s="78" t="s">
        <v>1766</v>
      </c>
      <c r="C1957" s="78" t="s">
        <v>1489</v>
      </c>
      <c r="D1957" s="78" t="s">
        <v>281</v>
      </c>
      <c r="E1957" s="78" t="s">
        <v>1620</v>
      </c>
      <c r="F1957" s="78" t="s">
        <v>1495</v>
      </c>
      <c r="G1957" s="78" t="s">
        <v>1513</v>
      </c>
      <c r="H1957" s="77"/>
      <c r="I1957" s="226"/>
      <c r="J1957" s="77"/>
      <c r="K1957" s="77"/>
      <c r="L1957" s="77"/>
      <c r="M1957" s="77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  <c r="AA1957" s="77"/>
      <c r="AB1957" s="77"/>
      <c r="AC1957" s="77"/>
      <c r="AD1957" s="77"/>
      <c r="AE1957" s="79"/>
    </row>
    <row r="1958" spans="1:31" ht="15" thickBot="1" x14ac:dyDescent="0.35">
      <c r="A1958" s="76"/>
      <c r="B1958" s="78" t="s">
        <v>2015</v>
      </c>
      <c r="C1958" s="78" t="s">
        <v>1496</v>
      </c>
      <c r="D1958" s="78" t="s">
        <v>642</v>
      </c>
      <c r="E1958" s="78" t="s">
        <v>2016</v>
      </c>
      <c r="F1958" s="78" t="s">
        <v>1558</v>
      </c>
      <c r="G1958" s="78" t="s">
        <v>1513</v>
      </c>
      <c r="H1958" s="77"/>
      <c r="I1958" s="227"/>
      <c r="J1958" s="77"/>
      <c r="K1958" s="77"/>
      <c r="L1958" s="77"/>
      <c r="M1958" s="77"/>
      <c r="N1958" s="77"/>
      <c r="O1958" s="77"/>
      <c r="P1958" s="77"/>
      <c r="Q1958" s="77"/>
      <c r="R1958" s="77"/>
      <c r="S1958" s="77"/>
      <c r="T1958" s="77"/>
      <c r="U1958" s="77"/>
      <c r="V1958" s="77"/>
      <c r="W1958" s="77"/>
      <c r="X1958" s="77"/>
      <c r="Y1958" s="77"/>
      <c r="Z1958" s="77"/>
      <c r="AA1958" s="77"/>
      <c r="AB1958" s="77"/>
      <c r="AC1958" s="77"/>
      <c r="AD1958" s="77"/>
      <c r="AE1958" s="79"/>
    </row>
    <row r="1959" spans="1:31" ht="15" thickBot="1" x14ac:dyDescent="0.35">
      <c r="A1959" s="81"/>
      <c r="B1959" s="82" t="s">
        <v>2040</v>
      </c>
      <c r="C1959" s="82" t="s">
        <v>1499</v>
      </c>
      <c r="D1959" s="82" t="s">
        <v>104</v>
      </c>
      <c r="E1959" s="82" t="s">
        <v>1595</v>
      </c>
      <c r="F1959" s="82" t="s">
        <v>1564</v>
      </c>
      <c r="G1959" s="82" t="s">
        <v>1513</v>
      </c>
      <c r="H1959" s="83"/>
      <c r="I1959" s="225" t="s">
        <v>1485</v>
      </c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83"/>
      <c r="V1959" s="83"/>
      <c r="W1959" s="83"/>
      <c r="X1959" s="83"/>
      <c r="Y1959" s="83"/>
      <c r="Z1959" s="83"/>
      <c r="AA1959" s="83"/>
      <c r="AB1959" s="83"/>
      <c r="AC1959" s="83"/>
      <c r="AD1959" s="83"/>
      <c r="AE1959" s="84"/>
    </row>
    <row r="1960" spans="1:31" x14ac:dyDescent="0.3">
      <c r="A1960" s="72" t="s">
        <v>1214</v>
      </c>
      <c r="B1960" s="73" t="s">
        <v>2221</v>
      </c>
      <c r="C1960" s="74" t="s">
        <v>1479</v>
      </c>
      <c r="D1960" s="74" t="s">
        <v>1215</v>
      </c>
      <c r="E1960" s="74" t="s">
        <v>1480</v>
      </c>
      <c r="F1960" s="74"/>
      <c r="G1960" s="74" t="s">
        <v>1481</v>
      </c>
      <c r="H1960" s="73" t="s">
        <v>1575</v>
      </c>
      <c r="I1960" s="226"/>
      <c r="J1960" s="73" t="s">
        <v>1213</v>
      </c>
      <c r="K1960" s="73" t="s">
        <v>1485</v>
      </c>
      <c r="L1960" s="73" t="s">
        <v>195</v>
      </c>
      <c r="M1960" s="73" t="s">
        <v>1483</v>
      </c>
      <c r="N1960" s="73" t="s">
        <v>1483</v>
      </c>
      <c r="O1960" s="73" t="s">
        <v>1483</v>
      </c>
      <c r="P1960" s="73" t="s">
        <v>1483</v>
      </c>
      <c r="Q1960" s="73" t="s">
        <v>1483</v>
      </c>
      <c r="R1960" s="73" t="s">
        <v>1483</v>
      </c>
      <c r="S1960" s="73" t="s">
        <v>1484</v>
      </c>
      <c r="T1960" s="73" t="s">
        <v>1484</v>
      </c>
      <c r="U1960" s="73" t="s">
        <v>1484</v>
      </c>
      <c r="V1960" s="73" t="s">
        <v>1484</v>
      </c>
      <c r="W1960" s="73" t="s">
        <v>1485</v>
      </c>
      <c r="X1960" s="73" t="s">
        <v>1484</v>
      </c>
      <c r="Y1960" s="73" t="s">
        <v>1484</v>
      </c>
      <c r="Z1960" s="73" t="s">
        <v>1484</v>
      </c>
      <c r="AA1960" s="73" t="s">
        <v>1485</v>
      </c>
      <c r="AB1960" s="73" t="s">
        <v>1484</v>
      </c>
      <c r="AC1960" s="73" t="s">
        <v>1486</v>
      </c>
      <c r="AD1960" s="73" t="s">
        <v>1487</v>
      </c>
      <c r="AE1960" s="75" t="s">
        <v>1579</v>
      </c>
    </row>
    <row r="1961" spans="1:31" x14ac:dyDescent="0.3">
      <c r="A1961" s="76"/>
      <c r="B1961" s="77"/>
      <c r="C1961" s="78" t="s">
        <v>1489</v>
      </c>
      <c r="D1961" s="78" t="s">
        <v>518</v>
      </c>
      <c r="E1961" s="78" t="s">
        <v>1651</v>
      </c>
      <c r="F1961" s="78" t="s">
        <v>1611</v>
      </c>
      <c r="G1961" s="78" t="s">
        <v>1492</v>
      </c>
      <c r="H1961" s="77"/>
      <c r="I1961" s="226"/>
      <c r="J1961" s="77"/>
      <c r="K1961" s="77"/>
      <c r="L1961" s="77"/>
      <c r="M1961" s="77"/>
      <c r="N1961" s="77"/>
      <c r="O1961" s="77"/>
      <c r="P1961" s="77"/>
      <c r="Q1961" s="77"/>
      <c r="R1961" s="77"/>
      <c r="S1961" s="77"/>
      <c r="T1961" s="77"/>
      <c r="U1961" s="77"/>
      <c r="V1961" s="77"/>
      <c r="W1961" s="77"/>
      <c r="X1961" s="77"/>
      <c r="Y1961" s="77"/>
      <c r="Z1961" s="77"/>
      <c r="AA1961" s="77"/>
      <c r="AB1961" s="77"/>
      <c r="AC1961" s="77"/>
      <c r="AD1961" s="77"/>
      <c r="AE1961" s="79"/>
    </row>
    <row r="1962" spans="1:31" x14ac:dyDescent="0.3">
      <c r="A1962" s="76"/>
      <c r="B1962" s="77"/>
      <c r="C1962" s="78" t="s">
        <v>1493</v>
      </c>
      <c r="D1962" s="78" t="s">
        <v>350</v>
      </c>
      <c r="E1962" s="78" t="s">
        <v>1620</v>
      </c>
      <c r="F1962" s="78" t="s">
        <v>1495</v>
      </c>
      <c r="G1962" s="78" t="s">
        <v>1492</v>
      </c>
      <c r="H1962" s="77"/>
      <c r="I1962" s="226"/>
      <c r="J1962" s="77"/>
      <c r="K1962" s="77"/>
      <c r="L1962" s="77"/>
      <c r="M1962" s="77"/>
      <c r="N1962" s="77"/>
      <c r="O1962" s="77"/>
      <c r="P1962" s="77"/>
      <c r="Q1962" s="77"/>
      <c r="R1962" s="77"/>
      <c r="S1962" s="77"/>
      <c r="T1962" s="77"/>
      <c r="U1962" s="77"/>
      <c r="V1962" s="77"/>
      <c r="W1962" s="77"/>
      <c r="X1962" s="77"/>
      <c r="Y1962" s="77"/>
      <c r="Z1962" s="77"/>
      <c r="AA1962" s="77"/>
      <c r="AB1962" s="77"/>
      <c r="AC1962" s="77"/>
      <c r="AD1962" s="77"/>
      <c r="AE1962" s="79"/>
    </row>
    <row r="1963" spans="1:31" x14ac:dyDescent="0.3">
      <c r="A1963" s="76"/>
      <c r="B1963" s="77"/>
      <c r="C1963" s="78" t="s">
        <v>1496</v>
      </c>
      <c r="D1963" s="78" t="s">
        <v>228</v>
      </c>
      <c r="E1963" s="78" t="s">
        <v>1580</v>
      </c>
      <c r="F1963" s="78" t="s">
        <v>1581</v>
      </c>
      <c r="G1963" s="78" t="s">
        <v>1492</v>
      </c>
      <c r="H1963" s="77"/>
      <c r="I1963" s="226"/>
      <c r="J1963" s="77"/>
      <c r="K1963" s="77"/>
      <c r="L1963" s="77"/>
      <c r="M1963" s="77"/>
      <c r="N1963" s="77"/>
      <c r="O1963" s="77"/>
      <c r="P1963" s="77"/>
      <c r="Q1963" s="77"/>
      <c r="R1963" s="77"/>
      <c r="S1963" s="77"/>
      <c r="T1963" s="77"/>
      <c r="U1963" s="77"/>
      <c r="V1963" s="77"/>
      <c r="W1963" s="77"/>
      <c r="X1963" s="77"/>
      <c r="Y1963" s="77"/>
      <c r="Z1963" s="77"/>
      <c r="AA1963" s="77"/>
      <c r="AB1963" s="77"/>
      <c r="AC1963" s="77"/>
      <c r="AD1963" s="77"/>
      <c r="AE1963" s="79"/>
    </row>
    <row r="1964" spans="1:31" ht="15" thickBot="1" x14ac:dyDescent="0.35">
      <c r="A1964" s="76"/>
      <c r="B1964" s="77"/>
      <c r="C1964" s="78" t="s">
        <v>1499</v>
      </c>
      <c r="D1964" s="78" t="s">
        <v>75</v>
      </c>
      <c r="E1964" s="78" t="s">
        <v>1543</v>
      </c>
      <c r="F1964" s="78" t="s">
        <v>1544</v>
      </c>
      <c r="G1964" s="78" t="s">
        <v>1492</v>
      </c>
      <c r="H1964" s="77"/>
      <c r="I1964" s="227"/>
      <c r="J1964" s="77"/>
      <c r="K1964" s="77"/>
      <c r="L1964" s="77"/>
      <c r="M1964" s="77"/>
      <c r="N1964" s="77"/>
      <c r="O1964" s="77"/>
      <c r="P1964" s="77"/>
      <c r="Q1964" s="77"/>
      <c r="R1964" s="77"/>
      <c r="S1964" s="77"/>
      <c r="T1964" s="77"/>
      <c r="U1964" s="77"/>
      <c r="V1964" s="77"/>
      <c r="W1964" s="77"/>
      <c r="X1964" s="77"/>
      <c r="Y1964" s="77"/>
      <c r="Z1964" s="77"/>
      <c r="AA1964" s="77"/>
      <c r="AB1964" s="77"/>
      <c r="AC1964" s="77"/>
      <c r="AD1964" s="77"/>
      <c r="AE1964" s="79"/>
    </row>
    <row r="1965" spans="1:31" x14ac:dyDescent="0.3">
      <c r="A1965" s="76"/>
      <c r="B1965" s="80"/>
      <c r="C1965" s="78" t="s">
        <v>1502</v>
      </c>
      <c r="D1965" s="78" t="s">
        <v>65</v>
      </c>
      <c r="E1965" s="78" t="s">
        <v>1500</v>
      </c>
      <c r="F1965" s="78" t="s">
        <v>1501</v>
      </c>
      <c r="G1965" s="78" t="s">
        <v>1492</v>
      </c>
      <c r="H1965" s="77"/>
      <c r="I1965" s="225" t="s">
        <v>1485</v>
      </c>
      <c r="J1965" s="77"/>
      <c r="K1965" s="77"/>
      <c r="L1965" s="77"/>
      <c r="M1965" s="77"/>
      <c r="N1965" s="77"/>
      <c r="O1965" s="77"/>
      <c r="P1965" s="77"/>
      <c r="Q1965" s="77"/>
      <c r="R1965" s="77"/>
      <c r="S1965" s="77"/>
      <c r="T1965" s="77"/>
      <c r="U1965" s="77"/>
      <c r="V1965" s="77"/>
      <c r="W1965" s="77"/>
      <c r="X1965" s="77"/>
      <c r="Y1965" s="77"/>
      <c r="Z1965" s="77"/>
      <c r="AA1965" s="77"/>
      <c r="AB1965" s="77"/>
      <c r="AC1965" s="77"/>
      <c r="AD1965" s="77"/>
      <c r="AE1965" s="79"/>
    </row>
    <row r="1966" spans="1:31" x14ac:dyDescent="0.3">
      <c r="A1966" s="76"/>
      <c r="B1966" s="78" t="s">
        <v>1681</v>
      </c>
      <c r="C1966" s="78" t="s">
        <v>1499</v>
      </c>
      <c r="D1966" s="78" t="s">
        <v>558</v>
      </c>
      <c r="E1966" s="78" t="s">
        <v>1480</v>
      </c>
      <c r="F1966" s="78" t="s">
        <v>1518</v>
      </c>
      <c r="G1966" s="78" t="s">
        <v>1513</v>
      </c>
      <c r="H1966" s="77"/>
      <c r="I1966" s="226"/>
      <c r="J1966" s="77"/>
      <c r="K1966" s="77"/>
      <c r="L1966" s="77"/>
      <c r="M1966" s="77"/>
      <c r="N1966" s="77"/>
      <c r="O1966" s="77"/>
      <c r="P1966" s="77"/>
      <c r="Q1966" s="77"/>
      <c r="R1966" s="77"/>
      <c r="S1966" s="77"/>
      <c r="T1966" s="77"/>
      <c r="U1966" s="77"/>
      <c r="V1966" s="77"/>
      <c r="W1966" s="77"/>
      <c r="X1966" s="77"/>
      <c r="Y1966" s="77"/>
      <c r="Z1966" s="77"/>
      <c r="AA1966" s="77"/>
      <c r="AB1966" s="77"/>
      <c r="AC1966" s="77"/>
      <c r="AD1966" s="77"/>
      <c r="AE1966" s="79"/>
    </row>
    <row r="1967" spans="1:31" x14ac:dyDescent="0.3">
      <c r="A1967" s="76"/>
      <c r="B1967" s="78" t="s">
        <v>1901</v>
      </c>
      <c r="C1967" s="78" t="s">
        <v>1489</v>
      </c>
      <c r="D1967" s="78" t="s">
        <v>350</v>
      </c>
      <c r="E1967" s="78" t="s">
        <v>1620</v>
      </c>
      <c r="F1967" s="78" t="s">
        <v>1495</v>
      </c>
      <c r="G1967" s="78" t="s">
        <v>1513</v>
      </c>
      <c r="H1967" s="77"/>
      <c r="I1967" s="226"/>
      <c r="J1967" s="77"/>
      <c r="K1967" s="77"/>
      <c r="L1967" s="77"/>
      <c r="M1967" s="77"/>
      <c r="N1967" s="77"/>
      <c r="O1967" s="77"/>
      <c r="P1967" s="77"/>
      <c r="Q1967" s="77"/>
      <c r="R1967" s="77"/>
      <c r="S1967" s="77"/>
      <c r="T1967" s="77"/>
      <c r="U1967" s="77"/>
      <c r="V1967" s="77"/>
      <c r="W1967" s="77"/>
      <c r="X1967" s="77"/>
      <c r="Y1967" s="77"/>
      <c r="Z1967" s="77"/>
      <c r="AA1967" s="77"/>
      <c r="AB1967" s="77"/>
      <c r="AC1967" s="77"/>
      <c r="AD1967" s="77"/>
      <c r="AE1967" s="79"/>
    </row>
    <row r="1968" spans="1:31" x14ac:dyDescent="0.3">
      <c r="A1968" s="76"/>
      <c r="B1968" s="78" t="s">
        <v>1554</v>
      </c>
      <c r="C1968" s="78" t="s">
        <v>1496</v>
      </c>
      <c r="D1968" s="78" t="s">
        <v>83</v>
      </c>
      <c r="E1968" s="78" t="s">
        <v>1543</v>
      </c>
      <c r="F1968" s="78" t="s">
        <v>1555</v>
      </c>
      <c r="G1968" s="78" t="s">
        <v>1513</v>
      </c>
      <c r="H1968" s="77"/>
      <c r="I1968" s="226"/>
      <c r="J1968" s="77"/>
      <c r="K1968" s="77"/>
      <c r="L1968" s="77"/>
      <c r="M1968" s="77"/>
      <c r="N1968" s="77"/>
      <c r="O1968" s="77"/>
      <c r="P1968" s="77"/>
      <c r="Q1968" s="77"/>
      <c r="R1968" s="77"/>
      <c r="S1968" s="77"/>
      <c r="T1968" s="77"/>
      <c r="U1968" s="77"/>
      <c r="V1968" s="77"/>
      <c r="W1968" s="77"/>
      <c r="X1968" s="77"/>
      <c r="Y1968" s="77"/>
      <c r="Z1968" s="77"/>
      <c r="AA1968" s="77"/>
      <c r="AB1968" s="77"/>
      <c r="AC1968" s="77"/>
      <c r="AD1968" s="77"/>
      <c r="AE1968" s="79"/>
    </row>
    <row r="1969" spans="1:31" ht="15" thickBot="1" x14ac:dyDescent="0.35">
      <c r="A1969" s="81"/>
      <c r="B1969" s="82" t="s">
        <v>1538</v>
      </c>
      <c r="C1969" s="82" t="s">
        <v>1586</v>
      </c>
      <c r="D1969" s="82" t="s">
        <v>65</v>
      </c>
      <c r="E1969" s="82" t="s">
        <v>1500</v>
      </c>
      <c r="F1969" s="82" t="s">
        <v>1501</v>
      </c>
      <c r="G1969" s="82" t="s">
        <v>1513</v>
      </c>
      <c r="H1969" s="83"/>
      <c r="I1969" s="226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83"/>
      <c r="V1969" s="83"/>
      <c r="W1969" s="83"/>
      <c r="X1969" s="83"/>
      <c r="Y1969" s="83"/>
      <c r="Z1969" s="83"/>
      <c r="AA1969" s="83"/>
      <c r="AB1969" s="83"/>
      <c r="AC1969" s="83"/>
      <c r="AD1969" s="83"/>
      <c r="AE1969" s="84"/>
    </row>
    <row r="1970" spans="1:31" x14ac:dyDescent="0.3">
      <c r="A1970" s="72" t="s">
        <v>1218</v>
      </c>
      <c r="B1970" s="73" t="s">
        <v>2222</v>
      </c>
      <c r="C1970" s="74" t="s">
        <v>1479</v>
      </c>
      <c r="D1970" s="74" t="s">
        <v>1219</v>
      </c>
      <c r="E1970" s="74" t="s">
        <v>1480</v>
      </c>
      <c r="F1970" s="74"/>
      <c r="G1970" s="74" t="s">
        <v>1481</v>
      </c>
      <c r="H1970" s="73" t="s">
        <v>1482</v>
      </c>
      <c r="I1970" s="226"/>
      <c r="J1970" s="73" t="s">
        <v>1217</v>
      </c>
      <c r="K1970" s="73" t="s">
        <v>1485</v>
      </c>
      <c r="L1970" s="73" t="s">
        <v>195</v>
      </c>
      <c r="M1970" s="73" t="s">
        <v>1483</v>
      </c>
      <c r="N1970" s="73" t="s">
        <v>1483</v>
      </c>
      <c r="O1970" s="73" t="s">
        <v>1483</v>
      </c>
      <c r="P1970" s="73" t="s">
        <v>1483</v>
      </c>
      <c r="Q1970" s="73" t="s">
        <v>1483</v>
      </c>
      <c r="R1970" s="73" t="s">
        <v>1483</v>
      </c>
      <c r="S1970" s="73" t="s">
        <v>1484</v>
      </c>
      <c r="T1970" s="73" t="s">
        <v>1484</v>
      </c>
      <c r="U1970" s="73" t="s">
        <v>1484</v>
      </c>
      <c r="V1970" s="73" t="s">
        <v>1484</v>
      </c>
      <c r="W1970" s="73" t="s">
        <v>1485</v>
      </c>
      <c r="X1970" s="73" t="s">
        <v>1484</v>
      </c>
      <c r="Y1970" s="73" t="s">
        <v>1484</v>
      </c>
      <c r="Z1970" s="73" t="s">
        <v>1485</v>
      </c>
      <c r="AA1970" s="73" t="s">
        <v>1485</v>
      </c>
      <c r="AB1970" s="73" t="s">
        <v>1484</v>
      </c>
      <c r="AC1970" s="73" t="s">
        <v>1486</v>
      </c>
      <c r="AD1970" s="73" t="s">
        <v>1487</v>
      </c>
      <c r="AE1970" s="75" t="s">
        <v>1488</v>
      </c>
    </row>
    <row r="1971" spans="1:31" x14ac:dyDescent="0.3">
      <c r="A1971" s="76"/>
      <c r="B1971" s="77"/>
      <c r="C1971" s="78" t="s">
        <v>1493</v>
      </c>
      <c r="D1971" s="78" t="s">
        <v>356</v>
      </c>
      <c r="E1971" s="78" t="s">
        <v>1620</v>
      </c>
      <c r="F1971" s="78" t="s">
        <v>1495</v>
      </c>
      <c r="G1971" s="78" t="s">
        <v>1492</v>
      </c>
      <c r="H1971" s="77"/>
      <c r="I1971" s="226"/>
      <c r="J1971" s="77"/>
      <c r="K1971" s="77"/>
      <c r="L1971" s="77"/>
      <c r="M1971" s="77"/>
      <c r="N1971" s="77"/>
      <c r="O1971" s="77"/>
      <c r="P1971" s="77"/>
      <c r="Q1971" s="77"/>
      <c r="R1971" s="77"/>
      <c r="S1971" s="77"/>
      <c r="T1971" s="77"/>
      <c r="U1971" s="77"/>
      <c r="V1971" s="77"/>
      <c r="W1971" s="77"/>
      <c r="X1971" s="77"/>
      <c r="Y1971" s="77"/>
      <c r="Z1971" s="77"/>
      <c r="AA1971" s="77"/>
      <c r="AB1971" s="77"/>
      <c r="AC1971" s="77"/>
      <c r="AD1971" s="77"/>
      <c r="AE1971" s="79"/>
    </row>
    <row r="1972" spans="1:31" x14ac:dyDescent="0.3">
      <c r="A1972" s="76"/>
      <c r="B1972" s="77"/>
      <c r="C1972" s="78" t="s">
        <v>1496</v>
      </c>
      <c r="D1972" s="200" t="s">
        <v>2651</v>
      </c>
      <c r="E1972" s="78" t="s">
        <v>1580</v>
      </c>
      <c r="F1972" s="78" t="s">
        <v>1652</v>
      </c>
      <c r="G1972" s="78" t="s">
        <v>1492</v>
      </c>
      <c r="H1972" s="77"/>
      <c r="I1972" s="226"/>
      <c r="J1972" s="77"/>
      <c r="K1972" s="77"/>
      <c r="L1972" s="77"/>
      <c r="M1972" s="77"/>
      <c r="N1972" s="77"/>
      <c r="O1972" s="77"/>
      <c r="P1972" s="77"/>
      <c r="Q1972" s="77"/>
      <c r="R1972" s="77"/>
      <c r="S1972" s="77"/>
      <c r="T1972" s="77"/>
      <c r="U1972" s="77"/>
      <c r="V1972" s="77"/>
      <c r="W1972" s="77"/>
      <c r="X1972" s="77"/>
      <c r="Y1972" s="77"/>
      <c r="Z1972" s="77"/>
      <c r="AA1972" s="77"/>
      <c r="AB1972" s="77"/>
      <c r="AC1972" s="77"/>
      <c r="AD1972" s="77"/>
      <c r="AE1972" s="79"/>
    </row>
    <row r="1973" spans="1:31" ht="15" thickBot="1" x14ac:dyDescent="0.35">
      <c r="A1973" s="76"/>
      <c r="B1973" s="77"/>
      <c r="C1973" s="78" t="s">
        <v>1499</v>
      </c>
      <c r="D1973" s="78" t="s">
        <v>115</v>
      </c>
      <c r="E1973" s="78" t="s">
        <v>1595</v>
      </c>
      <c r="F1973" s="78" t="s">
        <v>1619</v>
      </c>
      <c r="G1973" s="78" t="s">
        <v>1492</v>
      </c>
      <c r="H1973" s="77"/>
      <c r="I1973" s="227"/>
      <c r="J1973" s="77"/>
      <c r="K1973" s="77"/>
      <c r="L1973" s="77"/>
      <c r="M1973" s="77"/>
      <c r="N1973" s="77"/>
      <c r="O1973" s="77"/>
      <c r="P1973" s="77"/>
      <c r="Q1973" s="77"/>
      <c r="R1973" s="77"/>
      <c r="S1973" s="77"/>
      <c r="T1973" s="77"/>
      <c r="U1973" s="77"/>
      <c r="V1973" s="77"/>
      <c r="W1973" s="77"/>
      <c r="X1973" s="77"/>
      <c r="Y1973" s="77"/>
      <c r="Z1973" s="77"/>
      <c r="AA1973" s="77"/>
      <c r="AB1973" s="77"/>
      <c r="AC1973" s="77"/>
      <c r="AD1973" s="77"/>
      <c r="AE1973" s="79"/>
    </row>
    <row r="1974" spans="1:31" x14ac:dyDescent="0.3">
      <c r="A1974" s="76"/>
      <c r="B1974" s="80"/>
      <c r="C1974" s="78" t="s">
        <v>1502</v>
      </c>
      <c r="D1974" s="78" t="s">
        <v>60</v>
      </c>
      <c r="E1974" s="78" t="s">
        <v>1543</v>
      </c>
      <c r="F1974" s="78" t="s">
        <v>1563</v>
      </c>
      <c r="G1974" s="78" t="s">
        <v>1492</v>
      </c>
      <c r="H1974" s="77"/>
      <c r="I1974" s="225" t="s">
        <v>1485</v>
      </c>
      <c r="J1974" s="77"/>
      <c r="K1974" s="77"/>
      <c r="L1974" s="77"/>
      <c r="M1974" s="77"/>
      <c r="N1974" s="77"/>
      <c r="O1974" s="77"/>
      <c r="P1974" s="77"/>
      <c r="Q1974" s="77"/>
      <c r="R1974" s="77"/>
      <c r="S1974" s="77"/>
      <c r="T1974" s="77"/>
      <c r="U1974" s="77"/>
      <c r="V1974" s="77"/>
      <c r="W1974" s="77"/>
      <c r="X1974" s="77"/>
      <c r="Y1974" s="77"/>
      <c r="Z1974" s="77"/>
      <c r="AA1974" s="77"/>
      <c r="AB1974" s="77"/>
      <c r="AC1974" s="77"/>
      <c r="AD1974" s="77"/>
      <c r="AE1974" s="79"/>
    </row>
    <row r="1975" spans="1:31" x14ac:dyDescent="0.3">
      <c r="A1975" s="76"/>
      <c r="B1975" s="78" t="s">
        <v>1662</v>
      </c>
      <c r="C1975" s="78" t="s">
        <v>1502</v>
      </c>
      <c r="D1975" s="78" t="s">
        <v>541</v>
      </c>
      <c r="E1975" s="78" t="s">
        <v>1651</v>
      </c>
      <c r="F1975" s="78" t="s">
        <v>1600</v>
      </c>
      <c r="G1975" s="78" t="s">
        <v>1513</v>
      </c>
      <c r="H1975" s="77"/>
      <c r="I1975" s="226"/>
      <c r="J1975" s="77"/>
      <c r="K1975" s="77"/>
      <c r="L1975" s="77"/>
      <c r="M1975" s="77"/>
      <c r="N1975" s="77"/>
      <c r="O1975" s="77"/>
      <c r="P1975" s="77"/>
      <c r="Q1975" s="77"/>
      <c r="R1975" s="77"/>
      <c r="S1975" s="77"/>
      <c r="T1975" s="77"/>
      <c r="U1975" s="77"/>
      <c r="V1975" s="77"/>
      <c r="W1975" s="77"/>
      <c r="X1975" s="77"/>
      <c r="Y1975" s="77"/>
      <c r="Z1975" s="77"/>
      <c r="AA1975" s="77"/>
      <c r="AB1975" s="77"/>
      <c r="AC1975" s="77"/>
      <c r="AD1975" s="77"/>
      <c r="AE1975" s="79"/>
    </row>
    <row r="1976" spans="1:31" x14ac:dyDescent="0.3">
      <c r="A1976" s="76"/>
      <c r="B1976" s="78" t="s">
        <v>1690</v>
      </c>
      <c r="C1976" s="78" t="s">
        <v>1499</v>
      </c>
      <c r="D1976" s="78" t="s">
        <v>530</v>
      </c>
      <c r="E1976" s="78" t="s">
        <v>1480</v>
      </c>
      <c r="F1976" s="78" t="s">
        <v>1518</v>
      </c>
      <c r="G1976" s="78" t="s">
        <v>1513</v>
      </c>
      <c r="H1976" s="77"/>
      <c r="I1976" s="226"/>
      <c r="J1976" s="77"/>
      <c r="K1976" s="77"/>
      <c r="L1976" s="77"/>
      <c r="M1976" s="77"/>
      <c r="N1976" s="77"/>
      <c r="O1976" s="77"/>
      <c r="P1976" s="77"/>
      <c r="Q1976" s="77"/>
      <c r="R1976" s="77"/>
      <c r="S1976" s="77"/>
      <c r="T1976" s="77"/>
      <c r="U1976" s="77"/>
      <c r="V1976" s="77"/>
      <c r="W1976" s="77"/>
      <c r="X1976" s="77"/>
      <c r="Y1976" s="77"/>
      <c r="Z1976" s="77"/>
      <c r="AA1976" s="77"/>
      <c r="AB1976" s="77"/>
      <c r="AC1976" s="77"/>
      <c r="AD1976" s="77"/>
      <c r="AE1976" s="79"/>
    </row>
    <row r="1977" spans="1:31" x14ac:dyDescent="0.3">
      <c r="A1977" s="76"/>
      <c r="B1977" s="78" t="s">
        <v>1904</v>
      </c>
      <c r="C1977" s="78" t="s">
        <v>1489</v>
      </c>
      <c r="D1977" s="78" t="s">
        <v>356</v>
      </c>
      <c r="E1977" s="78" t="s">
        <v>1620</v>
      </c>
      <c r="F1977" s="78" t="s">
        <v>1495</v>
      </c>
      <c r="G1977" s="78" t="s">
        <v>1513</v>
      </c>
      <c r="H1977" s="77"/>
      <c r="I1977" s="226"/>
      <c r="J1977" s="77"/>
      <c r="K1977" s="77"/>
      <c r="L1977" s="77"/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  <c r="AA1977" s="77"/>
      <c r="AB1977" s="77"/>
      <c r="AC1977" s="77"/>
      <c r="AD1977" s="77"/>
      <c r="AE1977" s="79"/>
    </row>
    <row r="1978" spans="1:31" x14ac:dyDescent="0.3">
      <c r="A1978" s="76"/>
      <c r="B1978" s="78" t="s">
        <v>1568</v>
      </c>
      <c r="C1978" s="78" t="s">
        <v>1496</v>
      </c>
      <c r="D1978" s="78" t="s">
        <v>69</v>
      </c>
      <c r="E1978" s="78" t="s">
        <v>1543</v>
      </c>
      <c r="F1978" s="78" t="s">
        <v>1569</v>
      </c>
      <c r="G1978" s="78" t="s">
        <v>1513</v>
      </c>
      <c r="H1978" s="85"/>
      <c r="I1978" s="226"/>
      <c r="J1978" s="77"/>
      <c r="K1978" s="77"/>
      <c r="L1978" s="77"/>
      <c r="M1978" s="77"/>
      <c r="N1978" s="77"/>
      <c r="O1978" s="77"/>
      <c r="P1978" s="77"/>
      <c r="Q1978" s="77"/>
      <c r="R1978" s="77"/>
      <c r="S1978" s="77"/>
      <c r="T1978" s="77"/>
      <c r="U1978" s="77"/>
      <c r="V1978" s="77"/>
      <c r="W1978" s="77"/>
      <c r="X1978" s="77"/>
      <c r="Y1978" s="77"/>
      <c r="Z1978" s="77"/>
      <c r="AA1978" s="77"/>
      <c r="AB1978" s="77"/>
      <c r="AC1978" s="77"/>
      <c r="AD1978" s="77"/>
      <c r="AE1978" s="79"/>
    </row>
    <row r="1979" spans="1:31" ht="15" thickBot="1" x14ac:dyDescent="0.35">
      <c r="A1979" s="81"/>
      <c r="B1979" s="82" t="s">
        <v>1711</v>
      </c>
      <c r="C1979" s="82" t="s">
        <v>1499</v>
      </c>
      <c r="D1979" s="82" t="s">
        <v>115</v>
      </c>
      <c r="E1979" s="82" t="s">
        <v>1595</v>
      </c>
      <c r="F1979" s="82" t="s">
        <v>1619</v>
      </c>
      <c r="G1979" s="82" t="s">
        <v>1513</v>
      </c>
      <c r="H1979" s="82"/>
      <c r="I1979" s="226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83"/>
      <c r="V1979" s="83"/>
      <c r="W1979" s="83"/>
      <c r="X1979" s="83"/>
      <c r="Y1979" s="83"/>
      <c r="Z1979" s="83"/>
      <c r="AA1979" s="83"/>
      <c r="AB1979" s="83"/>
      <c r="AC1979" s="83"/>
      <c r="AD1979" s="83"/>
      <c r="AE1979" s="84"/>
    </row>
    <row r="1980" spans="1:31" x14ac:dyDescent="0.3">
      <c r="A1980" s="72" t="s">
        <v>1222</v>
      </c>
      <c r="B1980" s="73" t="s">
        <v>2223</v>
      </c>
      <c r="C1980" s="74" t="s">
        <v>1479</v>
      </c>
      <c r="D1980" s="74" t="s">
        <v>1223</v>
      </c>
      <c r="E1980" s="74" t="s">
        <v>1480</v>
      </c>
      <c r="F1980" s="74"/>
      <c r="G1980" s="74" t="s">
        <v>1481</v>
      </c>
      <c r="H1980" s="73" t="s">
        <v>1482</v>
      </c>
      <c r="I1980" s="226"/>
      <c r="J1980" s="73" t="s">
        <v>1221</v>
      </c>
      <c r="K1980" s="73" t="s">
        <v>1485</v>
      </c>
      <c r="L1980" s="73" t="s">
        <v>195</v>
      </c>
      <c r="M1980" s="73" t="s">
        <v>1483</v>
      </c>
      <c r="N1980" s="73" t="s">
        <v>1483</v>
      </c>
      <c r="O1980" s="73" t="s">
        <v>1483</v>
      </c>
      <c r="P1980" s="73" t="s">
        <v>1483</v>
      </c>
      <c r="Q1980" s="73" t="s">
        <v>1483</v>
      </c>
      <c r="R1980" s="73" t="s">
        <v>1483</v>
      </c>
      <c r="S1980" s="73" t="s">
        <v>1484</v>
      </c>
      <c r="T1980" s="73" t="s">
        <v>1484</v>
      </c>
      <c r="U1980" s="73" t="s">
        <v>1484</v>
      </c>
      <c r="V1980" s="73" t="s">
        <v>1484</v>
      </c>
      <c r="W1980" s="73" t="s">
        <v>1485</v>
      </c>
      <c r="X1980" s="73" t="s">
        <v>1484</v>
      </c>
      <c r="Y1980" s="73" t="s">
        <v>1484</v>
      </c>
      <c r="Z1980" s="73" t="s">
        <v>1485</v>
      </c>
      <c r="AA1980" s="73" t="s">
        <v>1485</v>
      </c>
      <c r="AB1980" s="73" t="s">
        <v>1484</v>
      </c>
      <c r="AC1980" s="73" t="s">
        <v>1486</v>
      </c>
      <c r="AD1980" s="73" t="s">
        <v>1487</v>
      </c>
      <c r="AE1980" s="75" t="s">
        <v>1488</v>
      </c>
    </row>
    <row r="1981" spans="1:31" ht="15" thickBot="1" x14ac:dyDescent="0.35">
      <c r="A1981" s="76"/>
      <c r="B1981" s="77"/>
      <c r="C1981" s="78" t="s">
        <v>1489</v>
      </c>
      <c r="D1981" s="78" t="s">
        <v>170</v>
      </c>
      <c r="E1981" s="78" t="s">
        <v>2052</v>
      </c>
      <c r="F1981" s="78" t="s">
        <v>1565</v>
      </c>
      <c r="G1981" s="78" t="s">
        <v>1492</v>
      </c>
      <c r="H1981" s="77"/>
      <c r="I1981" s="227"/>
      <c r="J1981" s="77"/>
      <c r="K1981" s="77"/>
      <c r="L1981" s="77"/>
      <c r="M1981" s="77"/>
      <c r="N1981" s="77"/>
      <c r="O1981" s="77"/>
      <c r="P1981" s="77"/>
      <c r="Q1981" s="77"/>
      <c r="R1981" s="77"/>
      <c r="S1981" s="77"/>
      <c r="T1981" s="77"/>
      <c r="U1981" s="77"/>
      <c r="V1981" s="77"/>
      <c r="W1981" s="77"/>
      <c r="X1981" s="77"/>
      <c r="Y1981" s="77"/>
      <c r="Z1981" s="77"/>
      <c r="AA1981" s="77"/>
      <c r="AB1981" s="77"/>
      <c r="AC1981" s="77"/>
      <c r="AD1981" s="77"/>
      <c r="AE1981" s="79"/>
    </row>
    <row r="1982" spans="1:31" x14ac:dyDescent="0.3">
      <c r="A1982" s="76"/>
      <c r="B1982" s="77"/>
      <c r="C1982" s="78" t="s">
        <v>1493</v>
      </c>
      <c r="D1982" s="78" t="s">
        <v>365</v>
      </c>
      <c r="E1982" s="78" t="s">
        <v>1620</v>
      </c>
      <c r="F1982" s="78" t="s">
        <v>1495</v>
      </c>
      <c r="G1982" s="78" t="s">
        <v>1492</v>
      </c>
      <c r="H1982" s="77"/>
      <c r="I1982" s="225" t="s">
        <v>1485</v>
      </c>
      <c r="J1982" s="77"/>
      <c r="K1982" s="77"/>
      <c r="L1982" s="77"/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  <c r="AA1982" s="77"/>
      <c r="AB1982" s="77"/>
      <c r="AC1982" s="77"/>
      <c r="AD1982" s="77"/>
      <c r="AE1982" s="79"/>
    </row>
    <row r="1983" spans="1:31" x14ac:dyDescent="0.3">
      <c r="A1983" s="76"/>
      <c r="B1983" s="77"/>
      <c r="C1983" s="78" t="s">
        <v>1496</v>
      </c>
      <c r="D1983" s="78" t="s">
        <v>25</v>
      </c>
      <c r="E1983" s="78" t="s">
        <v>1503</v>
      </c>
      <c r="F1983" s="78" t="s">
        <v>1495</v>
      </c>
      <c r="G1983" s="78" t="s">
        <v>1492</v>
      </c>
      <c r="H1983" s="77"/>
      <c r="I1983" s="226"/>
      <c r="J1983" s="77"/>
      <c r="K1983" s="77"/>
      <c r="L1983" s="77"/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  <c r="AA1983" s="77"/>
      <c r="AB1983" s="77"/>
      <c r="AC1983" s="77"/>
      <c r="AD1983" s="77"/>
      <c r="AE1983" s="79"/>
    </row>
    <row r="1984" spans="1:31" x14ac:dyDescent="0.3">
      <c r="A1984" s="76"/>
      <c r="B1984" s="77"/>
      <c r="C1984" s="78" t="s">
        <v>1499</v>
      </c>
      <c r="D1984" s="78" t="s">
        <v>536</v>
      </c>
      <c r="E1984" s="78" t="s">
        <v>1548</v>
      </c>
      <c r="F1984" s="78" t="s">
        <v>1791</v>
      </c>
      <c r="G1984" s="78" t="s">
        <v>1492</v>
      </c>
      <c r="H1984" s="77"/>
      <c r="I1984" s="226"/>
      <c r="J1984" s="77"/>
      <c r="K1984" s="77"/>
      <c r="L1984" s="77"/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  <c r="X1984" s="77"/>
      <c r="Y1984" s="77"/>
      <c r="Z1984" s="77"/>
      <c r="AA1984" s="77"/>
      <c r="AB1984" s="77"/>
      <c r="AC1984" s="77"/>
      <c r="AD1984" s="77"/>
      <c r="AE1984" s="79"/>
    </row>
    <row r="1985" spans="1:31" x14ac:dyDescent="0.3">
      <c r="A1985" s="76"/>
      <c r="B1985" s="80"/>
      <c r="C1985" s="78" t="s">
        <v>1502</v>
      </c>
      <c r="D1985" s="78" t="s">
        <v>263</v>
      </c>
      <c r="E1985" s="78" t="s">
        <v>1595</v>
      </c>
      <c r="F1985" s="78" t="s">
        <v>1631</v>
      </c>
      <c r="G1985" s="78" t="s">
        <v>1492</v>
      </c>
      <c r="H1985" s="77"/>
      <c r="I1985" s="226"/>
      <c r="J1985" s="77"/>
      <c r="K1985" s="77"/>
      <c r="L1985" s="77"/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  <c r="AA1985" s="77"/>
      <c r="AB1985" s="77"/>
      <c r="AC1985" s="77"/>
      <c r="AD1985" s="77"/>
      <c r="AE1985" s="79"/>
    </row>
    <row r="1986" spans="1:31" x14ac:dyDescent="0.3">
      <c r="A1986" s="76"/>
      <c r="B1986" s="78" t="s">
        <v>1520</v>
      </c>
      <c r="C1986" s="78" t="s">
        <v>1502</v>
      </c>
      <c r="D1986" s="78" t="s">
        <v>25</v>
      </c>
      <c r="E1986" s="78" t="s">
        <v>1503</v>
      </c>
      <c r="F1986" s="78" t="s">
        <v>1495</v>
      </c>
      <c r="G1986" s="78" t="s">
        <v>1513</v>
      </c>
      <c r="H1986" s="77"/>
      <c r="I1986" s="226"/>
      <c r="J1986" s="77"/>
      <c r="K1986" s="77"/>
      <c r="L1986" s="77"/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  <c r="AA1986" s="77"/>
      <c r="AB1986" s="77"/>
      <c r="AC1986" s="77"/>
      <c r="AD1986" s="77"/>
      <c r="AE1986" s="79"/>
    </row>
    <row r="1987" spans="1:31" x14ac:dyDescent="0.3">
      <c r="A1987" s="76"/>
      <c r="B1987" s="78" t="s">
        <v>1908</v>
      </c>
      <c r="C1987" s="78" t="s">
        <v>1499</v>
      </c>
      <c r="D1987" s="78" t="s">
        <v>365</v>
      </c>
      <c r="E1987" s="78" t="s">
        <v>1620</v>
      </c>
      <c r="F1987" s="78" t="s">
        <v>1495</v>
      </c>
      <c r="G1987" s="78" t="s">
        <v>1513</v>
      </c>
      <c r="H1987" s="77"/>
      <c r="I1987" s="226"/>
      <c r="J1987" s="77"/>
      <c r="K1987" s="77"/>
      <c r="L1987" s="77"/>
      <c r="M1987" s="77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  <c r="AA1987" s="77"/>
      <c r="AB1987" s="77"/>
      <c r="AC1987" s="77"/>
      <c r="AD1987" s="77"/>
      <c r="AE1987" s="79"/>
    </row>
    <row r="1988" spans="1:31" x14ac:dyDescent="0.3">
      <c r="A1988" s="76"/>
      <c r="B1988" s="78" t="s">
        <v>1638</v>
      </c>
      <c r="C1988" s="78" t="s">
        <v>1499</v>
      </c>
      <c r="D1988" s="78" t="s">
        <v>263</v>
      </c>
      <c r="E1988" s="78" t="s">
        <v>1595</v>
      </c>
      <c r="F1988" s="78" t="s">
        <v>1631</v>
      </c>
      <c r="G1988" s="78" t="s">
        <v>1513</v>
      </c>
      <c r="H1988" s="77"/>
      <c r="I1988" s="226"/>
      <c r="J1988" s="77"/>
      <c r="K1988" s="77"/>
      <c r="L1988" s="77"/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  <c r="AA1988" s="77"/>
      <c r="AB1988" s="77"/>
      <c r="AC1988" s="77"/>
      <c r="AD1988" s="77"/>
      <c r="AE1988" s="79"/>
    </row>
    <row r="1989" spans="1:31" ht="15" thickBot="1" x14ac:dyDescent="0.35">
      <c r="A1989" s="81"/>
      <c r="B1989" s="82" t="s">
        <v>2055</v>
      </c>
      <c r="C1989" s="82" t="s">
        <v>1496</v>
      </c>
      <c r="D1989" s="82" t="s">
        <v>170</v>
      </c>
      <c r="E1989" s="82" t="s">
        <v>2052</v>
      </c>
      <c r="F1989" s="82" t="s">
        <v>1565</v>
      </c>
      <c r="G1989" s="82" t="s">
        <v>1513</v>
      </c>
      <c r="H1989" s="83"/>
      <c r="I1989" s="226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83"/>
      <c r="V1989" s="83"/>
      <c r="W1989" s="83"/>
      <c r="X1989" s="83"/>
      <c r="Y1989" s="83"/>
      <c r="Z1989" s="83"/>
      <c r="AA1989" s="83"/>
      <c r="AB1989" s="83"/>
      <c r="AC1989" s="83"/>
      <c r="AD1989" s="83"/>
      <c r="AE1989" s="84"/>
    </row>
    <row r="1990" spans="1:31" x14ac:dyDescent="0.3">
      <c r="A1990" s="72" t="s">
        <v>1226</v>
      </c>
      <c r="B1990" s="73" t="s">
        <v>2224</v>
      </c>
      <c r="C1990" s="74" t="s">
        <v>1479</v>
      </c>
      <c r="D1990" s="74" t="s">
        <v>1227</v>
      </c>
      <c r="E1990" s="74" t="s">
        <v>1480</v>
      </c>
      <c r="F1990" s="74"/>
      <c r="G1990" s="74" t="s">
        <v>1481</v>
      </c>
      <c r="H1990" s="73" t="s">
        <v>1482</v>
      </c>
      <c r="I1990" s="226"/>
      <c r="J1990" s="73" t="s">
        <v>1225</v>
      </c>
      <c r="K1990" s="73" t="s">
        <v>1485</v>
      </c>
      <c r="L1990" s="73" t="s">
        <v>195</v>
      </c>
      <c r="M1990" s="73" t="s">
        <v>1483</v>
      </c>
      <c r="N1990" s="73" t="s">
        <v>1483</v>
      </c>
      <c r="O1990" s="73" t="s">
        <v>1483</v>
      </c>
      <c r="P1990" s="73" t="s">
        <v>1483</v>
      </c>
      <c r="Q1990" s="73" t="s">
        <v>1483</v>
      </c>
      <c r="R1990" s="73" t="s">
        <v>1483</v>
      </c>
      <c r="S1990" s="73" t="s">
        <v>1484</v>
      </c>
      <c r="T1990" s="73" t="s">
        <v>1484</v>
      </c>
      <c r="U1990" s="73" t="s">
        <v>1484</v>
      </c>
      <c r="V1990" s="73" t="s">
        <v>1484</v>
      </c>
      <c r="W1990" s="73" t="s">
        <v>1485</v>
      </c>
      <c r="X1990" s="73" t="s">
        <v>1484</v>
      </c>
      <c r="Y1990" s="73" t="s">
        <v>1484</v>
      </c>
      <c r="Z1990" s="73" t="s">
        <v>1485</v>
      </c>
      <c r="AA1990" s="73" t="s">
        <v>1485</v>
      </c>
      <c r="AB1990" s="73" t="s">
        <v>1484</v>
      </c>
      <c r="AC1990" s="73" t="s">
        <v>1486</v>
      </c>
      <c r="AD1990" s="73" t="s">
        <v>1487</v>
      </c>
      <c r="AE1990" s="75" t="s">
        <v>1488</v>
      </c>
    </row>
    <row r="1991" spans="1:31" ht="15" thickBot="1" x14ac:dyDescent="0.35">
      <c r="A1991" s="76"/>
      <c r="B1991" s="77"/>
      <c r="C1991" s="78" t="s">
        <v>1493</v>
      </c>
      <c r="D1991" s="78" t="s">
        <v>372</v>
      </c>
      <c r="E1991" s="78" t="s">
        <v>1620</v>
      </c>
      <c r="F1991" s="78" t="s">
        <v>1495</v>
      </c>
      <c r="G1991" s="78" t="s">
        <v>1492</v>
      </c>
      <c r="H1991" s="77"/>
      <c r="I1991" s="227"/>
      <c r="J1991" s="77"/>
      <c r="K1991" s="77"/>
      <c r="L1991" s="77"/>
      <c r="M1991" s="77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  <c r="AA1991" s="77"/>
      <c r="AB1991" s="77"/>
      <c r="AC1991" s="77"/>
      <c r="AD1991" s="77"/>
      <c r="AE1991" s="79"/>
    </row>
    <row r="1992" spans="1:31" x14ac:dyDescent="0.3">
      <c r="A1992" s="76"/>
      <c r="B1992" s="77"/>
      <c r="C1992" s="78" t="s">
        <v>1496</v>
      </c>
      <c r="D1992" s="78" t="s">
        <v>39</v>
      </c>
      <c r="E1992" s="78" t="s">
        <v>1503</v>
      </c>
      <c r="F1992" s="200" t="s">
        <v>1495</v>
      </c>
      <c r="G1992" s="78" t="s">
        <v>1492</v>
      </c>
      <c r="H1992" s="77"/>
      <c r="I1992" s="225" t="s">
        <v>1485</v>
      </c>
      <c r="J1992" s="77"/>
      <c r="K1992" s="77"/>
      <c r="L1992" s="77"/>
      <c r="M1992" s="77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  <c r="AA1992" s="77"/>
      <c r="AB1992" s="77"/>
      <c r="AC1992" s="77"/>
      <c r="AD1992" s="77"/>
      <c r="AE1992" s="79"/>
    </row>
    <row r="1993" spans="1:31" x14ac:dyDescent="0.3">
      <c r="A1993" s="76"/>
      <c r="B1993" s="80"/>
      <c r="C1993" s="78" t="s">
        <v>1499</v>
      </c>
      <c r="D1993" s="78" t="s">
        <v>547</v>
      </c>
      <c r="E1993" s="78" t="s">
        <v>1548</v>
      </c>
      <c r="F1993" s="78" t="s">
        <v>1791</v>
      </c>
      <c r="G1993" s="78" t="s">
        <v>1492</v>
      </c>
      <c r="H1993" s="77"/>
      <c r="I1993" s="226"/>
      <c r="J1993" s="77"/>
      <c r="K1993" s="77"/>
      <c r="L1993" s="77"/>
      <c r="M1993" s="77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  <c r="AA1993" s="77"/>
      <c r="AB1993" s="77"/>
      <c r="AC1993" s="77"/>
      <c r="AD1993" s="77"/>
      <c r="AE1993" s="79"/>
    </row>
    <row r="1994" spans="1:31" x14ac:dyDescent="0.3">
      <c r="A1994" s="76"/>
      <c r="B1994" s="78" t="s">
        <v>1655</v>
      </c>
      <c r="C1994" s="78" t="s">
        <v>1502</v>
      </c>
      <c r="D1994" s="78" t="s">
        <v>39</v>
      </c>
      <c r="E1994" s="78" t="s">
        <v>1503</v>
      </c>
      <c r="F1994" s="200" t="s">
        <v>1495</v>
      </c>
      <c r="G1994" s="78" t="s">
        <v>1513</v>
      </c>
      <c r="H1994" s="77"/>
      <c r="I1994" s="226"/>
      <c r="J1994" s="77"/>
      <c r="K1994" s="77"/>
      <c r="L1994" s="77"/>
      <c r="M1994" s="77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  <c r="AA1994" s="77"/>
      <c r="AB1994" s="77"/>
      <c r="AC1994" s="77"/>
      <c r="AD1994" s="77"/>
      <c r="AE1994" s="79"/>
    </row>
    <row r="1995" spans="1:31" x14ac:dyDescent="0.3">
      <c r="A1995" s="76"/>
      <c r="B1995" s="78" t="s">
        <v>1911</v>
      </c>
      <c r="C1995" s="78" t="s">
        <v>1496</v>
      </c>
      <c r="D1995" s="78" t="s">
        <v>372</v>
      </c>
      <c r="E1995" s="78" t="s">
        <v>1620</v>
      </c>
      <c r="F1995" s="78" t="s">
        <v>1495</v>
      </c>
      <c r="G1995" s="78" t="s">
        <v>1513</v>
      </c>
      <c r="H1995" s="77"/>
      <c r="I1995" s="226"/>
      <c r="J1995" s="77"/>
      <c r="K1995" s="77"/>
      <c r="L1995" s="77"/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7"/>
      <c r="AE1995" s="79"/>
    </row>
    <row r="1996" spans="1:31" ht="15" thickBot="1" x14ac:dyDescent="0.35">
      <c r="A1996" s="81"/>
      <c r="B1996" s="82" t="s">
        <v>2059</v>
      </c>
      <c r="C1996" s="82" t="s">
        <v>1496</v>
      </c>
      <c r="D1996" s="82" t="s">
        <v>161</v>
      </c>
      <c r="E1996" s="82" t="s">
        <v>2052</v>
      </c>
      <c r="F1996" s="82" t="s">
        <v>1558</v>
      </c>
      <c r="G1996" s="82" t="s">
        <v>1513</v>
      </c>
      <c r="H1996" s="83"/>
      <c r="I1996" s="226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83"/>
      <c r="V1996" s="83"/>
      <c r="W1996" s="83"/>
      <c r="X1996" s="83"/>
      <c r="Y1996" s="83"/>
      <c r="Z1996" s="83"/>
      <c r="AA1996" s="83"/>
      <c r="AB1996" s="83"/>
      <c r="AC1996" s="83"/>
      <c r="AD1996" s="83"/>
      <c r="AE1996" s="84"/>
    </row>
    <row r="1997" spans="1:31" x14ac:dyDescent="0.3">
      <c r="A1997" s="72" t="s">
        <v>1230</v>
      </c>
      <c r="B1997" s="73" t="s">
        <v>2225</v>
      </c>
      <c r="C1997" s="74" t="s">
        <v>1479</v>
      </c>
      <c r="D1997" s="74" t="s">
        <v>1231</v>
      </c>
      <c r="E1997" s="74" t="s">
        <v>1480</v>
      </c>
      <c r="F1997" s="74"/>
      <c r="G1997" s="74" t="s">
        <v>1481</v>
      </c>
      <c r="H1997" s="73" t="s">
        <v>1482</v>
      </c>
      <c r="I1997" s="226"/>
      <c r="J1997" s="73" t="s">
        <v>1229</v>
      </c>
      <c r="K1997" s="73" t="s">
        <v>1485</v>
      </c>
      <c r="L1997" s="73" t="s">
        <v>195</v>
      </c>
      <c r="M1997" s="73" t="s">
        <v>1483</v>
      </c>
      <c r="N1997" s="73" t="s">
        <v>1483</v>
      </c>
      <c r="O1997" s="73" t="s">
        <v>1483</v>
      </c>
      <c r="P1997" s="73" t="s">
        <v>1483</v>
      </c>
      <c r="Q1997" s="73" t="s">
        <v>1483</v>
      </c>
      <c r="R1997" s="73" t="s">
        <v>1483</v>
      </c>
      <c r="S1997" s="73" t="s">
        <v>1484</v>
      </c>
      <c r="T1997" s="73" t="s">
        <v>1484</v>
      </c>
      <c r="U1997" s="73" t="s">
        <v>1484</v>
      </c>
      <c r="V1997" s="73" t="s">
        <v>1484</v>
      </c>
      <c r="W1997" s="73" t="s">
        <v>1485</v>
      </c>
      <c r="X1997" s="73" t="s">
        <v>1484</v>
      </c>
      <c r="Y1997" s="73" t="s">
        <v>1484</v>
      </c>
      <c r="Z1997" s="73" t="s">
        <v>1485</v>
      </c>
      <c r="AA1997" s="73" t="s">
        <v>1485</v>
      </c>
      <c r="AB1997" s="73" t="s">
        <v>1484</v>
      </c>
      <c r="AC1997" s="73" t="s">
        <v>1486</v>
      </c>
      <c r="AD1997" s="73" t="s">
        <v>1487</v>
      </c>
      <c r="AE1997" s="75" t="s">
        <v>1488</v>
      </c>
    </row>
    <row r="1998" spans="1:31" x14ac:dyDescent="0.3">
      <c r="A1998" s="76"/>
      <c r="B1998" s="77"/>
      <c r="C1998" s="78" t="s">
        <v>1489</v>
      </c>
      <c r="D1998" s="78" t="s">
        <v>647</v>
      </c>
      <c r="E1998" s="78" t="s">
        <v>1881</v>
      </c>
      <c r="F1998" s="78" t="s">
        <v>1565</v>
      </c>
      <c r="G1998" s="78" t="s">
        <v>1492</v>
      </c>
      <c r="H1998" s="77"/>
      <c r="I1998" s="226"/>
      <c r="J1998" s="77"/>
      <c r="K1998" s="77"/>
      <c r="L1998" s="77"/>
      <c r="M1998" s="77"/>
      <c r="N1998" s="77"/>
      <c r="O1998" s="77"/>
      <c r="P1998" s="77"/>
      <c r="Q1998" s="77"/>
      <c r="R1998" s="77"/>
      <c r="S1998" s="77"/>
      <c r="T1998" s="77"/>
      <c r="U1998" s="77"/>
      <c r="V1998" s="77"/>
      <c r="W1998" s="77"/>
      <c r="X1998" s="77"/>
      <c r="Y1998" s="77"/>
      <c r="Z1998" s="77"/>
      <c r="AA1998" s="77"/>
      <c r="AB1998" s="77"/>
      <c r="AC1998" s="77"/>
      <c r="AD1998" s="77"/>
      <c r="AE1998" s="79"/>
    </row>
    <row r="1999" spans="1:31" x14ac:dyDescent="0.3">
      <c r="A1999" s="76"/>
      <c r="B1999" s="77"/>
      <c r="C1999" s="78" t="s">
        <v>1493</v>
      </c>
      <c r="D1999" s="78" t="s">
        <v>520</v>
      </c>
      <c r="E1999" s="78" t="s">
        <v>1620</v>
      </c>
      <c r="F1999" s="78" t="s">
        <v>1495</v>
      </c>
      <c r="G1999" s="78" t="s">
        <v>1492</v>
      </c>
      <c r="H1999" s="77"/>
      <c r="I1999" s="226"/>
      <c r="J1999" s="77"/>
      <c r="K1999" s="77"/>
      <c r="L1999" s="77"/>
      <c r="M1999" s="77"/>
      <c r="N1999" s="77"/>
      <c r="O1999" s="77"/>
      <c r="P1999" s="77"/>
      <c r="Q1999" s="77"/>
      <c r="R1999" s="77"/>
      <c r="S1999" s="77"/>
      <c r="T1999" s="77"/>
      <c r="U1999" s="77"/>
      <c r="V1999" s="77"/>
      <c r="W1999" s="77"/>
      <c r="X1999" s="77"/>
      <c r="Y1999" s="77"/>
      <c r="Z1999" s="77"/>
      <c r="AA1999" s="77"/>
      <c r="AB1999" s="77"/>
      <c r="AC1999" s="77"/>
      <c r="AD1999" s="77"/>
      <c r="AE1999" s="79"/>
    </row>
    <row r="2000" spans="1:31" x14ac:dyDescent="0.3">
      <c r="A2000" s="76"/>
      <c r="B2000" s="77"/>
      <c r="C2000" s="78" t="s">
        <v>1496</v>
      </c>
      <c r="D2000" s="78" t="s">
        <v>50</v>
      </c>
      <c r="E2000" s="78" t="s">
        <v>1503</v>
      </c>
      <c r="F2000" s="200" t="s">
        <v>1495</v>
      </c>
      <c r="G2000" s="78" t="s">
        <v>1492</v>
      </c>
      <c r="H2000" s="77"/>
      <c r="I2000" s="226"/>
      <c r="J2000" s="77"/>
      <c r="K2000" s="77"/>
      <c r="L2000" s="77"/>
      <c r="M2000" s="77"/>
      <c r="N2000" s="77"/>
      <c r="O2000" s="77"/>
      <c r="P2000" s="77"/>
      <c r="Q2000" s="77"/>
      <c r="R2000" s="77"/>
      <c r="S2000" s="77"/>
      <c r="T2000" s="77"/>
      <c r="U2000" s="77"/>
      <c r="V2000" s="77"/>
      <c r="W2000" s="77"/>
      <c r="X2000" s="77"/>
      <c r="Y2000" s="77"/>
      <c r="Z2000" s="77"/>
      <c r="AA2000" s="77"/>
      <c r="AB2000" s="77"/>
      <c r="AC2000" s="77"/>
      <c r="AD2000" s="77"/>
      <c r="AE2000" s="79"/>
    </row>
    <row r="2001" spans="1:31" ht="15" thickBot="1" x14ac:dyDescent="0.35">
      <c r="A2001" s="76"/>
      <c r="B2001" s="77"/>
      <c r="C2001" s="78" t="s">
        <v>1499</v>
      </c>
      <c r="D2001" s="78" t="s">
        <v>597</v>
      </c>
      <c r="E2001" s="78" t="s">
        <v>1548</v>
      </c>
      <c r="F2001" s="78" t="s">
        <v>1791</v>
      </c>
      <c r="G2001" s="78" t="s">
        <v>1492</v>
      </c>
      <c r="H2001" s="77"/>
      <c r="I2001" s="227"/>
      <c r="J2001" s="77"/>
      <c r="K2001" s="77"/>
      <c r="L2001" s="77"/>
      <c r="M2001" s="77"/>
      <c r="N2001" s="77"/>
      <c r="O2001" s="77"/>
      <c r="P2001" s="77"/>
      <c r="Q2001" s="77"/>
      <c r="R2001" s="77"/>
      <c r="S2001" s="77"/>
      <c r="T2001" s="77"/>
      <c r="U2001" s="77"/>
      <c r="V2001" s="77"/>
      <c r="W2001" s="77"/>
      <c r="X2001" s="77"/>
      <c r="Y2001" s="77"/>
      <c r="Z2001" s="77"/>
      <c r="AA2001" s="77"/>
      <c r="AB2001" s="77"/>
      <c r="AC2001" s="77"/>
      <c r="AD2001" s="77"/>
      <c r="AE2001" s="79"/>
    </row>
    <row r="2002" spans="1:31" x14ac:dyDescent="0.3">
      <c r="A2002" s="76"/>
      <c r="B2002" s="80"/>
      <c r="C2002" s="78" t="s">
        <v>1502</v>
      </c>
      <c r="D2002" s="78" t="s">
        <v>380</v>
      </c>
      <c r="E2002" s="78" t="s">
        <v>1595</v>
      </c>
      <c r="F2002" s="78" t="s">
        <v>1528</v>
      </c>
      <c r="G2002" s="78" t="s">
        <v>1492</v>
      </c>
      <c r="H2002" s="77"/>
      <c r="I2002" s="225" t="s">
        <v>1485</v>
      </c>
      <c r="J2002" s="77"/>
      <c r="K2002" s="77"/>
      <c r="L2002" s="77"/>
      <c r="M2002" s="77"/>
      <c r="N2002" s="77"/>
      <c r="O2002" s="77"/>
      <c r="P2002" s="77"/>
      <c r="Q2002" s="77"/>
      <c r="R2002" s="77"/>
      <c r="S2002" s="77"/>
      <c r="T2002" s="77"/>
      <c r="U2002" s="77"/>
      <c r="V2002" s="77"/>
      <c r="W2002" s="77"/>
      <c r="X2002" s="77"/>
      <c r="Y2002" s="77"/>
      <c r="Z2002" s="77"/>
      <c r="AA2002" s="77"/>
      <c r="AB2002" s="77"/>
      <c r="AC2002" s="77"/>
      <c r="AD2002" s="77"/>
      <c r="AE2002" s="79"/>
    </row>
    <row r="2003" spans="1:31" x14ac:dyDescent="0.3">
      <c r="A2003" s="76"/>
      <c r="B2003" s="78" t="s">
        <v>1665</v>
      </c>
      <c r="C2003" s="78" t="s">
        <v>1502</v>
      </c>
      <c r="D2003" s="78" t="s">
        <v>50</v>
      </c>
      <c r="E2003" s="78" t="s">
        <v>1503</v>
      </c>
      <c r="F2003" s="200" t="s">
        <v>1495</v>
      </c>
      <c r="G2003" s="78" t="s">
        <v>1513</v>
      </c>
      <c r="H2003" s="77"/>
      <c r="I2003" s="226"/>
      <c r="J2003" s="77"/>
      <c r="K2003" s="77"/>
      <c r="L2003" s="77"/>
      <c r="M2003" s="77"/>
      <c r="N2003" s="77"/>
      <c r="O2003" s="77"/>
      <c r="P2003" s="77"/>
      <c r="Q2003" s="77"/>
      <c r="R2003" s="77"/>
      <c r="S2003" s="77"/>
      <c r="T2003" s="77"/>
      <c r="U2003" s="77"/>
      <c r="V2003" s="77"/>
      <c r="W2003" s="77"/>
      <c r="X2003" s="77"/>
      <c r="Y2003" s="77"/>
      <c r="Z2003" s="77"/>
      <c r="AA2003" s="77"/>
      <c r="AB2003" s="77"/>
      <c r="AC2003" s="77"/>
      <c r="AD2003" s="77"/>
      <c r="AE2003" s="79"/>
    </row>
    <row r="2004" spans="1:31" x14ac:dyDescent="0.3">
      <c r="A2004" s="76"/>
      <c r="B2004" s="78" t="s">
        <v>1683</v>
      </c>
      <c r="C2004" s="78" t="s">
        <v>1496</v>
      </c>
      <c r="D2004" s="78" t="s">
        <v>520</v>
      </c>
      <c r="E2004" s="78" t="s">
        <v>1620</v>
      </c>
      <c r="F2004" s="78" t="s">
        <v>1495</v>
      </c>
      <c r="G2004" s="78" t="s">
        <v>1513</v>
      </c>
      <c r="H2004" s="77"/>
      <c r="I2004" s="226"/>
      <c r="J2004" s="77"/>
      <c r="K2004" s="77"/>
      <c r="L2004" s="77"/>
      <c r="M2004" s="77"/>
      <c r="N2004" s="77"/>
      <c r="O2004" s="77"/>
      <c r="P2004" s="77"/>
      <c r="Q2004" s="77"/>
      <c r="R2004" s="77"/>
      <c r="S2004" s="77"/>
      <c r="T2004" s="77"/>
      <c r="U2004" s="77"/>
      <c r="V2004" s="77"/>
      <c r="W2004" s="77"/>
      <c r="X2004" s="77"/>
      <c r="Y2004" s="77"/>
      <c r="Z2004" s="77"/>
      <c r="AA2004" s="77"/>
      <c r="AB2004" s="77"/>
      <c r="AC2004" s="77"/>
      <c r="AD2004" s="77"/>
      <c r="AE2004" s="79"/>
    </row>
    <row r="2005" spans="1:31" x14ac:dyDescent="0.3">
      <c r="A2005" s="76"/>
      <c r="B2005" s="78" t="s">
        <v>1607</v>
      </c>
      <c r="C2005" s="78" t="s">
        <v>1493</v>
      </c>
      <c r="D2005" s="78" t="s">
        <v>380</v>
      </c>
      <c r="E2005" s="78" t="s">
        <v>1595</v>
      </c>
      <c r="F2005" s="78" t="s">
        <v>1528</v>
      </c>
      <c r="G2005" s="78" t="s">
        <v>1513</v>
      </c>
      <c r="H2005" s="77"/>
      <c r="I2005" s="226"/>
      <c r="J2005" s="77"/>
      <c r="K2005" s="77"/>
      <c r="L2005" s="77"/>
      <c r="M2005" s="77"/>
      <c r="N2005" s="77"/>
      <c r="O2005" s="77"/>
      <c r="P2005" s="77"/>
      <c r="Q2005" s="77"/>
      <c r="R2005" s="77"/>
      <c r="S2005" s="77"/>
      <c r="T2005" s="77"/>
      <c r="U2005" s="77"/>
      <c r="V2005" s="77"/>
      <c r="W2005" s="77"/>
      <c r="X2005" s="77"/>
      <c r="Y2005" s="77"/>
      <c r="Z2005" s="77"/>
      <c r="AA2005" s="77"/>
      <c r="AB2005" s="77"/>
      <c r="AC2005" s="77"/>
      <c r="AD2005" s="77"/>
      <c r="AE2005" s="79"/>
    </row>
    <row r="2006" spans="1:31" ht="15" thickBot="1" x14ac:dyDescent="0.35">
      <c r="A2006" s="81"/>
      <c r="B2006" s="82" t="s">
        <v>1887</v>
      </c>
      <c r="C2006" s="82" t="s">
        <v>1499</v>
      </c>
      <c r="D2006" s="82" t="s">
        <v>647</v>
      </c>
      <c r="E2006" s="82" t="s">
        <v>1881</v>
      </c>
      <c r="F2006" s="82" t="s">
        <v>1565</v>
      </c>
      <c r="G2006" s="82" t="s">
        <v>1513</v>
      </c>
      <c r="H2006" s="83"/>
      <c r="I2006" s="226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83"/>
      <c r="V2006" s="83"/>
      <c r="W2006" s="83"/>
      <c r="X2006" s="83"/>
      <c r="Y2006" s="83"/>
      <c r="Z2006" s="83"/>
      <c r="AA2006" s="83"/>
      <c r="AB2006" s="83"/>
      <c r="AC2006" s="83"/>
      <c r="AD2006" s="83"/>
      <c r="AE2006" s="84"/>
    </row>
    <row r="2007" spans="1:31" x14ac:dyDescent="0.3">
      <c r="A2007" s="72" t="s">
        <v>1234</v>
      </c>
      <c r="B2007" s="73" t="s">
        <v>2226</v>
      </c>
      <c r="C2007" s="74" t="s">
        <v>1479</v>
      </c>
      <c r="D2007" s="74" t="s">
        <v>1235</v>
      </c>
      <c r="E2007" s="74" t="s">
        <v>1480</v>
      </c>
      <c r="F2007" s="74"/>
      <c r="G2007" s="74" t="s">
        <v>1481</v>
      </c>
      <c r="H2007" s="73" t="s">
        <v>1482</v>
      </c>
      <c r="I2007" s="226"/>
      <c r="J2007" s="73" t="s">
        <v>1233</v>
      </c>
      <c r="K2007" s="73" t="s">
        <v>1485</v>
      </c>
      <c r="L2007" s="73" t="s">
        <v>195</v>
      </c>
      <c r="M2007" s="73" t="s">
        <v>1483</v>
      </c>
      <c r="N2007" s="73" t="s">
        <v>1483</v>
      </c>
      <c r="O2007" s="73" t="s">
        <v>1483</v>
      </c>
      <c r="P2007" s="73" t="s">
        <v>1483</v>
      </c>
      <c r="Q2007" s="73" t="s">
        <v>1483</v>
      </c>
      <c r="R2007" s="73" t="s">
        <v>1483</v>
      </c>
      <c r="S2007" s="73" t="s">
        <v>1484</v>
      </c>
      <c r="T2007" s="73" t="s">
        <v>1484</v>
      </c>
      <c r="U2007" s="73" t="s">
        <v>1484</v>
      </c>
      <c r="V2007" s="73" t="s">
        <v>1484</v>
      </c>
      <c r="W2007" s="73" t="s">
        <v>1485</v>
      </c>
      <c r="X2007" s="73" t="s">
        <v>1484</v>
      </c>
      <c r="Y2007" s="73" t="s">
        <v>1484</v>
      </c>
      <c r="Z2007" s="73" t="s">
        <v>1485</v>
      </c>
      <c r="AA2007" s="73" t="s">
        <v>1485</v>
      </c>
      <c r="AB2007" s="73" t="s">
        <v>1484</v>
      </c>
      <c r="AC2007" s="73" t="s">
        <v>1486</v>
      </c>
      <c r="AD2007" s="73" t="s">
        <v>1487</v>
      </c>
      <c r="AE2007" s="75" t="s">
        <v>1488</v>
      </c>
    </row>
    <row r="2008" spans="1:31" x14ac:dyDescent="0.3">
      <c r="A2008" s="76"/>
      <c r="B2008" s="77"/>
      <c r="C2008" s="78" t="s">
        <v>1493</v>
      </c>
      <c r="D2008" s="78" t="s">
        <v>538</v>
      </c>
      <c r="E2008" s="78" t="s">
        <v>1620</v>
      </c>
      <c r="F2008" s="78" t="s">
        <v>1495</v>
      </c>
      <c r="G2008" s="78" t="s">
        <v>1492</v>
      </c>
      <c r="H2008" s="77"/>
      <c r="I2008" s="226"/>
      <c r="J2008" s="77"/>
      <c r="K2008" s="77"/>
      <c r="L2008" s="77"/>
      <c r="M2008" s="77"/>
      <c r="N2008" s="77"/>
      <c r="O2008" s="77"/>
      <c r="P2008" s="77"/>
      <c r="Q2008" s="77"/>
      <c r="R2008" s="77"/>
      <c r="S2008" s="77"/>
      <c r="T2008" s="77"/>
      <c r="U2008" s="77"/>
      <c r="V2008" s="77"/>
      <c r="W2008" s="77"/>
      <c r="X2008" s="77"/>
      <c r="Y2008" s="77"/>
      <c r="Z2008" s="77"/>
      <c r="AA2008" s="77"/>
      <c r="AB2008" s="77"/>
      <c r="AC2008" s="77"/>
      <c r="AD2008" s="77"/>
      <c r="AE2008" s="79"/>
    </row>
    <row r="2009" spans="1:31" x14ac:dyDescent="0.3">
      <c r="A2009" s="76"/>
      <c r="B2009" s="77"/>
      <c r="C2009" s="78" t="s">
        <v>1496</v>
      </c>
      <c r="D2009" s="78" t="s">
        <v>91</v>
      </c>
      <c r="E2009" s="78" t="s">
        <v>1503</v>
      </c>
      <c r="F2009" s="200" t="s">
        <v>1495</v>
      </c>
      <c r="G2009" s="78" t="s">
        <v>1492</v>
      </c>
      <c r="H2009" s="77"/>
      <c r="I2009" s="226"/>
      <c r="J2009" s="77"/>
      <c r="K2009" s="77"/>
      <c r="L2009" s="77"/>
      <c r="M2009" s="77"/>
      <c r="N2009" s="77"/>
      <c r="O2009" s="77"/>
      <c r="P2009" s="77"/>
      <c r="Q2009" s="77"/>
      <c r="R2009" s="77"/>
      <c r="S2009" s="77"/>
      <c r="T2009" s="77"/>
      <c r="U2009" s="77"/>
      <c r="V2009" s="77"/>
      <c r="W2009" s="77"/>
      <c r="X2009" s="77"/>
      <c r="Y2009" s="77"/>
      <c r="Z2009" s="77"/>
      <c r="AA2009" s="77"/>
      <c r="AB2009" s="77"/>
      <c r="AC2009" s="77"/>
      <c r="AD2009" s="77"/>
      <c r="AE2009" s="79"/>
    </row>
    <row r="2010" spans="1:31" x14ac:dyDescent="0.3">
      <c r="A2010" s="76"/>
      <c r="B2010" s="77"/>
      <c r="C2010" s="78" t="s">
        <v>1499</v>
      </c>
      <c r="D2010" s="78" t="s">
        <v>528</v>
      </c>
      <c r="E2010" s="78" t="s">
        <v>1511</v>
      </c>
      <c r="F2010" s="78" t="s">
        <v>1791</v>
      </c>
      <c r="G2010" s="78" t="s">
        <v>1492</v>
      </c>
      <c r="H2010" s="77"/>
      <c r="I2010" s="226"/>
      <c r="J2010" s="77"/>
      <c r="K2010" s="77"/>
      <c r="L2010" s="77"/>
      <c r="M2010" s="77"/>
      <c r="N2010" s="77"/>
      <c r="O2010" s="77"/>
      <c r="P2010" s="77"/>
      <c r="Q2010" s="77"/>
      <c r="R2010" s="77"/>
      <c r="S2010" s="77"/>
      <c r="T2010" s="77"/>
      <c r="U2010" s="77"/>
      <c r="V2010" s="77"/>
      <c r="W2010" s="77"/>
      <c r="X2010" s="77"/>
      <c r="Y2010" s="77"/>
      <c r="Z2010" s="77"/>
      <c r="AA2010" s="77"/>
      <c r="AB2010" s="77"/>
      <c r="AC2010" s="77"/>
      <c r="AD2010" s="77"/>
      <c r="AE2010" s="79"/>
    </row>
    <row r="2011" spans="1:31" ht="15" thickBot="1" x14ac:dyDescent="0.35">
      <c r="A2011" s="76"/>
      <c r="B2011" s="77"/>
      <c r="C2011" s="78" t="s">
        <v>1502</v>
      </c>
      <c r="D2011" s="78" t="s">
        <v>411</v>
      </c>
      <c r="E2011" s="78" t="s">
        <v>1595</v>
      </c>
      <c r="F2011" s="78" t="s">
        <v>1491</v>
      </c>
      <c r="G2011" s="78" t="s">
        <v>1492</v>
      </c>
      <c r="H2011" s="77"/>
      <c r="I2011" s="227"/>
      <c r="J2011" s="77"/>
      <c r="K2011" s="77"/>
      <c r="L2011" s="77"/>
      <c r="M2011" s="77"/>
      <c r="N2011" s="77"/>
      <c r="O2011" s="77"/>
      <c r="P2011" s="77"/>
      <c r="Q2011" s="77"/>
      <c r="R2011" s="77"/>
      <c r="S2011" s="77"/>
      <c r="T2011" s="77"/>
      <c r="U2011" s="77"/>
      <c r="V2011" s="77"/>
      <c r="W2011" s="77"/>
      <c r="X2011" s="77"/>
      <c r="Y2011" s="77"/>
      <c r="Z2011" s="77"/>
      <c r="AA2011" s="77"/>
      <c r="AB2011" s="77"/>
      <c r="AC2011" s="77"/>
      <c r="AD2011" s="77"/>
      <c r="AE2011" s="79"/>
    </row>
    <row r="2012" spans="1:31" x14ac:dyDescent="0.3">
      <c r="A2012" s="76"/>
      <c r="B2012" s="80"/>
      <c r="C2012" s="78" t="s">
        <v>1504</v>
      </c>
      <c r="D2012" s="78" t="s">
        <v>724</v>
      </c>
      <c r="E2012" s="78" t="s">
        <v>1774</v>
      </c>
      <c r="F2012" s="78" t="s">
        <v>1775</v>
      </c>
      <c r="G2012" s="78" t="s">
        <v>1492</v>
      </c>
      <c r="H2012" s="77"/>
      <c r="I2012" s="225" t="s">
        <v>1485</v>
      </c>
      <c r="J2012" s="77"/>
      <c r="K2012" s="77"/>
      <c r="L2012" s="77"/>
      <c r="M2012" s="77"/>
      <c r="N2012" s="77"/>
      <c r="O2012" s="77"/>
      <c r="P2012" s="77"/>
      <c r="Q2012" s="77"/>
      <c r="R2012" s="77"/>
      <c r="S2012" s="77"/>
      <c r="T2012" s="77"/>
      <c r="U2012" s="77"/>
      <c r="V2012" s="77"/>
      <c r="W2012" s="77"/>
      <c r="X2012" s="77"/>
      <c r="Y2012" s="77"/>
      <c r="Z2012" s="77"/>
      <c r="AA2012" s="77"/>
      <c r="AB2012" s="77"/>
      <c r="AC2012" s="77"/>
      <c r="AD2012" s="77"/>
      <c r="AE2012" s="79"/>
    </row>
    <row r="2013" spans="1:31" x14ac:dyDescent="0.3">
      <c r="A2013" s="76"/>
      <c r="B2013" s="78" t="s">
        <v>1675</v>
      </c>
      <c r="C2013" s="78" t="s">
        <v>1502</v>
      </c>
      <c r="D2013" s="78" t="s">
        <v>91</v>
      </c>
      <c r="E2013" s="78" t="s">
        <v>1503</v>
      </c>
      <c r="F2013" s="200" t="s">
        <v>2650</v>
      </c>
      <c r="G2013" s="78" t="s">
        <v>1513</v>
      </c>
      <c r="H2013" s="77"/>
      <c r="I2013" s="226"/>
      <c r="J2013" s="77"/>
      <c r="K2013" s="77"/>
      <c r="L2013" s="77"/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  <c r="AA2013" s="77"/>
      <c r="AB2013" s="77"/>
      <c r="AC2013" s="77"/>
      <c r="AD2013" s="77"/>
      <c r="AE2013" s="79"/>
    </row>
    <row r="2014" spans="1:31" x14ac:dyDescent="0.3">
      <c r="A2014" s="76"/>
      <c r="B2014" s="78" t="s">
        <v>1918</v>
      </c>
      <c r="C2014" s="78" t="s">
        <v>1496</v>
      </c>
      <c r="D2014" s="78" t="s">
        <v>538</v>
      </c>
      <c r="E2014" s="78" t="s">
        <v>1620</v>
      </c>
      <c r="F2014" s="78" t="s">
        <v>1495</v>
      </c>
      <c r="G2014" s="78" t="s">
        <v>1513</v>
      </c>
      <c r="H2014" s="77"/>
      <c r="I2014" s="226"/>
      <c r="J2014" s="77"/>
      <c r="K2014" s="77"/>
      <c r="L2014" s="77"/>
      <c r="M2014" s="77"/>
      <c r="N2014" s="77"/>
      <c r="O2014" s="77"/>
      <c r="P2014" s="77"/>
      <c r="Q2014" s="77"/>
      <c r="R2014" s="77"/>
      <c r="S2014" s="77"/>
      <c r="T2014" s="77"/>
      <c r="U2014" s="77"/>
      <c r="V2014" s="77"/>
      <c r="W2014" s="77"/>
      <c r="X2014" s="77"/>
      <c r="Y2014" s="77"/>
      <c r="Z2014" s="77"/>
      <c r="AA2014" s="77"/>
      <c r="AB2014" s="77"/>
      <c r="AC2014" s="77"/>
      <c r="AD2014" s="77"/>
      <c r="AE2014" s="79"/>
    </row>
    <row r="2015" spans="1:31" x14ac:dyDescent="0.3">
      <c r="A2015" s="76"/>
      <c r="B2015" s="78" t="s">
        <v>1880</v>
      </c>
      <c r="C2015" s="78" t="s">
        <v>1496</v>
      </c>
      <c r="D2015" s="78" t="s">
        <v>657</v>
      </c>
      <c r="E2015" s="78" t="s">
        <v>1881</v>
      </c>
      <c r="F2015" s="78" t="s">
        <v>1558</v>
      </c>
      <c r="G2015" s="78" t="s">
        <v>1513</v>
      </c>
      <c r="H2015" s="77"/>
      <c r="I2015" s="226"/>
      <c r="J2015" s="77"/>
      <c r="K2015" s="77"/>
      <c r="L2015" s="77"/>
      <c r="M2015" s="77"/>
      <c r="N2015" s="77"/>
      <c r="O2015" s="77"/>
      <c r="P2015" s="77"/>
      <c r="Q2015" s="77"/>
      <c r="R2015" s="77"/>
      <c r="S2015" s="77"/>
      <c r="T2015" s="77"/>
      <c r="U2015" s="77"/>
      <c r="V2015" s="77"/>
      <c r="W2015" s="77"/>
      <c r="X2015" s="77"/>
      <c r="Y2015" s="77"/>
      <c r="Z2015" s="77"/>
      <c r="AA2015" s="77"/>
      <c r="AB2015" s="77"/>
      <c r="AC2015" s="77"/>
      <c r="AD2015" s="77"/>
      <c r="AE2015" s="79"/>
    </row>
    <row r="2016" spans="1:31" ht="15" thickBot="1" x14ac:dyDescent="0.35">
      <c r="A2016" s="81"/>
      <c r="B2016" s="82" t="s">
        <v>1873</v>
      </c>
      <c r="C2016" s="82" t="s">
        <v>1493</v>
      </c>
      <c r="D2016" s="82" t="s">
        <v>411</v>
      </c>
      <c r="E2016" s="82" t="s">
        <v>1595</v>
      </c>
      <c r="F2016" s="82" t="s">
        <v>1491</v>
      </c>
      <c r="G2016" s="82" t="s">
        <v>1513</v>
      </c>
      <c r="H2016" s="83"/>
      <c r="I2016" s="226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83"/>
      <c r="V2016" s="83"/>
      <c r="W2016" s="83"/>
      <c r="X2016" s="83"/>
      <c r="Y2016" s="83"/>
      <c r="Z2016" s="83"/>
      <c r="AA2016" s="83"/>
      <c r="AB2016" s="83"/>
      <c r="AC2016" s="83"/>
      <c r="AD2016" s="83"/>
      <c r="AE2016" s="84"/>
    </row>
    <row r="2017" spans="1:31" x14ac:dyDescent="0.3">
      <c r="A2017" s="72" t="s">
        <v>1238</v>
      </c>
      <c r="B2017" s="73" t="s">
        <v>2227</v>
      </c>
      <c r="C2017" s="74" t="s">
        <v>1479</v>
      </c>
      <c r="D2017" s="74" t="s">
        <v>1239</v>
      </c>
      <c r="E2017" s="74" t="s">
        <v>1480</v>
      </c>
      <c r="F2017" s="74"/>
      <c r="G2017" s="74" t="s">
        <v>1481</v>
      </c>
      <c r="H2017" s="73" t="s">
        <v>1575</v>
      </c>
      <c r="I2017" s="226"/>
      <c r="J2017" s="73" t="s">
        <v>1237</v>
      </c>
      <c r="K2017" s="73" t="s">
        <v>1485</v>
      </c>
      <c r="L2017" s="73" t="s">
        <v>195</v>
      </c>
      <c r="M2017" s="73" t="s">
        <v>1483</v>
      </c>
      <c r="N2017" s="73" t="s">
        <v>1483</v>
      </c>
      <c r="O2017" s="73" t="s">
        <v>1483</v>
      </c>
      <c r="P2017" s="73" t="s">
        <v>1483</v>
      </c>
      <c r="Q2017" s="73" t="s">
        <v>1483</v>
      </c>
      <c r="R2017" s="73" t="s">
        <v>1483</v>
      </c>
      <c r="S2017" s="73" t="s">
        <v>1484</v>
      </c>
      <c r="T2017" s="73" t="s">
        <v>1484</v>
      </c>
      <c r="U2017" s="73" t="s">
        <v>1484</v>
      </c>
      <c r="V2017" s="73" t="s">
        <v>1484</v>
      </c>
      <c r="W2017" s="73" t="s">
        <v>1485</v>
      </c>
      <c r="X2017" s="73" t="s">
        <v>1484</v>
      </c>
      <c r="Y2017" s="73" t="s">
        <v>1484</v>
      </c>
      <c r="Z2017" s="73" t="s">
        <v>1484</v>
      </c>
      <c r="AA2017" s="73" t="s">
        <v>1485</v>
      </c>
      <c r="AB2017" s="73" t="s">
        <v>1484</v>
      </c>
      <c r="AC2017" s="73" t="s">
        <v>1486</v>
      </c>
      <c r="AD2017" s="73" t="s">
        <v>1487</v>
      </c>
      <c r="AE2017" s="75" t="s">
        <v>1579</v>
      </c>
    </row>
    <row r="2018" spans="1:31" ht="15" thickBot="1" x14ac:dyDescent="0.35">
      <c r="A2018" s="76"/>
      <c r="B2018" s="77"/>
      <c r="C2018" s="78" t="s">
        <v>1489</v>
      </c>
      <c r="D2018" s="78" t="s">
        <v>291</v>
      </c>
      <c r="E2018" s="78" t="s">
        <v>1864</v>
      </c>
      <c r="F2018" s="78" t="s">
        <v>1565</v>
      </c>
      <c r="G2018" s="78" t="s">
        <v>1492</v>
      </c>
      <c r="H2018" s="77"/>
      <c r="I2018" s="227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U2018" s="77"/>
      <c r="V2018" s="77"/>
      <c r="W2018" s="77"/>
      <c r="X2018" s="77"/>
      <c r="Y2018" s="77"/>
      <c r="Z2018" s="77"/>
      <c r="AA2018" s="77"/>
      <c r="AB2018" s="77"/>
      <c r="AC2018" s="77"/>
      <c r="AD2018" s="77"/>
      <c r="AE2018" s="79"/>
    </row>
    <row r="2019" spans="1:31" x14ac:dyDescent="0.3">
      <c r="A2019" s="76"/>
      <c r="B2019" s="77"/>
      <c r="C2019" s="78" t="s">
        <v>1493</v>
      </c>
      <c r="D2019" s="78" t="s">
        <v>549</v>
      </c>
      <c r="E2019" s="78" t="s">
        <v>1620</v>
      </c>
      <c r="F2019" s="78" t="s">
        <v>1495</v>
      </c>
      <c r="G2019" s="78" t="s">
        <v>1492</v>
      </c>
      <c r="H2019" s="85"/>
      <c r="I2019" s="225" t="s">
        <v>1485</v>
      </c>
      <c r="J2019" s="77"/>
      <c r="K2019" s="77"/>
      <c r="L2019" s="77"/>
      <c r="M2019" s="77"/>
      <c r="N2019" s="77"/>
      <c r="O2019" s="77"/>
      <c r="P2019" s="77"/>
      <c r="Q2019" s="77"/>
      <c r="R2019" s="77"/>
      <c r="S2019" s="77"/>
      <c r="T2019" s="77"/>
      <c r="U2019" s="77"/>
      <c r="V2019" s="77"/>
      <c r="W2019" s="77"/>
      <c r="X2019" s="77"/>
      <c r="Y2019" s="77"/>
      <c r="Z2019" s="77"/>
      <c r="AA2019" s="77"/>
      <c r="AB2019" s="77"/>
      <c r="AC2019" s="77"/>
      <c r="AD2019" s="77"/>
      <c r="AE2019" s="79"/>
    </row>
    <row r="2020" spans="1:31" x14ac:dyDescent="0.3">
      <c r="A2020" s="76"/>
      <c r="B2020" s="77"/>
      <c r="C2020" s="78" t="s">
        <v>1496</v>
      </c>
      <c r="D2020" s="78" t="s">
        <v>168</v>
      </c>
      <c r="E2020" s="78" t="s">
        <v>1503</v>
      </c>
      <c r="F2020" s="78" t="s">
        <v>1495</v>
      </c>
      <c r="G2020" s="78" t="s">
        <v>1492</v>
      </c>
      <c r="H2020" s="77"/>
      <c r="I2020" s="226"/>
      <c r="J2020" s="77"/>
      <c r="K2020" s="77"/>
      <c r="L2020" s="77"/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  <c r="AA2020" s="77"/>
      <c r="AB2020" s="77"/>
      <c r="AC2020" s="77"/>
      <c r="AD2020" s="77"/>
      <c r="AE2020" s="79"/>
    </row>
    <row r="2021" spans="1:31" x14ac:dyDescent="0.3">
      <c r="A2021" s="76"/>
      <c r="B2021" s="77"/>
      <c r="C2021" s="78" t="s">
        <v>1499</v>
      </c>
      <c r="D2021" s="78" t="s">
        <v>331</v>
      </c>
      <c r="E2021" s="78" t="s">
        <v>1771</v>
      </c>
      <c r="F2021" s="78" t="s">
        <v>1989</v>
      </c>
      <c r="G2021" s="78" t="s">
        <v>1492</v>
      </c>
      <c r="H2021" s="85"/>
      <c r="I2021" s="226"/>
      <c r="J2021" s="77"/>
      <c r="K2021" s="77"/>
      <c r="L2021" s="77"/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  <c r="AA2021" s="77"/>
      <c r="AB2021" s="77"/>
      <c r="AC2021" s="77"/>
      <c r="AD2021" s="77"/>
      <c r="AE2021" s="79"/>
    </row>
    <row r="2022" spans="1:31" x14ac:dyDescent="0.3">
      <c r="A2022" s="76"/>
      <c r="B2022" s="77"/>
      <c r="C2022" s="78" t="s">
        <v>1502</v>
      </c>
      <c r="D2022" s="78" t="s">
        <v>421</v>
      </c>
      <c r="E2022" s="78" t="s">
        <v>1595</v>
      </c>
      <c r="F2022" s="78" t="s">
        <v>1680</v>
      </c>
      <c r="G2022" s="78" t="s">
        <v>1492</v>
      </c>
      <c r="H2022" s="77"/>
      <c r="I2022" s="226"/>
      <c r="J2022" s="77"/>
      <c r="K2022" s="77"/>
      <c r="L2022" s="77"/>
      <c r="M2022" s="77"/>
      <c r="N2022" s="77"/>
      <c r="O2022" s="77"/>
      <c r="P2022" s="77"/>
      <c r="Q2022" s="77"/>
      <c r="R2022" s="77"/>
      <c r="S2022" s="77"/>
      <c r="T2022" s="77"/>
      <c r="U2022" s="77"/>
      <c r="V2022" s="77"/>
      <c r="W2022" s="77"/>
      <c r="X2022" s="77"/>
      <c r="Y2022" s="77"/>
      <c r="Z2022" s="77"/>
      <c r="AA2022" s="77"/>
      <c r="AB2022" s="77"/>
      <c r="AC2022" s="77"/>
      <c r="AD2022" s="77"/>
      <c r="AE2022" s="79"/>
    </row>
    <row r="2023" spans="1:31" x14ac:dyDescent="0.3">
      <c r="A2023" s="76"/>
      <c r="B2023" s="77"/>
      <c r="C2023" s="78" t="s">
        <v>1504</v>
      </c>
      <c r="D2023" s="78" t="s">
        <v>237</v>
      </c>
      <c r="E2023" s="78" t="s">
        <v>1599</v>
      </c>
      <c r="F2023" s="78" t="s">
        <v>1611</v>
      </c>
      <c r="G2023" s="78" t="s">
        <v>1492</v>
      </c>
      <c r="H2023" s="77"/>
      <c r="I2023" s="226"/>
      <c r="J2023" s="77"/>
      <c r="K2023" s="77"/>
      <c r="L2023" s="77"/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  <c r="AA2023" s="77"/>
      <c r="AB2023" s="77"/>
      <c r="AC2023" s="77"/>
      <c r="AD2023" s="77"/>
      <c r="AE2023" s="79"/>
    </row>
    <row r="2024" spans="1:31" x14ac:dyDescent="0.3">
      <c r="A2024" s="76"/>
      <c r="B2024" s="80"/>
      <c r="C2024" s="78" t="s">
        <v>1507</v>
      </c>
      <c r="D2024" s="78" t="s">
        <v>142</v>
      </c>
      <c r="E2024" s="78" t="s">
        <v>1500</v>
      </c>
      <c r="F2024" s="78" t="s">
        <v>1501</v>
      </c>
      <c r="G2024" s="78" t="s">
        <v>1492</v>
      </c>
      <c r="H2024" s="77"/>
      <c r="I2024" s="226"/>
      <c r="J2024" s="77"/>
      <c r="K2024" s="77"/>
      <c r="L2024" s="77"/>
      <c r="M2024" s="77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  <c r="AA2024" s="77"/>
      <c r="AB2024" s="77"/>
      <c r="AC2024" s="77"/>
      <c r="AD2024" s="77"/>
      <c r="AE2024" s="79"/>
    </row>
    <row r="2025" spans="1:31" x14ac:dyDescent="0.3">
      <c r="A2025" s="76"/>
      <c r="B2025" s="78" t="s">
        <v>1682</v>
      </c>
      <c r="C2025" s="78" t="s">
        <v>1502</v>
      </c>
      <c r="D2025" s="78" t="s">
        <v>168</v>
      </c>
      <c r="E2025" s="78" t="s">
        <v>1503</v>
      </c>
      <c r="F2025" s="78" t="s">
        <v>1495</v>
      </c>
      <c r="G2025" s="78" t="s">
        <v>1513</v>
      </c>
      <c r="H2025" s="77"/>
      <c r="I2025" s="226"/>
      <c r="J2025" s="77"/>
      <c r="K2025" s="77"/>
      <c r="L2025" s="77"/>
      <c r="M2025" s="77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  <c r="AA2025" s="77"/>
      <c r="AB2025" s="77"/>
      <c r="AC2025" s="77"/>
      <c r="AD2025" s="77"/>
      <c r="AE2025" s="79"/>
    </row>
    <row r="2026" spans="1:31" x14ac:dyDescent="0.3">
      <c r="A2026" s="76"/>
      <c r="B2026" s="78" t="s">
        <v>1922</v>
      </c>
      <c r="C2026" s="78" t="s">
        <v>1496</v>
      </c>
      <c r="D2026" s="78" t="s">
        <v>549</v>
      </c>
      <c r="E2026" s="78" t="s">
        <v>1620</v>
      </c>
      <c r="F2026" s="78" t="s">
        <v>1495</v>
      </c>
      <c r="G2026" s="78" t="s">
        <v>1513</v>
      </c>
      <c r="H2026" s="85"/>
      <c r="I2026" s="226"/>
      <c r="J2026" s="77"/>
      <c r="K2026" s="77"/>
      <c r="L2026" s="77"/>
      <c r="M2026" s="77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  <c r="AA2026" s="77"/>
      <c r="AB2026" s="77"/>
      <c r="AC2026" s="77"/>
      <c r="AD2026" s="77"/>
      <c r="AE2026" s="79"/>
    </row>
    <row r="2027" spans="1:31" x14ac:dyDescent="0.3">
      <c r="A2027" s="76"/>
      <c r="B2027" s="78" t="s">
        <v>1556</v>
      </c>
      <c r="C2027" s="78" t="s">
        <v>1586</v>
      </c>
      <c r="D2027" s="78" t="s">
        <v>142</v>
      </c>
      <c r="E2027" s="78" t="s">
        <v>1500</v>
      </c>
      <c r="F2027" s="78" t="s">
        <v>1501</v>
      </c>
      <c r="G2027" s="78" t="s">
        <v>1513</v>
      </c>
      <c r="H2027" s="85"/>
      <c r="I2027" s="226"/>
      <c r="J2027" s="77"/>
      <c r="K2027" s="77"/>
      <c r="L2027" s="77"/>
      <c r="M2027" s="77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  <c r="AA2027" s="77"/>
      <c r="AB2027" s="77"/>
      <c r="AC2027" s="77"/>
      <c r="AD2027" s="77"/>
      <c r="AE2027" s="79"/>
    </row>
    <row r="2028" spans="1:31" ht="15" thickBot="1" x14ac:dyDescent="0.35">
      <c r="A2028" s="76"/>
      <c r="B2028" s="78" t="s">
        <v>1995</v>
      </c>
      <c r="C2028" s="78" t="s">
        <v>1496</v>
      </c>
      <c r="D2028" s="78" t="s">
        <v>331</v>
      </c>
      <c r="E2028" s="78" t="s">
        <v>1771</v>
      </c>
      <c r="F2028" s="78" t="s">
        <v>1989</v>
      </c>
      <c r="G2028" s="78" t="s">
        <v>1513</v>
      </c>
      <c r="H2028" s="77"/>
      <c r="I2028" s="227"/>
      <c r="J2028" s="77"/>
      <c r="K2028" s="77"/>
      <c r="L2028" s="77"/>
      <c r="M2028" s="77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  <c r="AA2028" s="77"/>
      <c r="AB2028" s="77"/>
      <c r="AC2028" s="77"/>
      <c r="AD2028" s="77"/>
      <c r="AE2028" s="79"/>
    </row>
    <row r="2029" spans="1:31" x14ac:dyDescent="0.3">
      <c r="A2029" s="76"/>
      <c r="B2029" s="78" t="s">
        <v>1865</v>
      </c>
      <c r="C2029" s="78" t="s">
        <v>1493</v>
      </c>
      <c r="D2029" s="78" t="s">
        <v>421</v>
      </c>
      <c r="E2029" s="78" t="s">
        <v>1595</v>
      </c>
      <c r="F2029" s="78" t="s">
        <v>1680</v>
      </c>
      <c r="G2029" s="78" t="s">
        <v>1513</v>
      </c>
      <c r="H2029" s="77"/>
      <c r="I2029" s="225" t="s">
        <v>1485</v>
      </c>
      <c r="J2029" s="77"/>
      <c r="K2029" s="77"/>
      <c r="L2029" s="77"/>
      <c r="M2029" s="77"/>
      <c r="N2029" s="77"/>
      <c r="O2029" s="77"/>
      <c r="P2029" s="77"/>
      <c r="Q2029" s="77"/>
      <c r="R2029" s="77"/>
      <c r="S2029" s="77"/>
      <c r="T2029" s="77"/>
      <c r="U2029" s="77"/>
      <c r="V2029" s="77"/>
      <c r="W2029" s="77"/>
      <c r="X2029" s="77"/>
      <c r="Y2029" s="77"/>
      <c r="Z2029" s="77"/>
      <c r="AA2029" s="77"/>
      <c r="AB2029" s="77"/>
      <c r="AC2029" s="77"/>
      <c r="AD2029" s="77"/>
      <c r="AE2029" s="79"/>
    </row>
    <row r="2030" spans="1:31" ht="15" thickBot="1" x14ac:dyDescent="0.35">
      <c r="A2030" s="81"/>
      <c r="B2030" s="82" t="s">
        <v>1874</v>
      </c>
      <c r="C2030" s="82" t="s">
        <v>1496</v>
      </c>
      <c r="D2030" s="82" t="s">
        <v>291</v>
      </c>
      <c r="E2030" s="82" t="s">
        <v>1864</v>
      </c>
      <c r="F2030" s="82" t="s">
        <v>1565</v>
      </c>
      <c r="G2030" s="82" t="s">
        <v>1513</v>
      </c>
      <c r="H2030" s="83"/>
      <c r="I2030" s="226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83"/>
      <c r="V2030" s="83"/>
      <c r="W2030" s="83"/>
      <c r="X2030" s="83"/>
      <c r="Y2030" s="83"/>
      <c r="Z2030" s="83"/>
      <c r="AA2030" s="83"/>
      <c r="AB2030" s="83"/>
      <c r="AC2030" s="83"/>
      <c r="AD2030" s="83"/>
      <c r="AE2030" s="84"/>
    </row>
    <row r="2031" spans="1:31" x14ac:dyDescent="0.3">
      <c r="A2031" s="72" t="s">
        <v>1242</v>
      </c>
      <c r="B2031" s="73" t="s">
        <v>2228</v>
      </c>
      <c r="C2031" s="74" t="s">
        <v>1479</v>
      </c>
      <c r="D2031" s="74" t="s">
        <v>1243</v>
      </c>
      <c r="E2031" s="74" t="s">
        <v>1480</v>
      </c>
      <c r="F2031" s="74"/>
      <c r="G2031" s="74" t="s">
        <v>1481</v>
      </c>
      <c r="H2031" s="73" t="s">
        <v>1575</v>
      </c>
      <c r="I2031" s="226"/>
      <c r="J2031" s="73" t="s">
        <v>1241</v>
      </c>
      <c r="K2031" s="73" t="s">
        <v>1485</v>
      </c>
      <c r="L2031" s="73" t="s">
        <v>195</v>
      </c>
      <c r="M2031" s="73" t="s">
        <v>1483</v>
      </c>
      <c r="N2031" s="73" t="s">
        <v>1483</v>
      </c>
      <c r="O2031" s="73" t="s">
        <v>1483</v>
      </c>
      <c r="P2031" s="73" t="s">
        <v>1483</v>
      </c>
      <c r="Q2031" s="73" t="s">
        <v>1483</v>
      </c>
      <c r="R2031" s="73" t="s">
        <v>1483</v>
      </c>
      <c r="S2031" s="73" t="s">
        <v>1484</v>
      </c>
      <c r="T2031" s="73" t="s">
        <v>1484</v>
      </c>
      <c r="U2031" s="73" t="s">
        <v>1484</v>
      </c>
      <c r="V2031" s="73" t="s">
        <v>1484</v>
      </c>
      <c r="W2031" s="73" t="s">
        <v>1485</v>
      </c>
      <c r="X2031" s="73" t="s">
        <v>1484</v>
      </c>
      <c r="Y2031" s="73" t="s">
        <v>1484</v>
      </c>
      <c r="Z2031" s="73" t="s">
        <v>1484</v>
      </c>
      <c r="AA2031" s="73" t="s">
        <v>1485</v>
      </c>
      <c r="AB2031" s="73" t="s">
        <v>1484</v>
      </c>
      <c r="AC2031" s="73" t="s">
        <v>1486</v>
      </c>
      <c r="AD2031" s="73" t="s">
        <v>1487</v>
      </c>
      <c r="AE2031" s="75" t="s">
        <v>1579</v>
      </c>
    </row>
    <row r="2032" spans="1:31" x14ac:dyDescent="0.3">
      <c r="A2032" s="76"/>
      <c r="B2032" s="77"/>
      <c r="C2032" s="78" t="s">
        <v>1493</v>
      </c>
      <c r="D2032" s="78" t="s">
        <v>566</v>
      </c>
      <c r="E2032" s="78" t="s">
        <v>1620</v>
      </c>
      <c r="F2032" s="78" t="s">
        <v>1495</v>
      </c>
      <c r="G2032" s="78" t="s">
        <v>1492</v>
      </c>
      <c r="H2032" s="77"/>
      <c r="I2032" s="226"/>
      <c r="J2032" s="77"/>
      <c r="K2032" s="77"/>
      <c r="L2032" s="77"/>
      <c r="M2032" s="77"/>
      <c r="N2032" s="77"/>
      <c r="O2032" s="77"/>
      <c r="P2032" s="77"/>
      <c r="Q2032" s="77"/>
      <c r="R2032" s="77"/>
      <c r="S2032" s="77"/>
      <c r="T2032" s="77"/>
      <c r="U2032" s="77"/>
      <c r="V2032" s="77"/>
      <c r="W2032" s="77"/>
      <c r="X2032" s="77"/>
      <c r="Y2032" s="77"/>
      <c r="Z2032" s="77"/>
      <c r="AA2032" s="77"/>
      <c r="AB2032" s="77"/>
      <c r="AC2032" s="77"/>
      <c r="AD2032" s="77"/>
      <c r="AE2032" s="79"/>
    </row>
    <row r="2033" spans="1:31" x14ac:dyDescent="0.3">
      <c r="A2033" s="76"/>
      <c r="B2033" s="77"/>
      <c r="C2033" s="78" t="s">
        <v>1496</v>
      </c>
      <c r="D2033" s="78" t="s">
        <v>150</v>
      </c>
      <c r="E2033" s="78" t="s">
        <v>1503</v>
      </c>
      <c r="F2033" s="78" t="s">
        <v>1495</v>
      </c>
      <c r="G2033" s="78" t="s">
        <v>1492</v>
      </c>
      <c r="H2033" s="77"/>
      <c r="I2033" s="226"/>
      <c r="J2033" s="77"/>
      <c r="K2033" s="77"/>
      <c r="L2033" s="77"/>
      <c r="M2033" s="77"/>
      <c r="N2033" s="77"/>
      <c r="O2033" s="77"/>
      <c r="P2033" s="77"/>
      <c r="Q2033" s="77"/>
      <c r="R2033" s="77"/>
      <c r="S2033" s="77"/>
      <c r="T2033" s="77"/>
      <c r="U2033" s="77"/>
      <c r="V2033" s="77"/>
      <c r="W2033" s="77"/>
      <c r="X2033" s="77"/>
      <c r="Y2033" s="77"/>
      <c r="Z2033" s="77"/>
      <c r="AA2033" s="77"/>
      <c r="AB2033" s="77"/>
      <c r="AC2033" s="77"/>
      <c r="AD2033" s="77"/>
      <c r="AE2033" s="79"/>
    </row>
    <row r="2034" spans="1:31" x14ac:dyDescent="0.3">
      <c r="A2034" s="76"/>
      <c r="B2034" s="77"/>
      <c r="C2034" s="78" t="s">
        <v>1499</v>
      </c>
      <c r="D2034" s="78" t="s">
        <v>341</v>
      </c>
      <c r="E2034" s="78" t="s">
        <v>1771</v>
      </c>
      <c r="F2034" s="78" t="s">
        <v>1982</v>
      </c>
      <c r="G2034" s="78" t="s">
        <v>1492</v>
      </c>
      <c r="H2034" s="77"/>
      <c r="I2034" s="226"/>
      <c r="J2034" s="77"/>
      <c r="K2034" s="77"/>
      <c r="L2034" s="77"/>
      <c r="M2034" s="77"/>
      <c r="N2034" s="77"/>
      <c r="O2034" s="77"/>
      <c r="P2034" s="77"/>
      <c r="Q2034" s="77"/>
      <c r="R2034" s="77"/>
      <c r="S2034" s="77"/>
      <c r="T2034" s="77"/>
      <c r="U2034" s="77"/>
      <c r="V2034" s="77"/>
      <c r="W2034" s="77"/>
      <c r="X2034" s="77"/>
      <c r="Y2034" s="77"/>
      <c r="Z2034" s="77"/>
      <c r="AA2034" s="77"/>
      <c r="AB2034" s="77"/>
      <c r="AC2034" s="77"/>
      <c r="AD2034" s="77"/>
      <c r="AE2034" s="79"/>
    </row>
    <row r="2035" spans="1:31" x14ac:dyDescent="0.3">
      <c r="A2035" s="76"/>
      <c r="B2035" s="77"/>
      <c r="C2035" s="78" t="s">
        <v>1502</v>
      </c>
      <c r="D2035" s="78" t="s">
        <v>93</v>
      </c>
      <c r="E2035" s="78" t="s">
        <v>1560</v>
      </c>
      <c r="F2035" s="78" t="s">
        <v>1631</v>
      </c>
      <c r="G2035" s="78" t="s">
        <v>1492</v>
      </c>
      <c r="H2035" s="77"/>
      <c r="I2035" s="226"/>
      <c r="J2035" s="77"/>
      <c r="K2035" s="77"/>
      <c r="L2035" s="77"/>
      <c r="M2035" s="77"/>
      <c r="N2035" s="77"/>
      <c r="O2035" s="77"/>
      <c r="P2035" s="77"/>
      <c r="Q2035" s="77"/>
      <c r="R2035" s="77"/>
      <c r="S2035" s="77"/>
      <c r="T2035" s="77"/>
      <c r="U2035" s="77"/>
      <c r="V2035" s="77"/>
      <c r="W2035" s="77"/>
      <c r="X2035" s="77"/>
      <c r="Y2035" s="77"/>
      <c r="Z2035" s="77"/>
      <c r="AA2035" s="77"/>
      <c r="AB2035" s="77"/>
      <c r="AC2035" s="77"/>
      <c r="AD2035" s="77"/>
      <c r="AE2035" s="79"/>
    </row>
    <row r="2036" spans="1:31" x14ac:dyDescent="0.3">
      <c r="A2036" s="76"/>
      <c r="B2036" s="80"/>
      <c r="C2036" s="78" t="s">
        <v>1507</v>
      </c>
      <c r="D2036" s="78" t="s">
        <v>130</v>
      </c>
      <c r="E2036" s="78" t="s">
        <v>1500</v>
      </c>
      <c r="F2036" s="78" t="s">
        <v>1501</v>
      </c>
      <c r="G2036" s="78" t="s">
        <v>1492</v>
      </c>
      <c r="H2036" s="77"/>
      <c r="I2036" s="226"/>
      <c r="J2036" s="77"/>
      <c r="K2036" s="77"/>
      <c r="L2036" s="77"/>
      <c r="M2036" s="77"/>
      <c r="N2036" s="77"/>
      <c r="O2036" s="77"/>
      <c r="P2036" s="77"/>
      <c r="Q2036" s="77"/>
      <c r="R2036" s="77"/>
      <c r="S2036" s="77"/>
      <c r="T2036" s="77"/>
      <c r="U2036" s="77"/>
      <c r="V2036" s="77"/>
      <c r="W2036" s="77"/>
      <c r="X2036" s="77"/>
      <c r="Y2036" s="77"/>
      <c r="Z2036" s="77"/>
      <c r="AA2036" s="77"/>
      <c r="AB2036" s="77"/>
      <c r="AC2036" s="77"/>
      <c r="AD2036" s="77"/>
      <c r="AE2036" s="79"/>
    </row>
    <row r="2037" spans="1:31" x14ac:dyDescent="0.3">
      <c r="A2037" s="76"/>
      <c r="B2037" s="78" t="s">
        <v>1598</v>
      </c>
      <c r="C2037" s="78" t="s">
        <v>1502</v>
      </c>
      <c r="D2037" s="78" t="s">
        <v>254</v>
      </c>
      <c r="E2037" s="78" t="s">
        <v>1599</v>
      </c>
      <c r="F2037" s="78" t="s">
        <v>1600</v>
      </c>
      <c r="G2037" s="78" t="s">
        <v>1513</v>
      </c>
      <c r="H2037" s="77"/>
      <c r="I2037" s="226"/>
      <c r="J2037" s="77"/>
      <c r="K2037" s="77"/>
      <c r="L2037" s="77"/>
      <c r="M2037" s="77"/>
      <c r="N2037" s="77"/>
      <c r="O2037" s="77"/>
      <c r="P2037" s="77"/>
      <c r="Q2037" s="77"/>
      <c r="R2037" s="77"/>
      <c r="S2037" s="77"/>
      <c r="T2037" s="77"/>
      <c r="U2037" s="77"/>
      <c r="V2037" s="77"/>
      <c r="W2037" s="77"/>
      <c r="X2037" s="77"/>
      <c r="Y2037" s="77"/>
      <c r="Z2037" s="77"/>
      <c r="AA2037" s="77"/>
      <c r="AB2037" s="77"/>
      <c r="AC2037" s="77"/>
      <c r="AD2037" s="77"/>
      <c r="AE2037" s="79"/>
    </row>
    <row r="2038" spans="1:31" ht="15" thickBot="1" x14ac:dyDescent="0.35">
      <c r="A2038" s="76"/>
      <c r="B2038" s="78" t="s">
        <v>1786</v>
      </c>
      <c r="C2038" s="78" t="s">
        <v>1504</v>
      </c>
      <c r="D2038" s="78" t="s">
        <v>150</v>
      </c>
      <c r="E2038" s="78" t="s">
        <v>1503</v>
      </c>
      <c r="F2038" s="78" t="s">
        <v>1495</v>
      </c>
      <c r="G2038" s="78" t="s">
        <v>1513</v>
      </c>
      <c r="H2038" s="77"/>
      <c r="I2038" s="227"/>
      <c r="J2038" s="77"/>
      <c r="K2038" s="77"/>
      <c r="L2038" s="77"/>
      <c r="M2038" s="77"/>
      <c r="N2038" s="77"/>
      <c r="O2038" s="77"/>
      <c r="P2038" s="77"/>
      <c r="Q2038" s="77"/>
      <c r="R2038" s="77"/>
      <c r="S2038" s="77"/>
      <c r="T2038" s="77"/>
      <c r="U2038" s="77"/>
      <c r="V2038" s="77"/>
      <c r="W2038" s="77"/>
      <c r="X2038" s="77"/>
      <c r="Y2038" s="77"/>
      <c r="Z2038" s="77"/>
      <c r="AA2038" s="77"/>
      <c r="AB2038" s="77"/>
      <c r="AC2038" s="77"/>
      <c r="AD2038" s="77"/>
      <c r="AE2038" s="79"/>
    </row>
    <row r="2039" spans="1:31" x14ac:dyDescent="0.3">
      <c r="A2039" s="76"/>
      <c r="B2039" s="78" t="s">
        <v>1926</v>
      </c>
      <c r="C2039" s="78" t="s">
        <v>1496</v>
      </c>
      <c r="D2039" s="78" t="s">
        <v>566</v>
      </c>
      <c r="E2039" s="78" t="s">
        <v>1620</v>
      </c>
      <c r="F2039" s="78" t="s">
        <v>1495</v>
      </c>
      <c r="G2039" s="78" t="s">
        <v>1513</v>
      </c>
      <c r="H2039" s="77"/>
      <c r="I2039" s="225" t="s">
        <v>1485</v>
      </c>
      <c r="J2039" s="77"/>
      <c r="K2039" s="77"/>
      <c r="L2039" s="77"/>
      <c r="M2039" s="77"/>
      <c r="N2039" s="77"/>
      <c r="O2039" s="77"/>
      <c r="P2039" s="77"/>
      <c r="Q2039" s="77"/>
      <c r="R2039" s="77"/>
      <c r="S2039" s="77"/>
      <c r="T2039" s="77"/>
      <c r="U2039" s="77"/>
      <c r="V2039" s="77"/>
      <c r="W2039" s="77"/>
      <c r="X2039" s="77"/>
      <c r="Y2039" s="77"/>
      <c r="Z2039" s="77"/>
      <c r="AA2039" s="77"/>
      <c r="AB2039" s="77"/>
      <c r="AC2039" s="77"/>
      <c r="AD2039" s="77"/>
      <c r="AE2039" s="79"/>
    </row>
    <row r="2040" spans="1:31" x14ac:dyDescent="0.3">
      <c r="A2040" s="76"/>
      <c r="B2040" s="78" t="s">
        <v>1570</v>
      </c>
      <c r="C2040" s="78" t="s">
        <v>2229</v>
      </c>
      <c r="D2040" s="78" t="s">
        <v>130</v>
      </c>
      <c r="E2040" s="78" t="s">
        <v>1500</v>
      </c>
      <c r="F2040" s="78" t="s">
        <v>1501</v>
      </c>
      <c r="G2040" s="78" t="s">
        <v>1513</v>
      </c>
      <c r="H2040" s="77"/>
      <c r="I2040" s="226"/>
      <c r="J2040" s="77"/>
      <c r="K2040" s="77"/>
      <c r="L2040" s="77"/>
      <c r="M2040" s="77"/>
      <c r="N2040" s="77"/>
      <c r="O2040" s="77"/>
      <c r="P2040" s="77"/>
      <c r="Q2040" s="77"/>
      <c r="R2040" s="77"/>
      <c r="S2040" s="77"/>
      <c r="T2040" s="77"/>
      <c r="U2040" s="77"/>
      <c r="V2040" s="77"/>
      <c r="W2040" s="77"/>
      <c r="X2040" s="77"/>
      <c r="Y2040" s="77"/>
      <c r="Z2040" s="77"/>
      <c r="AA2040" s="77"/>
      <c r="AB2040" s="77"/>
      <c r="AC2040" s="77"/>
      <c r="AD2040" s="77"/>
      <c r="AE2040" s="79"/>
    </row>
    <row r="2041" spans="1:31" x14ac:dyDescent="0.3">
      <c r="A2041" s="76"/>
      <c r="B2041" s="78" t="s">
        <v>1863</v>
      </c>
      <c r="C2041" s="78" t="s">
        <v>1496</v>
      </c>
      <c r="D2041" s="78" t="s">
        <v>306</v>
      </c>
      <c r="E2041" s="78" t="s">
        <v>1864</v>
      </c>
      <c r="F2041" s="78" t="s">
        <v>1558</v>
      </c>
      <c r="G2041" s="78" t="s">
        <v>1513</v>
      </c>
      <c r="H2041" s="77"/>
      <c r="I2041" s="226"/>
      <c r="J2041" s="77"/>
      <c r="K2041" s="77"/>
      <c r="L2041" s="77"/>
      <c r="M2041" s="77"/>
      <c r="N2041" s="77"/>
      <c r="O2041" s="77"/>
      <c r="P2041" s="77"/>
      <c r="Q2041" s="77"/>
      <c r="R2041" s="77"/>
      <c r="S2041" s="77"/>
      <c r="T2041" s="77"/>
      <c r="U2041" s="77"/>
      <c r="V2041" s="77"/>
      <c r="W2041" s="77"/>
      <c r="X2041" s="77"/>
      <c r="Y2041" s="77"/>
      <c r="Z2041" s="77"/>
      <c r="AA2041" s="77"/>
      <c r="AB2041" s="77"/>
      <c r="AC2041" s="77"/>
      <c r="AD2041" s="77"/>
      <c r="AE2041" s="79"/>
    </row>
    <row r="2042" spans="1:31" x14ac:dyDescent="0.3">
      <c r="A2042" s="76"/>
      <c r="B2042" s="78" t="s">
        <v>2001</v>
      </c>
      <c r="C2042" s="78" t="s">
        <v>1496</v>
      </c>
      <c r="D2042" s="78" t="s">
        <v>341</v>
      </c>
      <c r="E2042" s="78" t="s">
        <v>1771</v>
      </c>
      <c r="F2042" s="78" t="s">
        <v>1982</v>
      </c>
      <c r="G2042" s="78" t="s">
        <v>1513</v>
      </c>
      <c r="H2042" s="77"/>
      <c r="I2042" s="226"/>
      <c r="J2042" s="77"/>
      <c r="K2042" s="77"/>
      <c r="L2042" s="77"/>
      <c r="M2042" s="77"/>
      <c r="N2042" s="77"/>
      <c r="O2042" s="77"/>
      <c r="P2042" s="77"/>
      <c r="Q2042" s="77"/>
      <c r="R2042" s="77"/>
      <c r="S2042" s="77"/>
      <c r="T2042" s="77"/>
      <c r="U2042" s="77"/>
      <c r="V2042" s="77"/>
      <c r="W2042" s="77"/>
      <c r="X2042" s="77"/>
      <c r="Y2042" s="77"/>
      <c r="Z2042" s="77"/>
      <c r="AA2042" s="77"/>
      <c r="AB2042" s="77"/>
      <c r="AC2042" s="77"/>
      <c r="AD2042" s="77"/>
      <c r="AE2042" s="79"/>
    </row>
    <row r="2043" spans="1:31" ht="15" thickBot="1" x14ac:dyDescent="0.35">
      <c r="A2043" s="81"/>
      <c r="B2043" s="82" t="s">
        <v>1657</v>
      </c>
      <c r="C2043" s="82" t="s">
        <v>1499</v>
      </c>
      <c r="D2043" s="82" t="s">
        <v>93</v>
      </c>
      <c r="E2043" s="82" t="s">
        <v>1560</v>
      </c>
      <c r="F2043" s="82" t="s">
        <v>1631</v>
      </c>
      <c r="G2043" s="82" t="s">
        <v>1513</v>
      </c>
      <c r="H2043" s="83"/>
      <c r="I2043" s="226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83"/>
      <c r="V2043" s="83"/>
      <c r="W2043" s="83"/>
      <c r="X2043" s="83"/>
      <c r="Y2043" s="83"/>
      <c r="Z2043" s="83"/>
      <c r="AA2043" s="83"/>
      <c r="AB2043" s="83"/>
      <c r="AC2043" s="83"/>
      <c r="AD2043" s="83"/>
      <c r="AE2043" s="84"/>
    </row>
    <row r="2044" spans="1:31" x14ac:dyDescent="0.3">
      <c r="A2044" s="72" t="s">
        <v>1246</v>
      </c>
      <c r="B2044" s="73" t="s">
        <v>2230</v>
      </c>
      <c r="C2044" s="74" t="s">
        <v>1479</v>
      </c>
      <c r="D2044" s="74" t="s">
        <v>1247</v>
      </c>
      <c r="E2044" s="74" t="s">
        <v>1480</v>
      </c>
      <c r="F2044" s="74"/>
      <c r="G2044" s="74" t="s">
        <v>1481</v>
      </c>
      <c r="H2044" s="73" t="s">
        <v>1482</v>
      </c>
      <c r="I2044" s="226"/>
      <c r="J2044" s="73" t="s">
        <v>1245</v>
      </c>
      <c r="K2044" s="73" t="s">
        <v>1485</v>
      </c>
      <c r="L2044" s="73" t="s">
        <v>195</v>
      </c>
      <c r="M2044" s="73" t="s">
        <v>1483</v>
      </c>
      <c r="N2044" s="73" t="s">
        <v>1483</v>
      </c>
      <c r="O2044" s="73" t="s">
        <v>1483</v>
      </c>
      <c r="P2044" s="73" t="s">
        <v>1483</v>
      </c>
      <c r="Q2044" s="73" t="s">
        <v>1483</v>
      </c>
      <c r="R2044" s="73" t="s">
        <v>1483</v>
      </c>
      <c r="S2044" s="73" t="s">
        <v>1484</v>
      </c>
      <c r="T2044" s="73" t="s">
        <v>1484</v>
      </c>
      <c r="U2044" s="73" t="s">
        <v>1484</v>
      </c>
      <c r="V2044" s="73" t="s">
        <v>1484</v>
      </c>
      <c r="W2044" s="73" t="s">
        <v>1485</v>
      </c>
      <c r="X2044" s="73" t="s">
        <v>1484</v>
      </c>
      <c r="Y2044" s="73" t="s">
        <v>1484</v>
      </c>
      <c r="Z2044" s="73" t="s">
        <v>1485</v>
      </c>
      <c r="AA2044" s="73" t="s">
        <v>1485</v>
      </c>
      <c r="AB2044" s="73" t="s">
        <v>1484</v>
      </c>
      <c r="AC2044" s="73" t="s">
        <v>1486</v>
      </c>
      <c r="AD2044" s="73" t="s">
        <v>1487</v>
      </c>
      <c r="AE2044" s="75" t="s">
        <v>1488</v>
      </c>
    </row>
    <row r="2045" spans="1:31" x14ac:dyDescent="0.3">
      <c r="A2045" s="76"/>
      <c r="B2045" s="77"/>
      <c r="C2045" s="78" t="s">
        <v>1493</v>
      </c>
      <c r="D2045" s="78" t="s">
        <v>572</v>
      </c>
      <c r="E2045" s="78" t="s">
        <v>1620</v>
      </c>
      <c r="F2045" s="78" t="s">
        <v>1495</v>
      </c>
      <c r="G2045" s="78" t="s">
        <v>1492</v>
      </c>
      <c r="H2045" s="77"/>
      <c r="I2045" s="226"/>
      <c r="J2045" s="77"/>
      <c r="K2045" s="77"/>
      <c r="L2045" s="77"/>
      <c r="M2045" s="77"/>
      <c r="N2045" s="77"/>
      <c r="O2045" s="77"/>
      <c r="P2045" s="77"/>
      <c r="Q2045" s="77"/>
      <c r="R2045" s="77"/>
      <c r="S2045" s="77"/>
      <c r="T2045" s="77"/>
      <c r="U2045" s="77"/>
      <c r="V2045" s="77"/>
      <c r="W2045" s="77"/>
      <c r="X2045" s="77"/>
      <c r="Y2045" s="77"/>
      <c r="Z2045" s="77"/>
      <c r="AA2045" s="77"/>
      <c r="AB2045" s="77"/>
      <c r="AC2045" s="77"/>
      <c r="AD2045" s="77"/>
      <c r="AE2045" s="79"/>
    </row>
    <row r="2046" spans="1:31" x14ac:dyDescent="0.3">
      <c r="A2046" s="76"/>
      <c r="B2046" s="77"/>
      <c r="C2046" s="78" t="s">
        <v>1496</v>
      </c>
      <c r="D2046" s="78" t="s">
        <v>723</v>
      </c>
      <c r="E2046" s="78" t="s">
        <v>1503</v>
      </c>
      <c r="F2046" s="200" t="s">
        <v>1495</v>
      </c>
      <c r="G2046" s="78" t="s">
        <v>1492</v>
      </c>
      <c r="H2046" s="77"/>
      <c r="I2046" s="226"/>
      <c r="J2046" s="77"/>
      <c r="K2046" s="77"/>
      <c r="L2046" s="77"/>
      <c r="M2046" s="77"/>
      <c r="N2046" s="77"/>
      <c r="O2046" s="77"/>
      <c r="P2046" s="77"/>
      <c r="Q2046" s="77"/>
      <c r="R2046" s="77"/>
      <c r="S2046" s="77"/>
      <c r="T2046" s="77"/>
      <c r="U2046" s="77"/>
      <c r="V2046" s="77"/>
      <c r="W2046" s="77"/>
      <c r="X2046" s="77"/>
      <c r="Y2046" s="77"/>
      <c r="Z2046" s="77"/>
      <c r="AA2046" s="77"/>
      <c r="AB2046" s="77"/>
      <c r="AC2046" s="77"/>
      <c r="AD2046" s="77"/>
      <c r="AE2046" s="79"/>
    </row>
    <row r="2047" spans="1:31" x14ac:dyDescent="0.3">
      <c r="A2047" s="76"/>
      <c r="B2047" s="80"/>
      <c r="C2047" s="78" t="s">
        <v>1504</v>
      </c>
      <c r="D2047" s="78" t="s">
        <v>948</v>
      </c>
      <c r="E2047" s="78" t="s">
        <v>1490</v>
      </c>
      <c r="F2047" s="78" t="s">
        <v>1491</v>
      </c>
      <c r="G2047" s="78" t="s">
        <v>1492</v>
      </c>
      <c r="H2047" s="77"/>
      <c r="I2047" s="226"/>
      <c r="J2047" s="77"/>
      <c r="K2047" s="77"/>
      <c r="L2047" s="77"/>
      <c r="M2047" s="77"/>
      <c r="N2047" s="77"/>
      <c r="O2047" s="77"/>
      <c r="P2047" s="77"/>
      <c r="Q2047" s="77"/>
      <c r="R2047" s="77"/>
      <c r="S2047" s="77"/>
      <c r="T2047" s="77"/>
      <c r="U2047" s="77"/>
      <c r="V2047" s="77"/>
      <c r="W2047" s="77"/>
      <c r="X2047" s="77"/>
      <c r="Y2047" s="77"/>
      <c r="Z2047" s="77"/>
      <c r="AA2047" s="77"/>
      <c r="AB2047" s="77"/>
      <c r="AC2047" s="77"/>
      <c r="AD2047" s="77"/>
      <c r="AE2047" s="79"/>
    </row>
    <row r="2048" spans="1:31" x14ac:dyDescent="0.3">
      <c r="A2048" s="76"/>
      <c r="B2048" s="78" t="s">
        <v>1735</v>
      </c>
      <c r="C2048" s="78" t="s">
        <v>1502</v>
      </c>
      <c r="D2048" s="78" t="s">
        <v>723</v>
      </c>
      <c r="E2048" s="78" t="s">
        <v>1503</v>
      </c>
      <c r="F2048" s="200" t="s">
        <v>1495</v>
      </c>
      <c r="G2048" s="78" t="s">
        <v>1513</v>
      </c>
      <c r="H2048" s="77"/>
      <c r="I2048" s="226"/>
      <c r="J2048" s="77"/>
      <c r="K2048" s="77"/>
      <c r="L2048" s="77"/>
      <c r="M2048" s="77"/>
      <c r="N2048" s="77"/>
      <c r="O2048" s="77"/>
      <c r="P2048" s="77"/>
      <c r="Q2048" s="77"/>
      <c r="R2048" s="77"/>
      <c r="S2048" s="77"/>
      <c r="T2048" s="77"/>
      <c r="U2048" s="77"/>
      <c r="V2048" s="77"/>
      <c r="W2048" s="77"/>
      <c r="X2048" s="77"/>
      <c r="Y2048" s="77"/>
      <c r="Z2048" s="77"/>
      <c r="AA2048" s="77"/>
      <c r="AB2048" s="77"/>
      <c r="AC2048" s="77"/>
      <c r="AD2048" s="77"/>
      <c r="AE2048" s="79"/>
    </row>
    <row r="2049" spans="1:31" x14ac:dyDescent="0.3">
      <c r="A2049" s="76"/>
      <c r="B2049" s="78" t="s">
        <v>1930</v>
      </c>
      <c r="C2049" s="78" t="s">
        <v>1502</v>
      </c>
      <c r="D2049" s="78" t="s">
        <v>572</v>
      </c>
      <c r="E2049" s="78" t="s">
        <v>1620</v>
      </c>
      <c r="F2049" s="78" t="s">
        <v>1495</v>
      </c>
      <c r="G2049" s="78" t="s">
        <v>1513</v>
      </c>
      <c r="H2049" s="77"/>
      <c r="I2049" s="226"/>
      <c r="J2049" s="77"/>
      <c r="K2049" s="77"/>
      <c r="L2049" s="77"/>
      <c r="M2049" s="77"/>
      <c r="N2049" s="77"/>
      <c r="O2049" s="77"/>
      <c r="P2049" s="77"/>
      <c r="Q2049" s="77"/>
      <c r="R2049" s="77"/>
      <c r="S2049" s="77"/>
      <c r="T2049" s="77"/>
      <c r="U2049" s="77"/>
      <c r="V2049" s="77"/>
      <c r="W2049" s="77"/>
      <c r="X2049" s="77"/>
      <c r="Y2049" s="77"/>
      <c r="Z2049" s="77"/>
      <c r="AA2049" s="77"/>
      <c r="AB2049" s="77"/>
      <c r="AC2049" s="77"/>
      <c r="AD2049" s="77"/>
      <c r="AE2049" s="79"/>
    </row>
    <row r="2050" spans="1:31" ht="15" thickBot="1" x14ac:dyDescent="0.35">
      <c r="A2050" s="81"/>
      <c r="B2050" s="82" t="s">
        <v>1523</v>
      </c>
      <c r="C2050" s="82" t="s">
        <v>1493</v>
      </c>
      <c r="D2050" s="82" t="s">
        <v>948</v>
      </c>
      <c r="E2050" s="82" t="s">
        <v>1490</v>
      </c>
      <c r="F2050" s="82" t="s">
        <v>1491</v>
      </c>
      <c r="G2050" s="82" t="s">
        <v>1513</v>
      </c>
      <c r="H2050" s="83"/>
      <c r="I2050" s="226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83"/>
      <c r="V2050" s="83"/>
      <c r="W2050" s="83"/>
      <c r="X2050" s="83"/>
      <c r="Y2050" s="83"/>
      <c r="Z2050" s="83"/>
      <c r="AA2050" s="83"/>
      <c r="AB2050" s="83"/>
      <c r="AC2050" s="83"/>
      <c r="AD2050" s="83"/>
      <c r="AE2050" s="84"/>
    </row>
    <row r="2051" spans="1:31" x14ac:dyDescent="0.3">
      <c r="A2051" s="72" t="s">
        <v>1250</v>
      </c>
      <c r="B2051" s="73" t="s">
        <v>2231</v>
      </c>
      <c r="C2051" s="74" t="s">
        <v>1479</v>
      </c>
      <c r="D2051" s="74" t="s">
        <v>1251</v>
      </c>
      <c r="E2051" s="74" t="s">
        <v>1480</v>
      </c>
      <c r="F2051" s="74"/>
      <c r="G2051" s="74" t="s">
        <v>1481</v>
      </c>
      <c r="H2051" s="73" t="s">
        <v>1482</v>
      </c>
      <c r="I2051" s="226"/>
      <c r="J2051" s="73" t="s">
        <v>1249</v>
      </c>
      <c r="K2051" s="73" t="s">
        <v>1485</v>
      </c>
      <c r="L2051" s="73" t="s">
        <v>195</v>
      </c>
      <c r="M2051" s="73" t="s">
        <v>1483</v>
      </c>
      <c r="N2051" s="73" t="s">
        <v>1483</v>
      </c>
      <c r="O2051" s="73" t="s">
        <v>1483</v>
      </c>
      <c r="P2051" s="73" t="s">
        <v>1483</v>
      </c>
      <c r="Q2051" s="73" t="s">
        <v>1483</v>
      </c>
      <c r="R2051" s="73" t="s">
        <v>1483</v>
      </c>
      <c r="S2051" s="73" t="s">
        <v>1484</v>
      </c>
      <c r="T2051" s="73" t="s">
        <v>1484</v>
      </c>
      <c r="U2051" s="73" t="s">
        <v>1484</v>
      </c>
      <c r="V2051" s="73" t="s">
        <v>1484</v>
      </c>
      <c r="W2051" s="73" t="s">
        <v>1485</v>
      </c>
      <c r="X2051" s="73" t="s">
        <v>1484</v>
      </c>
      <c r="Y2051" s="73" t="s">
        <v>1484</v>
      </c>
      <c r="Z2051" s="73" t="s">
        <v>1485</v>
      </c>
      <c r="AA2051" s="73" t="s">
        <v>1485</v>
      </c>
      <c r="AB2051" s="73" t="s">
        <v>1484</v>
      </c>
      <c r="AC2051" s="73" t="s">
        <v>1486</v>
      </c>
      <c r="AD2051" s="73" t="s">
        <v>1487</v>
      </c>
      <c r="AE2051" s="75" t="s">
        <v>1488</v>
      </c>
    </row>
    <row r="2052" spans="1:31" ht="15" thickBot="1" x14ac:dyDescent="0.35">
      <c r="A2052" s="76"/>
      <c r="B2052" s="77"/>
      <c r="C2052" s="78" t="s">
        <v>1489</v>
      </c>
      <c r="D2052" s="78" t="s">
        <v>579</v>
      </c>
      <c r="E2052" s="78" t="s">
        <v>1800</v>
      </c>
      <c r="F2052" s="78" t="s">
        <v>1565</v>
      </c>
      <c r="G2052" s="78" t="s">
        <v>1492</v>
      </c>
      <c r="H2052" s="77"/>
      <c r="I2052" s="227"/>
      <c r="J2052" s="77"/>
      <c r="K2052" s="77"/>
      <c r="L2052" s="77"/>
      <c r="M2052" s="77"/>
      <c r="N2052" s="77"/>
      <c r="O2052" s="77"/>
      <c r="P2052" s="77"/>
      <c r="Q2052" s="77"/>
      <c r="R2052" s="77"/>
      <c r="S2052" s="77"/>
      <c r="T2052" s="77"/>
      <c r="U2052" s="77"/>
      <c r="V2052" s="77"/>
      <c r="W2052" s="77"/>
      <c r="X2052" s="77"/>
      <c r="Y2052" s="77"/>
      <c r="Z2052" s="77"/>
      <c r="AA2052" s="77"/>
      <c r="AB2052" s="77"/>
      <c r="AC2052" s="77"/>
      <c r="AD2052" s="77"/>
      <c r="AE2052" s="79"/>
    </row>
    <row r="2053" spans="1:31" x14ac:dyDescent="0.3">
      <c r="A2053" s="76"/>
      <c r="B2053" s="77"/>
      <c r="C2053" s="78" t="s">
        <v>1493</v>
      </c>
      <c r="D2053" s="78" t="s">
        <v>592</v>
      </c>
      <c r="E2053" s="78" t="s">
        <v>1620</v>
      </c>
      <c r="F2053" s="78" t="s">
        <v>1495</v>
      </c>
      <c r="G2053" s="78" t="s">
        <v>1492</v>
      </c>
      <c r="H2053" s="77"/>
      <c r="I2053" s="225" t="s">
        <v>1485</v>
      </c>
      <c r="J2053" s="77"/>
      <c r="K2053" s="77"/>
      <c r="L2053" s="77"/>
      <c r="M2053" s="77"/>
      <c r="N2053" s="77"/>
      <c r="O2053" s="77"/>
      <c r="P2053" s="77"/>
      <c r="Q2053" s="77"/>
      <c r="R2053" s="77"/>
      <c r="S2053" s="77"/>
      <c r="T2053" s="77"/>
      <c r="U2053" s="77"/>
      <c r="V2053" s="77"/>
      <c r="W2053" s="77"/>
      <c r="X2053" s="77"/>
      <c r="Y2053" s="77"/>
      <c r="Z2053" s="77"/>
      <c r="AA2053" s="77"/>
      <c r="AB2053" s="77"/>
      <c r="AC2053" s="77"/>
      <c r="AD2053" s="77"/>
      <c r="AE2053" s="79"/>
    </row>
    <row r="2054" spans="1:31" x14ac:dyDescent="0.3">
      <c r="A2054" s="76"/>
      <c r="B2054" s="77"/>
      <c r="C2054" s="78" t="s">
        <v>1496</v>
      </c>
      <c r="D2054" s="78" t="s">
        <v>179</v>
      </c>
      <c r="E2054" s="78" t="s">
        <v>1503</v>
      </c>
      <c r="F2054" s="78" t="s">
        <v>1495</v>
      </c>
      <c r="G2054" s="78" t="s">
        <v>1492</v>
      </c>
      <c r="H2054" s="77"/>
      <c r="I2054" s="226"/>
      <c r="J2054" s="77"/>
      <c r="K2054" s="77"/>
      <c r="L2054" s="77"/>
      <c r="M2054" s="77"/>
      <c r="N2054" s="77"/>
      <c r="O2054" s="77"/>
      <c r="P2054" s="77"/>
      <c r="Q2054" s="77"/>
      <c r="R2054" s="77"/>
      <c r="S2054" s="77"/>
      <c r="T2054" s="77"/>
      <c r="U2054" s="77"/>
      <c r="V2054" s="77"/>
      <c r="W2054" s="77"/>
      <c r="X2054" s="77"/>
      <c r="Y2054" s="77"/>
      <c r="Z2054" s="77"/>
      <c r="AA2054" s="77"/>
      <c r="AB2054" s="77"/>
      <c r="AC2054" s="77"/>
      <c r="AD2054" s="77"/>
      <c r="AE2054" s="79"/>
    </row>
    <row r="2055" spans="1:31" x14ac:dyDescent="0.3">
      <c r="A2055" s="76"/>
      <c r="B2055" s="80"/>
      <c r="C2055" s="78" t="s">
        <v>1502</v>
      </c>
      <c r="D2055" s="78" t="s">
        <v>421</v>
      </c>
      <c r="E2055" s="78" t="s">
        <v>1595</v>
      </c>
      <c r="F2055" s="78" t="s">
        <v>1680</v>
      </c>
      <c r="G2055" s="78" t="s">
        <v>1492</v>
      </c>
      <c r="H2055" s="77"/>
      <c r="I2055" s="226"/>
      <c r="J2055" s="77"/>
      <c r="K2055" s="77"/>
      <c r="L2055" s="77"/>
      <c r="M2055" s="77"/>
      <c r="N2055" s="77"/>
      <c r="O2055" s="77"/>
      <c r="P2055" s="77"/>
      <c r="Q2055" s="77"/>
      <c r="R2055" s="77"/>
      <c r="S2055" s="77"/>
      <c r="T2055" s="77"/>
      <c r="U2055" s="77"/>
      <c r="V2055" s="77"/>
      <c r="W2055" s="77"/>
      <c r="X2055" s="77"/>
      <c r="Y2055" s="77"/>
      <c r="Z2055" s="77"/>
      <c r="AA2055" s="77"/>
      <c r="AB2055" s="77"/>
      <c r="AC2055" s="77"/>
      <c r="AD2055" s="77"/>
      <c r="AE2055" s="79"/>
    </row>
    <row r="2056" spans="1:31" x14ac:dyDescent="0.3">
      <c r="A2056" s="76"/>
      <c r="B2056" s="78" t="s">
        <v>1741</v>
      </c>
      <c r="C2056" s="78" t="s">
        <v>1502</v>
      </c>
      <c r="D2056" s="78" t="s">
        <v>179</v>
      </c>
      <c r="E2056" s="78" t="s">
        <v>1503</v>
      </c>
      <c r="F2056" s="78" t="s">
        <v>1495</v>
      </c>
      <c r="G2056" s="78" t="s">
        <v>1513</v>
      </c>
      <c r="H2056" s="77"/>
      <c r="I2056" s="226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U2056" s="77"/>
      <c r="V2056" s="77"/>
      <c r="W2056" s="77"/>
      <c r="X2056" s="77"/>
      <c r="Y2056" s="77"/>
      <c r="Z2056" s="77"/>
      <c r="AA2056" s="77"/>
      <c r="AB2056" s="77"/>
      <c r="AC2056" s="77"/>
      <c r="AD2056" s="77"/>
      <c r="AE2056" s="79"/>
    </row>
    <row r="2057" spans="1:31" x14ac:dyDescent="0.3">
      <c r="A2057" s="76"/>
      <c r="B2057" s="78" t="s">
        <v>1935</v>
      </c>
      <c r="C2057" s="78" t="s">
        <v>1502</v>
      </c>
      <c r="D2057" s="78" t="s">
        <v>592</v>
      </c>
      <c r="E2057" s="78" t="s">
        <v>1620</v>
      </c>
      <c r="F2057" s="78" t="s">
        <v>1495</v>
      </c>
      <c r="G2057" s="78" t="s">
        <v>1513</v>
      </c>
      <c r="H2057" s="77"/>
      <c r="I2057" s="226"/>
      <c r="J2057" s="77"/>
      <c r="K2057" s="77"/>
      <c r="L2057" s="77"/>
      <c r="M2057" s="77"/>
      <c r="N2057" s="77"/>
      <c r="O2057" s="77"/>
      <c r="P2057" s="77"/>
      <c r="Q2057" s="77"/>
      <c r="R2057" s="77"/>
      <c r="S2057" s="77"/>
      <c r="T2057" s="77"/>
      <c r="U2057" s="77"/>
      <c r="V2057" s="77"/>
      <c r="W2057" s="77"/>
      <c r="X2057" s="77"/>
      <c r="Y2057" s="77"/>
      <c r="Z2057" s="77"/>
      <c r="AA2057" s="77"/>
      <c r="AB2057" s="77"/>
      <c r="AC2057" s="77"/>
      <c r="AD2057" s="77"/>
      <c r="AE2057" s="79"/>
    </row>
    <row r="2058" spans="1:31" x14ac:dyDescent="0.3">
      <c r="A2058" s="76"/>
      <c r="B2058" s="78" t="s">
        <v>1865</v>
      </c>
      <c r="C2058" s="78" t="s">
        <v>1496</v>
      </c>
      <c r="D2058" s="78" t="s">
        <v>421</v>
      </c>
      <c r="E2058" s="78" t="s">
        <v>1595</v>
      </c>
      <c r="F2058" s="78" t="s">
        <v>1680</v>
      </c>
      <c r="G2058" s="78" t="s">
        <v>1513</v>
      </c>
      <c r="H2058" s="77"/>
      <c r="I2058" s="226"/>
      <c r="J2058" s="77"/>
      <c r="K2058" s="77"/>
      <c r="L2058" s="77"/>
      <c r="M2058" s="77"/>
      <c r="N2058" s="77"/>
      <c r="O2058" s="77"/>
      <c r="P2058" s="77"/>
      <c r="Q2058" s="77"/>
      <c r="R2058" s="77"/>
      <c r="S2058" s="77"/>
      <c r="T2058" s="77"/>
      <c r="U2058" s="77"/>
      <c r="V2058" s="77"/>
      <c r="W2058" s="77"/>
      <c r="X2058" s="77"/>
      <c r="Y2058" s="77"/>
      <c r="Z2058" s="77"/>
      <c r="AA2058" s="77"/>
      <c r="AB2058" s="77"/>
      <c r="AC2058" s="77"/>
      <c r="AD2058" s="77"/>
      <c r="AE2058" s="79"/>
    </row>
    <row r="2059" spans="1:31" ht="15" thickBot="1" x14ac:dyDescent="0.35">
      <c r="A2059" s="81"/>
      <c r="B2059" s="82" t="s">
        <v>1810</v>
      </c>
      <c r="C2059" s="82" t="s">
        <v>1496</v>
      </c>
      <c r="D2059" s="82" t="s">
        <v>579</v>
      </c>
      <c r="E2059" s="82" t="s">
        <v>1800</v>
      </c>
      <c r="F2059" s="82" t="s">
        <v>1565</v>
      </c>
      <c r="G2059" s="82" t="s">
        <v>1513</v>
      </c>
      <c r="H2059" s="83"/>
      <c r="I2059" s="226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83"/>
      <c r="V2059" s="83"/>
      <c r="W2059" s="83"/>
      <c r="X2059" s="83"/>
      <c r="Y2059" s="83"/>
      <c r="Z2059" s="83"/>
      <c r="AA2059" s="83"/>
      <c r="AB2059" s="83"/>
      <c r="AC2059" s="83"/>
      <c r="AD2059" s="83"/>
      <c r="AE2059" s="84"/>
    </row>
    <row r="2060" spans="1:31" x14ac:dyDescent="0.3">
      <c r="A2060" s="72" t="s">
        <v>1254</v>
      </c>
      <c r="B2060" s="73" t="s">
        <v>2232</v>
      </c>
      <c r="C2060" s="74" t="s">
        <v>1479</v>
      </c>
      <c r="D2060" s="74" t="s">
        <v>1255</v>
      </c>
      <c r="E2060" s="74" t="s">
        <v>1480</v>
      </c>
      <c r="F2060" s="74"/>
      <c r="G2060" s="74" t="s">
        <v>1481</v>
      </c>
      <c r="H2060" s="73" t="s">
        <v>1482</v>
      </c>
      <c r="I2060" s="226"/>
      <c r="J2060" s="73" t="s">
        <v>1253</v>
      </c>
      <c r="K2060" s="73" t="s">
        <v>1485</v>
      </c>
      <c r="L2060" s="73" t="s">
        <v>195</v>
      </c>
      <c r="M2060" s="73" t="s">
        <v>1483</v>
      </c>
      <c r="N2060" s="73" t="s">
        <v>1483</v>
      </c>
      <c r="O2060" s="73" t="s">
        <v>1483</v>
      </c>
      <c r="P2060" s="73" t="s">
        <v>1483</v>
      </c>
      <c r="Q2060" s="73" t="s">
        <v>1483</v>
      </c>
      <c r="R2060" s="73" t="s">
        <v>1483</v>
      </c>
      <c r="S2060" s="73" t="s">
        <v>1484</v>
      </c>
      <c r="T2060" s="73" t="s">
        <v>1484</v>
      </c>
      <c r="U2060" s="73" t="s">
        <v>1484</v>
      </c>
      <c r="V2060" s="73" t="s">
        <v>1484</v>
      </c>
      <c r="W2060" s="73" t="s">
        <v>1485</v>
      </c>
      <c r="X2060" s="73" t="s">
        <v>1484</v>
      </c>
      <c r="Y2060" s="73" t="s">
        <v>1484</v>
      </c>
      <c r="Z2060" s="73" t="s">
        <v>1485</v>
      </c>
      <c r="AA2060" s="73" t="s">
        <v>1485</v>
      </c>
      <c r="AB2060" s="73" t="s">
        <v>1484</v>
      </c>
      <c r="AC2060" s="73" t="s">
        <v>1486</v>
      </c>
      <c r="AD2060" s="73" t="s">
        <v>1487</v>
      </c>
      <c r="AE2060" s="75" t="s">
        <v>1488</v>
      </c>
    </row>
    <row r="2061" spans="1:31" x14ac:dyDescent="0.3">
      <c r="A2061" s="76"/>
      <c r="B2061" s="80"/>
      <c r="C2061" s="78" t="s">
        <v>1496</v>
      </c>
      <c r="D2061" s="78" t="s">
        <v>186</v>
      </c>
      <c r="E2061" s="78" t="s">
        <v>1503</v>
      </c>
      <c r="F2061" s="78" t="s">
        <v>1495</v>
      </c>
      <c r="G2061" s="78" t="s">
        <v>1492</v>
      </c>
      <c r="H2061" s="77"/>
      <c r="I2061" s="226"/>
      <c r="J2061" s="77"/>
      <c r="K2061" s="77"/>
      <c r="L2061" s="77"/>
      <c r="M2061" s="77"/>
      <c r="N2061" s="77"/>
      <c r="O2061" s="77"/>
      <c r="P2061" s="77"/>
      <c r="Q2061" s="77"/>
      <c r="R2061" s="77"/>
      <c r="S2061" s="77"/>
      <c r="T2061" s="77"/>
      <c r="U2061" s="77"/>
      <c r="V2061" s="77"/>
      <c r="W2061" s="77"/>
      <c r="X2061" s="77"/>
      <c r="Y2061" s="77"/>
      <c r="Z2061" s="77"/>
      <c r="AA2061" s="77"/>
      <c r="AB2061" s="77"/>
      <c r="AC2061" s="77"/>
      <c r="AD2061" s="77"/>
      <c r="AE2061" s="79"/>
    </row>
    <row r="2062" spans="1:31" x14ac:dyDescent="0.3">
      <c r="A2062" s="76"/>
      <c r="B2062" s="78" t="s">
        <v>1746</v>
      </c>
      <c r="C2062" s="78" t="s">
        <v>1496</v>
      </c>
      <c r="D2062" s="78" t="s">
        <v>186</v>
      </c>
      <c r="E2062" s="78" t="s">
        <v>1503</v>
      </c>
      <c r="F2062" s="78" t="s">
        <v>1495</v>
      </c>
      <c r="G2062" s="78" t="s">
        <v>1513</v>
      </c>
      <c r="H2062" s="77"/>
      <c r="I2062" s="226"/>
      <c r="J2062" s="77"/>
      <c r="K2062" s="77"/>
      <c r="L2062" s="77"/>
      <c r="M2062" s="77"/>
      <c r="N2062" s="77"/>
      <c r="O2062" s="77"/>
      <c r="P2062" s="77"/>
      <c r="Q2062" s="77"/>
      <c r="R2062" s="77"/>
      <c r="S2062" s="77"/>
      <c r="T2062" s="77"/>
      <c r="U2062" s="77"/>
      <c r="V2062" s="77"/>
      <c r="W2062" s="77"/>
      <c r="X2062" s="77"/>
      <c r="Y2062" s="77"/>
      <c r="Z2062" s="77"/>
      <c r="AA2062" s="77"/>
      <c r="AB2062" s="77"/>
      <c r="AC2062" s="77"/>
      <c r="AD2062" s="77"/>
      <c r="AE2062" s="79"/>
    </row>
    <row r="2063" spans="1:31" ht="15" thickBot="1" x14ac:dyDescent="0.35">
      <c r="A2063" s="81"/>
      <c r="B2063" s="82" t="s">
        <v>1799</v>
      </c>
      <c r="C2063" s="82" t="s">
        <v>1496</v>
      </c>
      <c r="D2063" s="82" t="s">
        <v>611</v>
      </c>
      <c r="E2063" s="82" t="s">
        <v>1800</v>
      </c>
      <c r="F2063" s="82" t="s">
        <v>1558</v>
      </c>
      <c r="G2063" s="82" t="s">
        <v>1513</v>
      </c>
      <c r="H2063" s="83"/>
      <c r="I2063" s="226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83"/>
      <c r="V2063" s="83"/>
      <c r="W2063" s="83"/>
      <c r="X2063" s="83"/>
      <c r="Y2063" s="83"/>
      <c r="Z2063" s="83"/>
      <c r="AA2063" s="83"/>
      <c r="AB2063" s="83"/>
      <c r="AC2063" s="83"/>
      <c r="AD2063" s="83"/>
      <c r="AE2063" s="84"/>
    </row>
    <row r="2064" spans="1:31" x14ac:dyDescent="0.3">
      <c r="A2064" s="72" t="s">
        <v>1258</v>
      </c>
      <c r="B2064" s="73" t="s">
        <v>2233</v>
      </c>
      <c r="C2064" s="74" t="s">
        <v>1479</v>
      </c>
      <c r="D2064" s="74" t="s">
        <v>1259</v>
      </c>
      <c r="E2064" s="74" t="s">
        <v>1480</v>
      </c>
      <c r="F2064" s="74"/>
      <c r="G2064" s="74" t="s">
        <v>1481</v>
      </c>
      <c r="H2064" s="73" t="s">
        <v>1575</v>
      </c>
      <c r="I2064" s="226"/>
      <c r="J2064" s="73" t="s">
        <v>1257</v>
      </c>
      <c r="K2064" s="73" t="s">
        <v>1485</v>
      </c>
      <c r="L2064" s="73" t="s">
        <v>195</v>
      </c>
      <c r="M2064" s="73" t="s">
        <v>1483</v>
      </c>
      <c r="N2064" s="73" t="s">
        <v>1483</v>
      </c>
      <c r="O2064" s="73" t="s">
        <v>1483</v>
      </c>
      <c r="P2064" s="73" t="s">
        <v>1483</v>
      </c>
      <c r="Q2064" s="73" t="s">
        <v>1483</v>
      </c>
      <c r="R2064" s="73" t="s">
        <v>1483</v>
      </c>
      <c r="S2064" s="73" t="s">
        <v>1484</v>
      </c>
      <c r="T2064" s="73" t="s">
        <v>1484</v>
      </c>
      <c r="U2064" s="73" t="s">
        <v>1484</v>
      </c>
      <c r="V2064" s="73" t="s">
        <v>1484</v>
      </c>
      <c r="W2064" s="73" t="s">
        <v>1485</v>
      </c>
      <c r="X2064" s="73" t="s">
        <v>1484</v>
      </c>
      <c r="Y2064" s="73" t="s">
        <v>1484</v>
      </c>
      <c r="Z2064" s="73" t="s">
        <v>1484</v>
      </c>
      <c r="AA2064" s="73" t="s">
        <v>1485</v>
      </c>
      <c r="AB2064" s="73" t="s">
        <v>1484</v>
      </c>
      <c r="AC2064" s="73" t="s">
        <v>1486</v>
      </c>
      <c r="AD2064" s="73" t="s">
        <v>1487</v>
      </c>
      <c r="AE2064" s="75" t="s">
        <v>1579</v>
      </c>
    </row>
    <row r="2065" spans="1:31" ht="15" thickBot="1" x14ac:dyDescent="0.35">
      <c r="A2065" s="76"/>
      <c r="B2065" s="77"/>
      <c r="C2065" s="78" t="s">
        <v>1489</v>
      </c>
      <c r="D2065" s="78" t="s">
        <v>501</v>
      </c>
      <c r="E2065" s="78" t="s">
        <v>1986</v>
      </c>
      <c r="F2065" s="78" t="s">
        <v>1611</v>
      </c>
      <c r="G2065" s="78" t="s">
        <v>1492</v>
      </c>
      <c r="H2065" s="77"/>
      <c r="I2065" s="227"/>
      <c r="J2065" s="77"/>
      <c r="K2065" s="77"/>
      <c r="L2065" s="77"/>
      <c r="M2065" s="77"/>
      <c r="N2065" s="77"/>
      <c r="O2065" s="77"/>
      <c r="P2065" s="77"/>
      <c r="Q2065" s="77"/>
      <c r="R2065" s="77"/>
      <c r="S2065" s="77"/>
      <c r="T2065" s="77"/>
      <c r="U2065" s="77"/>
      <c r="V2065" s="77"/>
      <c r="W2065" s="77"/>
      <c r="X2065" s="77"/>
      <c r="Y2065" s="77"/>
      <c r="Z2065" s="77"/>
      <c r="AA2065" s="77"/>
      <c r="AB2065" s="77"/>
      <c r="AC2065" s="77"/>
      <c r="AD2065" s="77"/>
      <c r="AE2065" s="79"/>
    </row>
    <row r="2066" spans="1:31" x14ac:dyDescent="0.3">
      <c r="A2066" s="76"/>
      <c r="B2066" s="77"/>
      <c r="C2066" s="78" t="s">
        <v>1496</v>
      </c>
      <c r="D2066" s="78" t="s">
        <v>509</v>
      </c>
      <c r="E2066" s="78" t="s">
        <v>1503</v>
      </c>
      <c r="F2066" s="200" t="s">
        <v>1495</v>
      </c>
      <c r="G2066" s="78" t="s">
        <v>1492</v>
      </c>
      <c r="H2066" s="77"/>
      <c r="I2066" s="225" t="s">
        <v>1485</v>
      </c>
      <c r="J2066" s="77"/>
      <c r="K2066" s="77"/>
      <c r="L2066" s="77"/>
      <c r="M2066" s="77"/>
      <c r="N2066" s="77"/>
      <c r="O2066" s="77"/>
      <c r="P2066" s="77"/>
      <c r="Q2066" s="77"/>
      <c r="R2066" s="77"/>
      <c r="S2066" s="77"/>
      <c r="T2066" s="77"/>
      <c r="U2066" s="77"/>
      <c r="V2066" s="77"/>
      <c r="W2066" s="77"/>
      <c r="X2066" s="77"/>
      <c r="Y2066" s="77"/>
      <c r="Z2066" s="77"/>
      <c r="AA2066" s="77"/>
      <c r="AB2066" s="77"/>
      <c r="AC2066" s="77"/>
      <c r="AD2066" s="77"/>
      <c r="AE2066" s="79"/>
    </row>
    <row r="2067" spans="1:31" x14ac:dyDescent="0.3">
      <c r="A2067" s="76"/>
      <c r="B2067" s="77"/>
      <c r="C2067" s="78" t="s">
        <v>1502</v>
      </c>
      <c r="D2067" s="78" t="s">
        <v>90</v>
      </c>
      <c r="E2067" s="78" t="s">
        <v>1618</v>
      </c>
      <c r="F2067" s="78" t="s">
        <v>1491</v>
      </c>
      <c r="G2067" s="78" t="s">
        <v>1492</v>
      </c>
      <c r="H2067" s="77"/>
      <c r="I2067" s="226"/>
      <c r="J2067" s="77"/>
      <c r="K2067" s="77"/>
      <c r="L2067" s="77"/>
      <c r="M2067" s="77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  <c r="AA2067" s="77"/>
      <c r="AB2067" s="77"/>
      <c r="AC2067" s="77"/>
      <c r="AD2067" s="77"/>
      <c r="AE2067" s="79"/>
    </row>
    <row r="2068" spans="1:31" x14ac:dyDescent="0.3">
      <c r="A2068" s="76"/>
      <c r="B2068" s="77"/>
      <c r="C2068" s="78" t="s">
        <v>1504</v>
      </c>
      <c r="D2068" s="78" t="s">
        <v>702</v>
      </c>
      <c r="E2068" s="78" t="s">
        <v>1490</v>
      </c>
      <c r="F2068" s="78" t="s">
        <v>1631</v>
      </c>
      <c r="G2068" s="78" t="s">
        <v>1492</v>
      </c>
      <c r="H2068" s="77"/>
      <c r="I2068" s="226"/>
      <c r="J2068" s="77"/>
      <c r="K2068" s="77"/>
      <c r="L2068" s="77"/>
      <c r="M2068" s="77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  <c r="AA2068" s="77"/>
      <c r="AB2068" s="77"/>
      <c r="AC2068" s="77"/>
      <c r="AD2068" s="77"/>
      <c r="AE2068" s="79"/>
    </row>
    <row r="2069" spans="1:31" x14ac:dyDescent="0.3">
      <c r="A2069" s="76"/>
      <c r="B2069" s="80"/>
      <c r="C2069" s="78" t="s">
        <v>1507</v>
      </c>
      <c r="D2069" s="78" t="s">
        <v>171</v>
      </c>
      <c r="E2069" s="78" t="s">
        <v>1500</v>
      </c>
      <c r="F2069" s="78" t="s">
        <v>1501</v>
      </c>
      <c r="G2069" s="78" t="s">
        <v>1492</v>
      </c>
      <c r="H2069" s="77"/>
      <c r="I2069" s="226"/>
      <c r="J2069" s="77"/>
      <c r="K2069" s="77"/>
      <c r="L2069" s="77"/>
      <c r="M2069" s="77"/>
      <c r="N2069" s="77"/>
      <c r="O2069" s="77"/>
      <c r="P2069" s="77"/>
      <c r="Q2069" s="77"/>
      <c r="R2069" s="77"/>
      <c r="S2069" s="77"/>
      <c r="T2069" s="77"/>
      <c r="U2069" s="77"/>
      <c r="V2069" s="77"/>
      <c r="W2069" s="77"/>
      <c r="X2069" s="77"/>
      <c r="Y2069" s="77"/>
      <c r="Z2069" s="77"/>
      <c r="AA2069" s="77"/>
      <c r="AB2069" s="77"/>
      <c r="AC2069" s="77"/>
      <c r="AD2069" s="77"/>
      <c r="AE2069" s="79"/>
    </row>
    <row r="2070" spans="1:31" x14ac:dyDescent="0.3">
      <c r="A2070" s="76"/>
      <c r="B2070" s="78" t="s">
        <v>1751</v>
      </c>
      <c r="C2070" s="78" t="s">
        <v>1496</v>
      </c>
      <c r="D2070" s="78" t="s">
        <v>509</v>
      </c>
      <c r="E2070" s="78" t="s">
        <v>1503</v>
      </c>
      <c r="F2070" s="200" t="s">
        <v>1495</v>
      </c>
      <c r="G2070" s="78" t="s">
        <v>1513</v>
      </c>
      <c r="H2070" s="77"/>
      <c r="I2070" s="226"/>
      <c r="J2070" s="77"/>
      <c r="K2070" s="77"/>
      <c r="L2070" s="77"/>
      <c r="M2070" s="77"/>
      <c r="N2070" s="77"/>
      <c r="O2070" s="77"/>
      <c r="P2070" s="77"/>
      <c r="Q2070" s="77"/>
      <c r="R2070" s="77"/>
      <c r="S2070" s="77"/>
      <c r="T2070" s="77"/>
      <c r="U2070" s="77"/>
      <c r="V2070" s="77"/>
      <c r="W2070" s="77"/>
      <c r="X2070" s="77"/>
      <c r="Y2070" s="77"/>
      <c r="Z2070" s="77"/>
      <c r="AA2070" s="77"/>
      <c r="AB2070" s="77"/>
      <c r="AC2070" s="77"/>
      <c r="AD2070" s="77"/>
      <c r="AE2070" s="79"/>
    </row>
    <row r="2071" spans="1:31" x14ac:dyDescent="0.3">
      <c r="A2071" s="76"/>
      <c r="B2071" s="78" t="s">
        <v>1585</v>
      </c>
      <c r="C2071" s="78" t="s">
        <v>2197</v>
      </c>
      <c r="D2071" s="78" t="s">
        <v>171</v>
      </c>
      <c r="E2071" s="78" t="s">
        <v>1500</v>
      </c>
      <c r="F2071" s="78" t="s">
        <v>1501</v>
      </c>
      <c r="G2071" s="78" t="s">
        <v>1513</v>
      </c>
      <c r="H2071" s="77"/>
      <c r="I2071" s="226"/>
      <c r="J2071" s="77"/>
      <c r="K2071" s="77"/>
      <c r="L2071" s="77"/>
      <c r="M2071" s="77"/>
      <c r="N2071" s="77"/>
      <c r="O2071" s="77"/>
      <c r="P2071" s="77"/>
      <c r="Q2071" s="77"/>
      <c r="R2071" s="77"/>
      <c r="S2071" s="77"/>
      <c r="T2071" s="77"/>
      <c r="U2071" s="77"/>
      <c r="V2071" s="77"/>
      <c r="W2071" s="77"/>
      <c r="X2071" s="77"/>
      <c r="Y2071" s="77"/>
      <c r="Z2071" s="77"/>
      <c r="AA2071" s="77"/>
      <c r="AB2071" s="77"/>
      <c r="AC2071" s="77"/>
      <c r="AD2071" s="77"/>
      <c r="AE2071" s="79"/>
    </row>
    <row r="2072" spans="1:31" ht="15" thickBot="1" x14ac:dyDescent="0.35">
      <c r="A2072" s="76"/>
      <c r="B2072" s="78" t="s">
        <v>1731</v>
      </c>
      <c r="C2072" s="78" t="s">
        <v>1496</v>
      </c>
      <c r="D2072" s="78" t="s">
        <v>90</v>
      </c>
      <c r="E2072" s="78" t="s">
        <v>1618</v>
      </c>
      <c r="F2072" s="78" t="s">
        <v>1491</v>
      </c>
      <c r="G2072" s="78" t="s">
        <v>1513</v>
      </c>
      <c r="H2072" s="77"/>
      <c r="I2072" s="227"/>
      <c r="J2072" s="77"/>
      <c r="K2072" s="77"/>
      <c r="L2072" s="77"/>
      <c r="M2072" s="77"/>
      <c r="N2072" s="77"/>
      <c r="O2072" s="77"/>
      <c r="P2072" s="77"/>
      <c r="Q2072" s="77"/>
      <c r="R2072" s="77"/>
      <c r="S2072" s="77"/>
      <c r="T2072" s="77"/>
      <c r="U2072" s="77"/>
      <c r="V2072" s="77"/>
      <c r="W2072" s="77"/>
      <c r="X2072" s="77"/>
      <c r="Y2072" s="77"/>
      <c r="Z2072" s="77"/>
      <c r="AA2072" s="77"/>
      <c r="AB2072" s="77"/>
      <c r="AC2072" s="77"/>
      <c r="AD2072" s="77"/>
      <c r="AE2072" s="79"/>
    </row>
    <row r="2073" spans="1:31" ht="15" thickBot="1" x14ac:dyDescent="0.35">
      <c r="A2073" s="81"/>
      <c r="B2073" s="82" t="s">
        <v>1832</v>
      </c>
      <c r="C2073" s="82" t="s">
        <v>1496</v>
      </c>
      <c r="D2073" s="82" t="s">
        <v>702</v>
      </c>
      <c r="E2073" s="82" t="s">
        <v>1490</v>
      </c>
      <c r="F2073" s="82" t="s">
        <v>1631</v>
      </c>
      <c r="G2073" s="82" t="s">
        <v>1513</v>
      </c>
      <c r="H2073" s="83"/>
      <c r="I2073" s="225" t="s">
        <v>1485</v>
      </c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83"/>
      <c r="V2073" s="83"/>
      <c r="W2073" s="83"/>
      <c r="X2073" s="83"/>
      <c r="Y2073" s="83"/>
      <c r="Z2073" s="83"/>
      <c r="AA2073" s="83"/>
      <c r="AB2073" s="83"/>
      <c r="AC2073" s="83"/>
      <c r="AD2073" s="83"/>
      <c r="AE2073" s="84"/>
    </row>
    <row r="2074" spans="1:31" x14ac:dyDescent="0.3">
      <c r="A2074" s="72" t="s">
        <v>1262</v>
      </c>
      <c r="B2074" s="73" t="s">
        <v>2234</v>
      </c>
      <c r="C2074" s="74" t="s">
        <v>1479</v>
      </c>
      <c r="D2074" s="74" t="s">
        <v>1263</v>
      </c>
      <c r="E2074" s="74" t="s">
        <v>1480</v>
      </c>
      <c r="F2074" s="74"/>
      <c r="G2074" s="74" t="s">
        <v>1481</v>
      </c>
      <c r="H2074" s="73" t="s">
        <v>1482</v>
      </c>
      <c r="I2074" s="226"/>
      <c r="J2074" s="73" t="s">
        <v>1261</v>
      </c>
      <c r="K2074" s="73" t="s">
        <v>1485</v>
      </c>
      <c r="L2074" s="73" t="s">
        <v>195</v>
      </c>
      <c r="M2074" s="73" t="s">
        <v>1483</v>
      </c>
      <c r="N2074" s="73" t="s">
        <v>1483</v>
      </c>
      <c r="O2074" s="73" t="s">
        <v>1483</v>
      </c>
      <c r="P2074" s="73" t="s">
        <v>1483</v>
      </c>
      <c r="Q2074" s="73" t="s">
        <v>1483</v>
      </c>
      <c r="R2074" s="73" t="s">
        <v>1483</v>
      </c>
      <c r="S2074" s="73" t="s">
        <v>1484</v>
      </c>
      <c r="T2074" s="73" t="s">
        <v>1484</v>
      </c>
      <c r="U2074" s="73" t="s">
        <v>1484</v>
      </c>
      <c r="V2074" s="73" t="s">
        <v>1484</v>
      </c>
      <c r="W2074" s="73" t="s">
        <v>1485</v>
      </c>
      <c r="X2074" s="73" t="s">
        <v>1484</v>
      </c>
      <c r="Y2074" s="73" t="s">
        <v>1484</v>
      </c>
      <c r="Z2074" s="73" t="s">
        <v>1485</v>
      </c>
      <c r="AA2074" s="73" t="s">
        <v>1485</v>
      </c>
      <c r="AB2074" s="73" t="s">
        <v>1484</v>
      </c>
      <c r="AC2074" s="73" t="s">
        <v>1486</v>
      </c>
      <c r="AD2074" s="73" t="s">
        <v>1487</v>
      </c>
      <c r="AE2074" s="75" t="s">
        <v>1488</v>
      </c>
    </row>
    <row r="2075" spans="1:31" x14ac:dyDescent="0.3">
      <c r="A2075" s="76"/>
      <c r="B2075" s="77"/>
      <c r="C2075" s="78" t="s">
        <v>1496</v>
      </c>
      <c r="D2075" s="78" t="s">
        <v>235</v>
      </c>
      <c r="E2075" s="78" t="s">
        <v>1503</v>
      </c>
      <c r="F2075" s="200" t="s">
        <v>1495</v>
      </c>
      <c r="G2075" s="78" t="s">
        <v>1492</v>
      </c>
      <c r="H2075" s="77"/>
      <c r="I2075" s="226"/>
      <c r="J2075" s="77"/>
      <c r="K2075" s="77"/>
      <c r="L2075" s="77"/>
      <c r="M2075" s="77"/>
      <c r="N2075" s="77"/>
      <c r="O2075" s="77"/>
      <c r="P2075" s="77"/>
      <c r="Q2075" s="77"/>
      <c r="R2075" s="77"/>
      <c r="S2075" s="77"/>
      <c r="T2075" s="77"/>
      <c r="U2075" s="77"/>
      <c r="V2075" s="77"/>
      <c r="W2075" s="77"/>
      <c r="X2075" s="77"/>
      <c r="Y2075" s="77"/>
      <c r="Z2075" s="77"/>
      <c r="AA2075" s="77"/>
      <c r="AB2075" s="77"/>
      <c r="AC2075" s="77"/>
      <c r="AD2075" s="77"/>
      <c r="AE2075" s="79"/>
    </row>
    <row r="2076" spans="1:31" x14ac:dyDescent="0.3">
      <c r="A2076" s="76"/>
      <c r="B2076" s="77"/>
      <c r="C2076" s="78" t="s">
        <v>1502</v>
      </c>
      <c r="D2076" s="78" t="s">
        <v>995</v>
      </c>
      <c r="E2076" s="78" t="s">
        <v>1618</v>
      </c>
      <c r="F2076" s="78" t="s">
        <v>1680</v>
      </c>
      <c r="G2076" s="78" t="s">
        <v>1492</v>
      </c>
      <c r="H2076" s="77"/>
      <c r="I2076" s="226"/>
      <c r="J2076" s="77"/>
      <c r="K2076" s="77"/>
      <c r="L2076" s="77"/>
      <c r="M2076" s="77"/>
      <c r="N2076" s="77"/>
      <c r="O2076" s="77"/>
      <c r="P2076" s="77"/>
      <c r="Q2076" s="77"/>
      <c r="R2076" s="77"/>
      <c r="S2076" s="77"/>
      <c r="T2076" s="77"/>
      <c r="U2076" s="77"/>
      <c r="V2076" s="77"/>
      <c r="W2076" s="77"/>
      <c r="X2076" s="77"/>
      <c r="Y2076" s="77"/>
      <c r="Z2076" s="77"/>
      <c r="AA2076" s="77"/>
      <c r="AB2076" s="77"/>
      <c r="AC2076" s="77"/>
      <c r="AD2076" s="77"/>
      <c r="AE2076" s="79"/>
    </row>
    <row r="2077" spans="1:31" x14ac:dyDescent="0.3">
      <c r="A2077" s="76"/>
      <c r="B2077" s="80"/>
      <c r="C2077" s="78" t="s">
        <v>1504</v>
      </c>
      <c r="D2077" s="78" t="s">
        <v>681</v>
      </c>
      <c r="E2077" s="78" t="s">
        <v>1490</v>
      </c>
      <c r="F2077" s="78" t="s">
        <v>1528</v>
      </c>
      <c r="G2077" s="78" t="s">
        <v>1492</v>
      </c>
      <c r="H2077" s="77"/>
      <c r="I2077" s="226"/>
      <c r="J2077" s="77"/>
      <c r="K2077" s="77"/>
      <c r="L2077" s="77"/>
      <c r="M2077" s="77"/>
      <c r="N2077" s="77"/>
      <c r="O2077" s="77"/>
      <c r="P2077" s="77"/>
      <c r="Q2077" s="77"/>
      <c r="R2077" s="77"/>
      <c r="S2077" s="77"/>
      <c r="T2077" s="77"/>
      <c r="U2077" s="77"/>
      <c r="V2077" s="77"/>
      <c r="W2077" s="77"/>
      <c r="X2077" s="77"/>
      <c r="Y2077" s="77"/>
      <c r="Z2077" s="77"/>
      <c r="AA2077" s="77"/>
      <c r="AB2077" s="77"/>
      <c r="AC2077" s="77"/>
      <c r="AD2077" s="77"/>
      <c r="AE2077" s="79"/>
    </row>
    <row r="2078" spans="1:31" x14ac:dyDescent="0.3">
      <c r="A2078" s="76"/>
      <c r="B2078" s="78" t="s">
        <v>1985</v>
      </c>
      <c r="C2078" s="78" t="s">
        <v>1502</v>
      </c>
      <c r="D2078" s="78" t="s">
        <v>512</v>
      </c>
      <c r="E2078" s="78" t="s">
        <v>1986</v>
      </c>
      <c r="F2078" s="78" t="s">
        <v>1600</v>
      </c>
      <c r="G2078" s="78" t="s">
        <v>1513</v>
      </c>
      <c r="H2078" s="77"/>
      <c r="I2078" s="226"/>
      <c r="J2078" s="77"/>
      <c r="K2078" s="77"/>
      <c r="L2078" s="77"/>
      <c r="M2078" s="77"/>
      <c r="N2078" s="77"/>
      <c r="O2078" s="77"/>
      <c r="P2078" s="77"/>
      <c r="Q2078" s="77"/>
      <c r="R2078" s="77"/>
      <c r="S2078" s="77"/>
      <c r="T2078" s="77"/>
      <c r="U2078" s="77"/>
      <c r="V2078" s="77"/>
      <c r="W2078" s="77"/>
      <c r="X2078" s="77"/>
      <c r="Y2078" s="77"/>
      <c r="Z2078" s="77"/>
      <c r="AA2078" s="77"/>
      <c r="AB2078" s="77"/>
      <c r="AC2078" s="77"/>
      <c r="AD2078" s="77"/>
      <c r="AE2078" s="79"/>
    </row>
    <row r="2079" spans="1:31" x14ac:dyDescent="0.3">
      <c r="A2079" s="76"/>
      <c r="B2079" s="78" t="s">
        <v>1756</v>
      </c>
      <c r="C2079" s="78" t="s">
        <v>1499</v>
      </c>
      <c r="D2079" s="78" t="s">
        <v>235</v>
      </c>
      <c r="E2079" s="78" t="s">
        <v>1503</v>
      </c>
      <c r="F2079" s="200" t="s">
        <v>1495</v>
      </c>
      <c r="G2079" s="78" t="s">
        <v>1513</v>
      </c>
      <c r="H2079" s="77"/>
      <c r="I2079" s="226"/>
      <c r="J2079" s="77"/>
      <c r="K2079" s="77"/>
      <c r="L2079" s="77"/>
      <c r="M2079" s="77"/>
      <c r="N2079" s="77"/>
      <c r="O2079" s="77"/>
      <c r="P2079" s="77"/>
      <c r="Q2079" s="77"/>
      <c r="R2079" s="77"/>
      <c r="S2079" s="77"/>
      <c r="T2079" s="77"/>
      <c r="U2079" s="77"/>
      <c r="V2079" s="77"/>
      <c r="W2079" s="77"/>
      <c r="X2079" s="77"/>
      <c r="Y2079" s="77"/>
      <c r="Z2079" s="77"/>
      <c r="AA2079" s="77"/>
      <c r="AB2079" s="77"/>
      <c r="AC2079" s="77"/>
      <c r="AD2079" s="77"/>
      <c r="AE2079" s="79"/>
    </row>
    <row r="2080" spans="1:31" x14ac:dyDescent="0.3">
      <c r="A2080" s="76"/>
      <c r="B2080" s="78" t="s">
        <v>1696</v>
      </c>
      <c r="C2080" s="78" t="s">
        <v>1493</v>
      </c>
      <c r="D2080" s="78" t="s">
        <v>995</v>
      </c>
      <c r="E2080" s="78" t="s">
        <v>1618</v>
      </c>
      <c r="F2080" s="78" t="s">
        <v>1680</v>
      </c>
      <c r="G2080" s="78" t="s">
        <v>1513</v>
      </c>
      <c r="H2080" s="77"/>
      <c r="I2080" s="226"/>
      <c r="J2080" s="77"/>
      <c r="K2080" s="77"/>
      <c r="L2080" s="77"/>
      <c r="M2080" s="77"/>
      <c r="N2080" s="77"/>
      <c r="O2080" s="77"/>
      <c r="P2080" s="77"/>
      <c r="Q2080" s="77"/>
      <c r="R2080" s="77"/>
      <c r="S2080" s="77"/>
      <c r="T2080" s="77"/>
      <c r="U2080" s="77"/>
      <c r="V2080" s="77"/>
      <c r="W2080" s="77"/>
      <c r="X2080" s="77"/>
      <c r="Y2080" s="77"/>
      <c r="Z2080" s="77"/>
      <c r="AA2080" s="77"/>
      <c r="AB2080" s="77"/>
      <c r="AC2080" s="77"/>
      <c r="AD2080" s="77"/>
      <c r="AE2080" s="79"/>
    </row>
    <row r="2081" spans="1:31" ht="15" thickBot="1" x14ac:dyDescent="0.35">
      <c r="A2081" s="81"/>
      <c r="B2081" s="82" t="s">
        <v>1540</v>
      </c>
      <c r="C2081" s="82" t="s">
        <v>1493</v>
      </c>
      <c r="D2081" s="82" t="s">
        <v>681</v>
      </c>
      <c r="E2081" s="82" t="s">
        <v>1490</v>
      </c>
      <c r="F2081" s="82" t="s">
        <v>1528</v>
      </c>
      <c r="G2081" s="82" t="s">
        <v>1513</v>
      </c>
      <c r="H2081" s="83"/>
      <c r="I2081" s="227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83"/>
      <c r="V2081" s="83"/>
      <c r="W2081" s="83"/>
      <c r="X2081" s="83"/>
      <c r="Y2081" s="83"/>
      <c r="Z2081" s="83"/>
      <c r="AA2081" s="83"/>
      <c r="AB2081" s="83"/>
      <c r="AC2081" s="83"/>
      <c r="AD2081" s="83"/>
      <c r="AE2081" s="84"/>
    </row>
    <row r="2082" spans="1:31" x14ac:dyDescent="0.3">
      <c r="A2082" s="72" t="s">
        <v>1266</v>
      </c>
      <c r="B2082" s="73" t="s">
        <v>2235</v>
      </c>
      <c r="C2082" s="74" t="s">
        <v>1479</v>
      </c>
      <c r="D2082" s="74" t="s">
        <v>1267</v>
      </c>
      <c r="E2082" s="74" t="s">
        <v>1480</v>
      </c>
      <c r="F2082" s="74"/>
      <c r="G2082" s="74" t="s">
        <v>1481</v>
      </c>
      <c r="H2082" s="73" t="s">
        <v>1482</v>
      </c>
      <c r="I2082" s="225" t="s">
        <v>1485</v>
      </c>
      <c r="J2082" s="73" t="s">
        <v>1265</v>
      </c>
      <c r="K2082" s="73" t="s">
        <v>1485</v>
      </c>
      <c r="L2082" s="73" t="s">
        <v>195</v>
      </c>
      <c r="M2082" s="73" t="s">
        <v>1483</v>
      </c>
      <c r="N2082" s="73" t="s">
        <v>1483</v>
      </c>
      <c r="O2082" s="73" t="s">
        <v>1483</v>
      </c>
      <c r="P2082" s="73" t="s">
        <v>1483</v>
      </c>
      <c r="Q2082" s="73" t="s">
        <v>1483</v>
      </c>
      <c r="R2082" s="73" t="s">
        <v>1483</v>
      </c>
      <c r="S2082" s="73" t="s">
        <v>1484</v>
      </c>
      <c r="T2082" s="73" t="s">
        <v>1484</v>
      </c>
      <c r="U2082" s="73" t="s">
        <v>1484</v>
      </c>
      <c r="V2082" s="73" t="s">
        <v>1484</v>
      </c>
      <c r="W2082" s="73" t="s">
        <v>1485</v>
      </c>
      <c r="X2082" s="73" t="s">
        <v>1484</v>
      </c>
      <c r="Y2082" s="73" t="s">
        <v>1484</v>
      </c>
      <c r="Z2082" s="73" t="s">
        <v>1485</v>
      </c>
      <c r="AA2082" s="73" t="s">
        <v>1485</v>
      </c>
      <c r="AB2082" s="73" t="s">
        <v>1484</v>
      </c>
      <c r="AC2082" s="73" t="s">
        <v>1486</v>
      </c>
      <c r="AD2082" s="73" t="s">
        <v>1487</v>
      </c>
      <c r="AE2082" s="75" t="s">
        <v>1488</v>
      </c>
    </row>
    <row r="2083" spans="1:31" x14ac:dyDescent="0.3">
      <c r="A2083" s="76"/>
      <c r="B2083" s="77"/>
      <c r="C2083" s="78" t="s">
        <v>1489</v>
      </c>
      <c r="D2083" s="78" t="s">
        <v>701</v>
      </c>
      <c r="E2083" s="78" t="s">
        <v>1667</v>
      </c>
      <c r="F2083" s="78" t="s">
        <v>1565</v>
      </c>
      <c r="G2083" s="78" t="s">
        <v>1492</v>
      </c>
      <c r="H2083" s="77"/>
      <c r="I2083" s="226"/>
      <c r="J2083" s="77"/>
      <c r="K2083" s="77"/>
      <c r="L2083" s="77"/>
      <c r="M2083" s="77"/>
      <c r="N2083" s="77"/>
      <c r="O2083" s="77"/>
      <c r="P2083" s="77"/>
      <c r="Q2083" s="77"/>
      <c r="R2083" s="77"/>
      <c r="S2083" s="77"/>
      <c r="T2083" s="77"/>
      <c r="U2083" s="77"/>
      <c r="V2083" s="77"/>
      <c r="W2083" s="77"/>
      <c r="X2083" s="77"/>
      <c r="Y2083" s="77"/>
      <c r="Z2083" s="77"/>
      <c r="AA2083" s="77"/>
      <c r="AB2083" s="77"/>
      <c r="AC2083" s="77"/>
      <c r="AD2083" s="77"/>
      <c r="AE2083" s="79"/>
    </row>
    <row r="2084" spans="1:31" x14ac:dyDescent="0.3">
      <c r="A2084" s="76"/>
      <c r="B2084" s="77"/>
      <c r="C2084" s="78" t="s">
        <v>1496</v>
      </c>
      <c r="D2084" s="78" t="s">
        <v>252</v>
      </c>
      <c r="E2084" s="78" t="s">
        <v>1503</v>
      </c>
      <c r="F2084" s="78" t="s">
        <v>1495</v>
      </c>
      <c r="G2084" s="78" t="s">
        <v>1492</v>
      </c>
      <c r="H2084" s="77"/>
      <c r="I2084" s="226"/>
      <c r="J2084" s="77"/>
      <c r="K2084" s="77"/>
      <c r="L2084" s="77"/>
      <c r="M2084" s="77"/>
      <c r="N2084" s="77"/>
      <c r="O2084" s="77"/>
      <c r="P2084" s="77"/>
      <c r="Q2084" s="77"/>
      <c r="R2084" s="77"/>
      <c r="S2084" s="77"/>
      <c r="T2084" s="77"/>
      <c r="U2084" s="77"/>
      <c r="V2084" s="77"/>
      <c r="W2084" s="77"/>
      <c r="X2084" s="77"/>
      <c r="Y2084" s="77"/>
      <c r="Z2084" s="77"/>
      <c r="AA2084" s="77"/>
      <c r="AB2084" s="77"/>
      <c r="AC2084" s="77"/>
      <c r="AD2084" s="77"/>
      <c r="AE2084" s="79"/>
    </row>
    <row r="2085" spans="1:31" ht="15" thickBot="1" x14ac:dyDescent="0.35">
      <c r="A2085" s="76"/>
      <c r="B2085" s="80"/>
      <c r="C2085" s="78" t="s">
        <v>1504</v>
      </c>
      <c r="D2085" s="78" t="s">
        <v>948</v>
      </c>
      <c r="E2085" s="78" t="s">
        <v>1490</v>
      </c>
      <c r="F2085" s="78" t="s">
        <v>1491</v>
      </c>
      <c r="G2085" s="78" t="s">
        <v>1492</v>
      </c>
      <c r="H2085" s="77"/>
      <c r="I2085" s="227"/>
      <c r="J2085" s="77"/>
      <c r="K2085" s="77"/>
      <c r="L2085" s="77"/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  <c r="X2085" s="77"/>
      <c r="Y2085" s="77"/>
      <c r="Z2085" s="77"/>
      <c r="AA2085" s="77"/>
      <c r="AB2085" s="77"/>
      <c r="AC2085" s="77"/>
      <c r="AD2085" s="77"/>
      <c r="AE2085" s="79"/>
    </row>
    <row r="2086" spans="1:31" x14ac:dyDescent="0.3">
      <c r="A2086" s="76"/>
      <c r="B2086" s="78" t="s">
        <v>1613</v>
      </c>
      <c r="C2086" s="78" t="s">
        <v>1496</v>
      </c>
      <c r="D2086" s="78" t="s">
        <v>252</v>
      </c>
      <c r="E2086" s="78" t="s">
        <v>1503</v>
      </c>
      <c r="F2086" s="78" t="s">
        <v>1495</v>
      </c>
      <c r="G2086" s="78" t="s">
        <v>1513</v>
      </c>
      <c r="H2086" s="77"/>
      <c r="I2086" s="225" t="s">
        <v>1485</v>
      </c>
      <c r="J2086" s="77"/>
      <c r="K2086" s="77"/>
      <c r="L2086" s="77"/>
      <c r="M2086" s="77"/>
      <c r="N2086" s="77"/>
      <c r="O2086" s="77"/>
      <c r="P2086" s="77"/>
      <c r="Q2086" s="77"/>
      <c r="R2086" s="77"/>
      <c r="S2086" s="77"/>
      <c r="T2086" s="77"/>
      <c r="U2086" s="77"/>
      <c r="V2086" s="77"/>
      <c r="W2086" s="77"/>
      <c r="X2086" s="77"/>
      <c r="Y2086" s="77"/>
      <c r="Z2086" s="77"/>
      <c r="AA2086" s="77"/>
      <c r="AB2086" s="77"/>
      <c r="AC2086" s="77"/>
      <c r="AD2086" s="77"/>
      <c r="AE2086" s="79"/>
    </row>
    <row r="2087" spans="1:31" x14ac:dyDescent="0.3">
      <c r="A2087" s="76"/>
      <c r="B2087" s="78" t="s">
        <v>1523</v>
      </c>
      <c r="C2087" s="78" t="s">
        <v>1496</v>
      </c>
      <c r="D2087" s="78" t="s">
        <v>948</v>
      </c>
      <c r="E2087" s="78" t="s">
        <v>1490</v>
      </c>
      <c r="F2087" s="78" t="s">
        <v>1491</v>
      </c>
      <c r="G2087" s="78" t="s">
        <v>1513</v>
      </c>
      <c r="H2087" s="77"/>
      <c r="I2087" s="226"/>
      <c r="J2087" s="77"/>
      <c r="K2087" s="77"/>
      <c r="L2087" s="77"/>
      <c r="M2087" s="77"/>
      <c r="N2087" s="77"/>
      <c r="O2087" s="77"/>
      <c r="P2087" s="77"/>
      <c r="Q2087" s="77"/>
      <c r="R2087" s="77"/>
      <c r="S2087" s="77"/>
      <c r="T2087" s="77"/>
      <c r="U2087" s="77"/>
      <c r="V2087" s="77"/>
      <c r="W2087" s="77"/>
      <c r="X2087" s="77"/>
      <c r="Y2087" s="77"/>
      <c r="Z2087" s="77"/>
      <c r="AA2087" s="77"/>
      <c r="AB2087" s="77"/>
      <c r="AC2087" s="77"/>
      <c r="AD2087" s="77"/>
      <c r="AE2087" s="79"/>
    </row>
    <row r="2088" spans="1:31" ht="15" thickBot="1" x14ac:dyDescent="0.35">
      <c r="A2088" s="81"/>
      <c r="B2088" s="82" t="s">
        <v>1678</v>
      </c>
      <c r="C2088" s="82" t="s">
        <v>1496</v>
      </c>
      <c r="D2088" s="82" t="s">
        <v>701</v>
      </c>
      <c r="E2088" s="82" t="s">
        <v>1667</v>
      </c>
      <c r="F2088" s="82" t="s">
        <v>1565</v>
      </c>
      <c r="G2088" s="82" t="s">
        <v>1513</v>
      </c>
      <c r="H2088" s="83"/>
      <c r="I2088" s="226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83"/>
      <c r="V2088" s="83"/>
      <c r="W2088" s="83"/>
      <c r="X2088" s="83"/>
      <c r="Y2088" s="83"/>
      <c r="Z2088" s="83"/>
      <c r="AA2088" s="83"/>
      <c r="AB2088" s="83"/>
      <c r="AC2088" s="83"/>
      <c r="AD2088" s="83"/>
      <c r="AE2088" s="84"/>
    </row>
    <row r="2089" spans="1:31" x14ac:dyDescent="0.3">
      <c r="A2089" s="72" t="s">
        <v>1270</v>
      </c>
      <c r="B2089" s="73" t="s">
        <v>2236</v>
      </c>
      <c r="C2089" s="74" t="s">
        <v>1479</v>
      </c>
      <c r="D2089" s="74" t="s">
        <v>1271</v>
      </c>
      <c r="E2089" s="74" t="s">
        <v>1480</v>
      </c>
      <c r="F2089" s="74"/>
      <c r="G2089" s="74" t="s">
        <v>1481</v>
      </c>
      <c r="H2089" s="73" t="s">
        <v>1575</v>
      </c>
      <c r="I2089" s="226"/>
      <c r="J2089" s="73" t="s">
        <v>1269</v>
      </c>
      <c r="K2089" s="73" t="s">
        <v>1485</v>
      </c>
      <c r="L2089" s="73" t="s">
        <v>195</v>
      </c>
      <c r="M2089" s="73" t="s">
        <v>1483</v>
      </c>
      <c r="N2089" s="73" t="s">
        <v>1483</v>
      </c>
      <c r="O2089" s="73" t="s">
        <v>2655</v>
      </c>
      <c r="P2089" s="73" t="s">
        <v>2655</v>
      </c>
      <c r="Q2089" s="73" t="s">
        <v>2655</v>
      </c>
      <c r="R2089" s="73" t="s">
        <v>2655</v>
      </c>
      <c r="S2089" s="73" t="s">
        <v>1484</v>
      </c>
      <c r="T2089" s="73" t="s">
        <v>1484</v>
      </c>
      <c r="U2089" s="73" t="s">
        <v>1484</v>
      </c>
      <c r="V2089" s="73" t="s">
        <v>1484</v>
      </c>
      <c r="W2089" s="73" t="s">
        <v>1485</v>
      </c>
      <c r="X2089" s="73" t="s">
        <v>1484</v>
      </c>
      <c r="Y2089" s="73" t="s">
        <v>1484</v>
      </c>
      <c r="Z2089" s="73" t="s">
        <v>1484</v>
      </c>
      <c r="AA2089" s="73" t="s">
        <v>1485</v>
      </c>
      <c r="AB2089" s="73" t="s">
        <v>1484</v>
      </c>
      <c r="AC2089" s="73" t="s">
        <v>1486</v>
      </c>
      <c r="AD2089" s="73" t="s">
        <v>1487</v>
      </c>
      <c r="AE2089" s="75" t="s">
        <v>1579</v>
      </c>
    </row>
    <row r="2090" spans="1:31" x14ac:dyDescent="0.3">
      <c r="A2090" s="76"/>
      <c r="B2090" s="77"/>
      <c r="C2090" s="78" t="s">
        <v>1496</v>
      </c>
      <c r="D2090" s="78" t="s">
        <v>273</v>
      </c>
      <c r="E2090" s="78" t="s">
        <v>1503</v>
      </c>
      <c r="F2090" s="78" t="s">
        <v>1495</v>
      </c>
      <c r="G2090" s="78" t="s">
        <v>1492</v>
      </c>
      <c r="H2090" s="77"/>
      <c r="I2090" s="226"/>
      <c r="J2090" s="77"/>
      <c r="K2090" s="77"/>
      <c r="L2090" s="77"/>
      <c r="M2090" s="77"/>
      <c r="N2090" s="77"/>
      <c r="O2090" s="77"/>
      <c r="P2090" s="77"/>
      <c r="Q2090" s="77"/>
      <c r="R2090" s="77"/>
      <c r="S2090" s="77"/>
      <c r="T2090" s="77"/>
      <c r="U2090" s="77"/>
      <c r="V2090" s="77"/>
      <c r="W2090" s="77"/>
      <c r="X2090" s="77"/>
      <c r="Y2090" s="77"/>
      <c r="Z2090" s="77"/>
      <c r="AA2090" s="77"/>
      <c r="AB2090" s="77"/>
      <c r="AC2090" s="77"/>
      <c r="AD2090" s="77"/>
      <c r="AE2090" s="79"/>
    </row>
    <row r="2091" spans="1:31" x14ac:dyDescent="0.3">
      <c r="A2091" s="76"/>
      <c r="B2091" s="77"/>
      <c r="C2091" s="78" t="s">
        <v>1499</v>
      </c>
      <c r="D2091" s="78" t="s">
        <v>158</v>
      </c>
      <c r="E2091" s="78" t="s">
        <v>1500</v>
      </c>
      <c r="F2091" s="78" t="s">
        <v>1501</v>
      </c>
      <c r="G2091" s="78" t="s">
        <v>1492</v>
      </c>
      <c r="H2091" s="77"/>
      <c r="I2091" s="226"/>
      <c r="J2091" s="77"/>
      <c r="K2091" s="77"/>
      <c r="L2091" s="77"/>
      <c r="M2091" s="77"/>
      <c r="N2091" s="77"/>
      <c r="O2091" s="77"/>
      <c r="P2091" s="77"/>
      <c r="Q2091" s="77"/>
      <c r="R2091" s="77"/>
      <c r="S2091" s="77"/>
      <c r="T2091" s="77"/>
      <c r="U2091" s="77"/>
      <c r="V2091" s="77"/>
      <c r="W2091" s="77"/>
      <c r="X2091" s="77"/>
      <c r="Y2091" s="77"/>
      <c r="Z2091" s="77"/>
      <c r="AA2091" s="77"/>
      <c r="AB2091" s="77"/>
      <c r="AC2091" s="77"/>
      <c r="AD2091" s="77"/>
      <c r="AE2091" s="79"/>
    </row>
    <row r="2092" spans="1:31" x14ac:dyDescent="0.3">
      <c r="A2092" s="76"/>
      <c r="B2092" s="77"/>
      <c r="C2092" s="78" t="s">
        <v>1502</v>
      </c>
      <c r="D2092" s="78" t="s">
        <v>166</v>
      </c>
      <c r="E2092" s="78" t="s">
        <v>1505</v>
      </c>
      <c r="F2092" s="78" t="s">
        <v>1631</v>
      </c>
      <c r="G2092" s="78" t="s">
        <v>1492</v>
      </c>
      <c r="H2092" s="77"/>
      <c r="I2092" s="226"/>
      <c r="J2092" s="77"/>
      <c r="K2092" s="77"/>
      <c r="L2092" s="77"/>
      <c r="M2092" s="77"/>
      <c r="N2092" s="77"/>
      <c r="O2092" s="77"/>
      <c r="P2092" s="77"/>
      <c r="Q2092" s="77"/>
      <c r="R2092" s="77"/>
      <c r="S2092" s="77"/>
      <c r="T2092" s="77"/>
      <c r="U2092" s="77"/>
      <c r="V2092" s="77"/>
      <c r="W2092" s="77"/>
      <c r="X2092" s="77"/>
      <c r="Y2092" s="77"/>
      <c r="Z2092" s="77"/>
      <c r="AA2092" s="77"/>
      <c r="AB2092" s="77"/>
      <c r="AC2092" s="77"/>
      <c r="AD2092" s="77"/>
      <c r="AE2092" s="79"/>
    </row>
    <row r="2093" spans="1:31" x14ac:dyDescent="0.3">
      <c r="A2093" s="76"/>
      <c r="B2093" s="77"/>
      <c r="C2093" s="78" t="s">
        <v>1504</v>
      </c>
      <c r="D2093" s="78" t="s">
        <v>983</v>
      </c>
      <c r="E2093" s="78" t="s">
        <v>1490</v>
      </c>
      <c r="F2093" s="78" t="s">
        <v>1680</v>
      </c>
      <c r="G2093" s="78" t="s">
        <v>1492</v>
      </c>
      <c r="H2093" s="77"/>
      <c r="I2093" s="226"/>
      <c r="J2093" s="77"/>
      <c r="K2093" s="77"/>
      <c r="L2093" s="77"/>
      <c r="M2093" s="77"/>
      <c r="N2093" s="77"/>
      <c r="O2093" s="77"/>
      <c r="P2093" s="77"/>
      <c r="Q2093" s="77"/>
      <c r="R2093" s="77"/>
      <c r="S2093" s="77"/>
      <c r="T2093" s="77"/>
      <c r="U2093" s="77"/>
      <c r="V2093" s="77"/>
      <c r="W2093" s="77"/>
      <c r="X2093" s="77"/>
      <c r="Y2093" s="77"/>
      <c r="Z2093" s="77"/>
      <c r="AA2093" s="77"/>
      <c r="AB2093" s="77"/>
      <c r="AC2093" s="77"/>
      <c r="AD2093" s="77"/>
      <c r="AE2093" s="79"/>
    </row>
    <row r="2094" spans="1:31" x14ac:dyDescent="0.3">
      <c r="A2094" s="76"/>
      <c r="B2094" s="80"/>
      <c r="C2094" s="78" t="s">
        <v>1507</v>
      </c>
      <c r="D2094" s="78" t="s">
        <v>1272</v>
      </c>
      <c r="E2094" s="78" t="s">
        <v>1961</v>
      </c>
      <c r="F2094" s="78" t="s">
        <v>2097</v>
      </c>
      <c r="G2094" s="78" t="s">
        <v>1492</v>
      </c>
      <c r="H2094" s="77"/>
      <c r="I2094" s="226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U2094" s="77"/>
      <c r="V2094" s="77"/>
      <c r="W2094" s="77"/>
      <c r="X2094" s="77"/>
      <c r="Y2094" s="77"/>
      <c r="Z2094" s="77"/>
      <c r="AA2094" s="77"/>
      <c r="AB2094" s="77"/>
      <c r="AC2094" s="77"/>
      <c r="AD2094" s="77"/>
      <c r="AE2094" s="79"/>
    </row>
    <row r="2095" spans="1:31" ht="15" thickBot="1" x14ac:dyDescent="0.35">
      <c r="A2095" s="76"/>
      <c r="B2095" s="78" t="s">
        <v>1625</v>
      </c>
      <c r="C2095" s="78" t="s">
        <v>1499</v>
      </c>
      <c r="D2095" s="78" t="s">
        <v>273</v>
      </c>
      <c r="E2095" s="78" t="s">
        <v>1503</v>
      </c>
      <c r="F2095" s="78" t="s">
        <v>1495</v>
      </c>
      <c r="G2095" s="78" t="s">
        <v>1513</v>
      </c>
      <c r="H2095" s="77"/>
      <c r="I2095" s="227"/>
      <c r="J2095" s="77"/>
      <c r="K2095" s="77"/>
      <c r="L2095" s="77"/>
      <c r="M2095" s="77"/>
      <c r="N2095" s="77"/>
      <c r="O2095" s="77"/>
      <c r="P2095" s="77"/>
      <c r="Q2095" s="77"/>
      <c r="R2095" s="77"/>
      <c r="S2095" s="77"/>
      <c r="T2095" s="77"/>
      <c r="U2095" s="77"/>
      <c r="V2095" s="77"/>
      <c r="W2095" s="77"/>
      <c r="X2095" s="77"/>
      <c r="Y2095" s="77"/>
      <c r="Z2095" s="77"/>
      <c r="AA2095" s="77"/>
      <c r="AB2095" s="77"/>
      <c r="AC2095" s="77"/>
      <c r="AD2095" s="77"/>
      <c r="AE2095" s="79"/>
    </row>
    <row r="2096" spans="1:31" x14ac:dyDescent="0.3">
      <c r="A2096" s="76"/>
      <c r="B2096" s="78" t="s">
        <v>1636</v>
      </c>
      <c r="C2096" s="78" t="s">
        <v>1586</v>
      </c>
      <c r="D2096" s="78" t="s">
        <v>158</v>
      </c>
      <c r="E2096" s="78" t="s">
        <v>1500</v>
      </c>
      <c r="F2096" s="78" t="s">
        <v>1501</v>
      </c>
      <c r="G2096" s="78" t="s">
        <v>1513</v>
      </c>
      <c r="H2096" s="77"/>
      <c r="I2096" s="225" t="s">
        <v>1485</v>
      </c>
      <c r="J2096" s="77"/>
      <c r="K2096" s="77"/>
      <c r="L2096" s="77"/>
      <c r="M2096" s="77"/>
      <c r="N2096" s="77"/>
      <c r="O2096" s="77"/>
      <c r="P2096" s="77"/>
      <c r="Q2096" s="77"/>
      <c r="R2096" s="77"/>
      <c r="S2096" s="77"/>
      <c r="T2096" s="77"/>
      <c r="U2096" s="77"/>
      <c r="V2096" s="77"/>
      <c r="W2096" s="77"/>
      <c r="X2096" s="77"/>
      <c r="Y2096" s="77"/>
      <c r="Z2096" s="77"/>
      <c r="AA2096" s="77"/>
      <c r="AB2096" s="77"/>
      <c r="AC2096" s="77"/>
      <c r="AD2096" s="77"/>
      <c r="AE2096" s="79"/>
    </row>
    <row r="2097" spans="1:31" x14ac:dyDescent="0.3">
      <c r="A2097" s="76"/>
      <c r="B2097" s="78" t="s">
        <v>1666</v>
      </c>
      <c r="C2097" s="78" t="s">
        <v>1496</v>
      </c>
      <c r="D2097" s="78" t="s">
        <v>689</v>
      </c>
      <c r="E2097" s="78" t="s">
        <v>1667</v>
      </c>
      <c r="F2097" s="78" t="s">
        <v>1558</v>
      </c>
      <c r="G2097" s="78" t="s">
        <v>1513</v>
      </c>
      <c r="H2097" s="77"/>
      <c r="I2097" s="226"/>
      <c r="J2097" s="77"/>
      <c r="K2097" s="77"/>
      <c r="L2097" s="77"/>
      <c r="M2097" s="77"/>
      <c r="N2097" s="77"/>
      <c r="O2097" s="77"/>
      <c r="P2097" s="77"/>
      <c r="Q2097" s="77"/>
      <c r="R2097" s="77"/>
      <c r="S2097" s="77"/>
      <c r="T2097" s="77"/>
      <c r="U2097" s="77"/>
      <c r="V2097" s="77"/>
      <c r="W2097" s="77"/>
      <c r="X2097" s="77"/>
      <c r="Y2097" s="77"/>
      <c r="Z2097" s="77"/>
      <c r="AA2097" s="77"/>
      <c r="AB2097" s="77"/>
      <c r="AC2097" s="77"/>
      <c r="AD2097" s="77"/>
      <c r="AE2097" s="79"/>
    </row>
    <row r="2098" spans="1:31" x14ac:dyDescent="0.3">
      <c r="A2098" s="76"/>
      <c r="B2098" s="78" t="s">
        <v>1754</v>
      </c>
      <c r="C2098" s="78" t="s">
        <v>1499</v>
      </c>
      <c r="D2098" s="78" t="s">
        <v>166</v>
      </c>
      <c r="E2098" s="78" t="s">
        <v>1505</v>
      </c>
      <c r="F2098" s="78" t="s">
        <v>1631</v>
      </c>
      <c r="G2098" s="78" t="s">
        <v>1513</v>
      </c>
      <c r="H2098" s="77"/>
      <c r="I2098" s="226"/>
      <c r="J2098" s="77"/>
      <c r="K2098" s="77"/>
      <c r="L2098" s="77"/>
      <c r="M2098" s="77"/>
      <c r="N2098" s="77"/>
      <c r="O2098" s="77"/>
      <c r="P2098" s="77"/>
      <c r="Q2098" s="77"/>
      <c r="R2098" s="77"/>
      <c r="S2098" s="77"/>
      <c r="T2098" s="77"/>
      <c r="U2098" s="77"/>
      <c r="V2098" s="77"/>
      <c r="W2098" s="77"/>
      <c r="X2098" s="77"/>
      <c r="Y2098" s="77"/>
      <c r="Z2098" s="77"/>
      <c r="AA2098" s="77"/>
      <c r="AB2098" s="77"/>
      <c r="AC2098" s="77"/>
      <c r="AD2098" s="77"/>
      <c r="AE2098" s="79"/>
    </row>
    <row r="2099" spans="1:31" ht="15" thickBot="1" x14ac:dyDescent="0.35">
      <c r="A2099" s="81"/>
      <c r="B2099" s="82" t="s">
        <v>1705</v>
      </c>
      <c r="C2099" s="82" t="s">
        <v>1493</v>
      </c>
      <c r="D2099" s="82" t="s">
        <v>983</v>
      </c>
      <c r="E2099" s="82" t="s">
        <v>1490</v>
      </c>
      <c r="F2099" s="82" t="s">
        <v>1680</v>
      </c>
      <c r="G2099" s="82" t="s">
        <v>1513</v>
      </c>
      <c r="H2099" s="83"/>
      <c r="I2099" s="226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83"/>
      <c r="V2099" s="83"/>
      <c r="W2099" s="83"/>
      <c r="X2099" s="83"/>
      <c r="Y2099" s="83"/>
      <c r="Z2099" s="83"/>
      <c r="AA2099" s="83"/>
      <c r="AB2099" s="83"/>
      <c r="AC2099" s="83"/>
      <c r="AD2099" s="83"/>
      <c r="AE2099" s="84"/>
    </row>
    <row r="2100" spans="1:31" x14ac:dyDescent="0.3">
      <c r="A2100" s="72" t="s">
        <v>1275</v>
      </c>
      <c r="B2100" s="73" t="s">
        <v>2237</v>
      </c>
      <c r="C2100" s="74" t="s">
        <v>1479</v>
      </c>
      <c r="D2100" s="74" t="s">
        <v>1276</v>
      </c>
      <c r="E2100" s="74" t="s">
        <v>1480</v>
      </c>
      <c r="F2100" s="74"/>
      <c r="G2100" s="74" t="s">
        <v>1481</v>
      </c>
      <c r="H2100" s="73" t="s">
        <v>1575</v>
      </c>
      <c r="I2100" s="226"/>
      <c r="J2100" s="73" t="s">
        <v>1274</v>
      </c>
      <c r="K2100" s="73" t="s">
        <v>1485</v>
      </c>
      <c r="L2100" s="73" t="s">
        <v>195</v>
      </c>
      <c r="M2100" s="73" t="s">
        <v>1483</v>
      </c>
      <c r="N2100" s="73" t="s">
        <v>1483</v>
      </c>
      <c r="O2100" s="73" t="s">
        <v>1483</v>
      </c>
      <c r="P2100" s="73" t="s">
        <v>1483</v>
      </c>
      <c r="Q2100" s="73" t="s">
        <v>1483</v>
      </c>
      <c r="R2100" s="73" t="s">
        <v>1483</v>
      </c>
      <c r="S2100" s="73" t="s">
        <v>1484</v>
      </c>
      <c r="T2100" s="73" t="s">
        <v>1484</v>
      </c>
      <c r="U2100" s="73" t="s">
        <v>1484</v>
      </c>
      <c r="V2100" s="73" t="s">
        <v>1484</v>
      </c>
      <c r="W2100" s="73" t="s">
        <v>1485</v>
      </c>
      <c r="X2100" s="73" t="s">
        <v>1484</v>
      </c>
      <c r="Y2100" s="73" t="s">
        <v>1484</v>
      </c>
      <c r="Z2100" s="73" t="s">
        <v>1484</v>
      </c>
      <c r="AA2100" s="73" t="s">
        <v>1485</v>
      </c>
      <c r="AB2100" s="73" t="s">
        <v>1484</v>
      </c>
      <c r="AC2100" s="73" t="s">
        <v>1486</v>
      </c>
      <c r="AD2100" s="73" t="s">
        <v>1487</v>
      </c>
      <c r="AE2100" s="75" t="s">
        <v>1579</v>
      </c>
    </row>
    <row r="2101" spans="1:31" x14ac:dyDescent="0.3">
      <c r="A2101" s="76"/>
      <c r="B2101" s="77"/>
      <c r="C2101" s="78" t="s">
        <v>1489</v>
      </c>
      <c r="D2101" s="78" t="s">
        <v>313</v>
      </c>
      <c r="E2101" s="78" t="s">
        <v>1948</v>
      </c>
      <c r="F2101" s="78" t="s">
        <v>1611</v>
      </c>
      <c r="G2101" s="78" t="s">
        <v>1492</v>
      </c>
      <c r="H2101" s="77"/>
      <c r="I2101" s="226"/>
      <c r="J2101" s="77"/>
      <c r="K2101" s="77"/>
      <c r="L2101" s="77"/>
      <c r="M2101" s="77"/>
      <c r="N2101" s="77"/>
      <c r="O2101" s="77"/>
      <c r="P2101" s="77"/>
      <c r="Q2101" s="77"/>
      <c r="R2101" s="77"/>
      <c r="S2101" s="77"/>
      <c r="T2101" s="77"/>
      <c r="U2101" s="77"/>
      <c r="V2101" s="77"/>
      <c r="W2101" s="77"/>
      <c r="X2101" s="77"/>
      <c r="Y2101" s="77"/>
      <c r="Z2101" s="77"/>
      <c r="AA2101" s="77"/>
      <c r="AB2101" s="77"/>
      <c r="AC2101" s="77"/>
      <c r="AD2101" s="77"/>
      <c r="AE2101" s="79"/>
    </row>
    <row r="2102" spans="1:31" x14ac:dyDescent="0.3">
      <c r="A2102" s="76"/>
      <c r="B2102" s="77"/>
      <c r="C2102" s="78" t="s">
        <v>1496</v>
      </c>
      <c r="D2102" s="78" t="s">
        <v>279</v>
      </c>
      <c r="E2102" s="78" t="s">
        <v>1503</v>
      </c>
      <c r="F2102" s="78" t="s">
        <v>1495</v>
      </c>
      <c r="G2102" s="78" t="s">
        <v>1492</v>
      </c>
      <c r="H2102" s="77"/>
      <c r="I2102" s="226"/>
      <c r="J2102" s="77"/>
      <c r="K2102" s="77"/>
      <c r="L2102" s="77"/>
      <c r="M2102" s="77"/>
      <c r="N2102" s="77"/>
      <c r="O2102" s="77"/>
      <c r="P2102" s="77"/>
      <c r="Q2102" s="77"/>
      <c r="R2102" s="77"/>
      <c r="S2102" s="77"/>
      <c r="T2102" s="77"/>
      <c r="U2102" s="77"/>
      <c r="V2102" s="77"/>
      <c r="W2102" s="77"/>
      <c r="X2102" s="77"/>
      <c r="Y2102" s="77"/>
      <c r="Z2102" s="77"/>
      <c r="AA2102" s="77"/>
      <c r="AB2102" s="77"/>
      <c r="AC2102" s="77"/>
      <c r="AD2102" s="77"/>
      <c r="AE2102" s="79"/>
    </row>
    <row r="2103" spans="1:31" ht="15" thickBot="1" x14ac:dyDescent="0.35">
      <c r="A2103" s="76"/>
      <c r="B2103" s="77"/>
      <c r="C2103" s="78" t="s">
        <v>1499</v>
      </c>
      <c r="D2103" s="78" t="s">
        <v>536</v>
      </c>
      <c r="E2103" s="78" t="s">
        <v>1548</v>
      </c>
      <c r="F2103" s="78" t="s">
        <v>1791</v>
      </c>
      <c r="G2103" s="78" t="s">
        <v>1492</v>
      </c>
      <c r="H2103" s="77"/>
      <c r="I2103" s="227"/>
      <c r="J2103" s="77"/>
      <c r="K2103" s="77"/>
      <c r="L2103" s="77"/>
      <c r="M2103" s="77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  <c r="AA2103" s="77"/>
      <c r="AB2103" s="77"/>
      <c r="AC2103" s="77"/>
      <c r="AD2103" s="77"/>
      <c r="AE2103" s="79"/>
    </row>
    <row r="2104" spans="1:31" x14ac:dyDescent="0.3">
      <c r="A2104" s="76"/>
      <c r="B2104" s="77"/>
      <c r="C2104" s="78" t="s">
        <v>1502</v>
      </c>
      <c r="D2104" s="78" t="s">
        <v>380</v>
      </c>
      <c r="E2104" s="78" t="s">
        <v>1595</v>
      </c>
      <c r="F2104" s="78" t="s">
        <v>1528</v>
      </c>
      <c r="G2104" s="78" t="s">
        <v>1492</v>
      </c>
      <c r="H2104" s="77"/>
      <c r="I2104" s="225" t="s">
        <v>1485</v>
      </c>
      <c r="J2104" s="77"/>
      <c r="K2104" s="77"/>
      <c r="L2104" s="77"/>
      <c r="M2104" s="77"/>
      <c r="N2104" s="77"/>
      <c r="O2104" s="77"/>
      <c r="P2104" s="77"/>
      <c r="Q2104" s="77"/>
      <c r="R2104" s="77"/>
      <c r="S2104" s="77"/>
      <c r="T2104" s="77"/>
      <c r="U2104" s="77"/>
      <c r="V2104" s="77"/>
      <c r="W2104" s="77"/>
      <c r="X2104" s="77"/>
      <c r="Y2104" s="77"/>
      <c r="Z2104" s="77"/>
      <c r="AA2104" s="77"/>
      <c r="AB2104" s="77"/>
      <c r="AC2104" s="77"/>
      <c r="AD2104" s="77"/>
      <c r="AE2104" s="79"/>
    </row>
    <row r="2105" spans="1:31" x14ac:dyDescent="0.3">
      <c r="A2105" s="76"/>
      <c r="B2105" s="80"/>
      <c r="C2105" s="78" t="s">
        <v>1507</v>
      </c>
      <c r="D2105" s="78" t="s">
        <v>246</v>
      </c>
      <c r="E2105" s="78" t="s">
        <v>1500</v>
      </c>
      <c r="F2105" s="78" t="s">
        <v>1501</v>
      </c>
      <c r="G2105" s="78" t="s">
        <v>1492</v>
      </c>
      <c r="H2105" s="77"/>
      <c r="I2105" s="226"/>
      <c r="J2105" s="77"/>
      <c r="K2105" s="77"/>
      <c r="L2105" s="77"/>
      <c r="M2105" s="77"/>
      <c r="N2105" s="77"/>
      <c r="O2105" s="77"/>
      <c r="P2105" s="77"/>
      <c r="Q2105" s="77"/>
      <c r="R2105" s="77"/>
      <c r="S2105" s="77"/>
      <c r="T2105" s="77"/>
      <c r="U2105" s="77"/>
      <c r="V2105" s="77"/>
      <c r="W2105" s="77"/>
      <c r="X2105" s="77"/>
      <c r="Y2105" s="77"/>
      <c r="Z2105" s="77"/>
      <c r="AA2105" s="77"/>
      <c r="AB2105" s="77"/>
      <c r="AC2105" s="77"/>
      <c r="AD2105" s="77"/>
      <c r="AE2105" s="79"/>
    </row>
    <row r="2106" spans="1:31" x14ac:dyDescent="0.3">
      <c r="A2106" s="76"/>
      <c r="B2106" s="78" t="s">
        <v>1602</v>
      </c>
      <c r="C2106" s="78" t="s">
        <v>1496</v>
      </c>
      <c r="D2106" s="78" t="s">
        <v>279</v>
      </c>
      <c r="E2106" s="78" t="s">
        <v>1503</v>
      </c>
      <c r="F2106" s="78" t="s">
        <v>1495</v>
      </c>
      <c r="G2106" s="78" t="s">
        <v>1513</v>
      </c>
      <c r="H2106" s="77"/>
      <c r="I2106" s="226"/>
      <c r="J2106" s="77"/>
      <c r="K2106" s="77"/>
      <c r="L2106" s="77"/>
      <c r="M2106" s="77"/>
      <c r="N2106" s="77"/>
      <c r="O2106" s="77"/>
      <c r="P2106" s="77"/>
      <c r="Q2106" s="77"/>
      <c r="R2106" s="77"/>
      <c r="S2106" s="77"/>
      <c r="T2106" s="77"/>
      <c r="U2106" s="77"/>
      <c r="V2106" s="77"/>
      <c r="W2106" s="77"/>
      <c r="X2106" s="77"/>
      <c r="Y2106" s="77"/>
      <c r="Z2106" s="77"/>
      <c r="AA2106" s="77"/>
      <c r="AB2106" s="77"/>
      <c r="AC2106" s="77"/>
      <c r="AD2106" s="77"/>
      <c r="AE2106" s="79"/>
    </row>
    <row r="2107" spans="1:31" x14ac:dyDescent="0.3">
      <c r="A2107" s="76"/>
      <c r="B2107" s="78" t="s">
        <v>1676</v>
      </c>
      <c r="C2107" s="78" t="s">
        <v>1504</v>
      </c>
      <c r="D2107" s="78" t="s">
        <v>246</v>
      </c>
      <c r="E2107" s="78" t="s">
        <v>1500</v>
      </c>
      <c r="F2107" s="78" t="s">
        <v>1501</v>
      </c>
      <c r="G2107" s="78" t="s">
        <v>1513</v>
      </c>
      <c r="H2107" s="77"/>
      <c r="I2107" s="226"/>
      <c r="J2107" s="77"/>
      <c r="K2107" s="77"/>
      <c r="L2107" s="77"/>
      <c r="M2107" s="77"/>
      <c r="N2107" s="77"/>
      <c r="O2107" s="77"/>
      <c r="P2107" s="77"/>
      <c r="Q2107" s="77"/>
      <c r="R2107" s="77"/>
      <c r="S2107" s="77"/>
      <c r="T2107" s="77"/>
      <c r="U2107" s="77"/>
      <c r="V2107" s="77"/>
      <c r="W2107" s="77"/>
      <c r="X2107" s="77"/>
      <c r="Y2107" s="77"/>
      <c r="Z2107" s="77"/>
      <c r="AA2107" s="77"/>
      <c r="AB2107" s="77"/>
      <c r="AC2107" s="77"/>
      <c r="AD2107" s="77"/>
      <c r="AE2107" s="79"/>
    </row>
    <row r="2108" spans="1:31" ht="15" thickBot="1" x14ac:dyDescent="0.35">
      <c r="A2108" s="81"/>
      <c r="B2108" s="82" t="s">
        <v>1607</v>
      </c>
      <c r="C2108" s="82" t="s">
        <v>1496</v>
      </c>
      <c r="D2108" s="82" t="s">
        <v>380</v>
      </c>
      <c r="E2108" s="82" t="s">
        <v>1595</v>
      </c>
      <c r="F2108" s="82" t="s">
        <v>1528</v>
      </c>
      <c r="G2108" s="82" t="s">
        <v>1513</v>
      </c>
      <c r="H2108" s="83"/>
      <c r="I2108" s="226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83"/>
      <c r="V2108" s="83"/>
      <c r="W2108" s="83"/>
      <c r="X2108" s="83"/>
      <c r="Y2108" s="83"/>
      <c r="Z2108" s="83"/>
      <c r="AA2108" s="83"/>
      <c r="AB2108" s="83"/>
      <c r="AC2108" s="83"/>
      <c r="AD2108" s="83"/>
      <c r="AE2108" s="84"/>
    </row>
    <row r="2109" spans="1:31" x14ac:dyDescent="0.3">
      <c r="A2109" s="72" t="s">
        <v>1279</v>
      </c>
      <c r="B2109" s="73" t="s">
        <v>2238</v>
      </c>
      <c r="C2109" s="74" t="s">
        <v>1479</v>
      </c>
      <c r="D2109" s="74" t="s">
        <v>1280</v>
      </c>
      <c r="E2109" s="74" t="s">
        <v>1480</v>
      </c>
      <c r="F2109" s="74"/>
      <c r="G2109" s="74" t="s">
        <v>1481</v>
      </c>
      <c r="H2109" s="73" t="s">
        <v>1482</v>
      </c>
      <c r="I2109" s="226"/>
      <c r="J2109" s="73" t="s">
        <v>1278</v>
      </c>
      <c r="K2109" s="73" t="s">
        <v>1485</v>
      </c>
      <c r="L2109" s="73" t="s">
        <v>195</v>
      </c>
      <c r="M2109" s="73" t="s">
        <v>1483</v>
      </c>
      <c r="N2109" s="73" t="s">
        <v>1483</v>
      </c>
      <c r="O2109" s="73" t="s">
        <v>1483</v>
      </c>
      <c r="P2109" s="73" t="s">
        <v>1483</v>
      </c>
      <c r="Q2109" s="73" t="s">
        <v>1483</v>
      </c>
      <c r="R2109" s="73" t="s">
        <v>1483</v>
      </c>
      <c r="S2109" s="73" t="s">
        <v>1484</v>
      </c>
      <c r="T2109" s="73" t="s">
        <v>1484</v>
      </c>
      <c r="U2109" s="73" t="s">
        <v>1484</v>
      </c>
      <c r="V2109" s="73" t="s">
        <v>1484</v>
      </c>
      <c r="W2109" s="73" t="s">
        <v>1485</v>
      </c>
      <c r="X2109" s="73" t="s">
        <v>1484</v>
      </c>
      <c r="Y2109" s="73" t="s">
        <v>1484</v>
      </c>
      <c r="Z2109" s="73" t="s">
        <v>1485</v>
      </c>
      <c r="AA2109" s="73" t="s">
        <v>1485</v>
      </c>
      <c r="AB2109" s="73" t="s">
        <v>1484</v>
      </c>
      <c r="AC2109" s="73" t="s">
        <v>1486</v>
      </c>
      <c r="AD2109" s="73" t="s">
        <v>1487</v>
      </c>
      <c r="AE2109" s="75" t="s">
        <v>1488</v>
      </c>
    </row>
    <row r="2110" spans="1:31" ht="15" thickBot="1" x14ac:dyDescent="0.35">
      <c r="A2110" s="76"/>
      <c r="B2110" s="77"/>
      <c r="C2110" s="78" t="s">
        <v>1496</v>
      </c>
      <c r="D2110" s="78" t="s">
        <v>298</v>
      </c>
      <c r="E2110" s="78" t="s">
        <v>1503</v>
      </c>
      <c r="F2110" s="78" t="s">
        <v>1495</v>
      </c>
      <c r="G2110" s="78" t="s">
        <v>1492</v>
      </c>
      <c r="H2110" s="77"/>
      <c r="I2110" s="227"/>
      <c r="J2110" s="77"/>
      <c r="K2110" s="77"/>
      <c r="L2110" s="77"/>
      <c r="M2110" s="77"/>
      <c r="N2110" s="77"/>
      <c r="O2110" s="77"/>
      <c r="P2110" s="77"/>
      <c r="Q2110" s="77"/>
      <c r="R2110" s="77"/>
      <c r="S2110" s="77"/>
      <c r="T2110" s="77"/>
      <c r="U2110" s="77"/>
      <c r="V2110" s="77"/>
      <c r="W2110" s="77"/>
      <c r="X2110" s="77"/>
      <c r="Y2110" s="77"/>
      <c r="Z2110" s="77"/>
      <c r="AA2110" s="77"/>
      <c r="AB2110" s="77"/>
      <c r="AC2110" s="77"/>
      <c r="AD2110" s="77"/>
      <c r="AE2110" s="79"/>
    </row>
    <row r="2111" spans="1:31" x14ac:dyDescent="0.3">
      <c r="A2111" s="76"/>
      <c r="B2111" s="80"/>
      <c r="C2111" s="78" t="s">
        <v>1499</v>
      </c>
      <c r="D2111" s="78" t="s">
        <v>547</v>
      </c>
      <c r="E2111" s="78" t="s">
        <v>1548</v>
      </c>
      <c r="F2111" s="78" t="s">
        <v>1791</v>
      </c>
      <c r="G2111" s="78" t="s">
        <v>1492</v>
      </c>
      <c r="H2111" s="77"/>
      <c r="I2111" s="225" t="s">
        <v>1485</v>
      </c>
      <c r="J2111" s="77"/>
      <c r="K2111" s="77"/>
      <c r="L2111" s="77"/>
      <c r="M2111" s="77"/>
      <c r="N2111" s="77"/>
      <c r="O2111" s="77"/>
      <c r="P2111" s="77"/>
      <c r="Q2111" s="77"/>
      <c r="R2111" s="77"/>
      <c r="S2111" s="77"/>
      <c r="T2111" s="77"/>
      <c r="U2111" s="77"/>
      <c r="V2111" s="77"/>
      <c r="W2111" s="77"/>
      <c r="X2111" s="77"/>
      <c r="Y2111" s="77"/>
      <c r="Z2111" s="77"/>
      <c r="AA2111" s="77"/>
      <c r="AB2111" s="77"/>
      <c r="AC2111" s="77"/>
      <c r="AD2111" s="77"/>
      <c r="AE2111" s="79"/>
    </row>
    <row r="2112" spans="1:31" x14ac:dyDescent="0.3">
      <c r="A2112" s="76"/>
      <c r="B2112" s="78" t="s">
        <v>1955</v>
      </c>
      <c r="C2112" s="78" t="s">
        <v>1502</v>
      </c>
      <c r="D2112" s="78" t="s">
        <v>303</v>
      </c>
      <c r="E2112" s="78" t="s">
        <v>1948</v>
      </c>
      <c r="F2112" s="78" t="s">
        <v>1600</v>
      </c>
      <c r="G2112" s="78" t="s">
        <v>1513</v>
      </c>
      <c r="H2112" s="77"/>
      <c r="I2112" s="226"/>
      <c r="J2112" s="77"/>
      <c r="K2112" s="77"/>
      <c r="L2112" s="77"/>
      <c r="M2112" s="77"/>
      <c r="N2112" s="77"/>
      <c r="O2112" s="77"/>
      <c r="P2112" s="77"/>
      <c r="Q2112" s="77"/>
      <c r="R2112" s="77"/>
      <c r="S2112" s="77"/>
      <c r="T2112" s="77"/>
      <c r="U2112" s="77"/>
      <c r="V2112" s="77"/>
      <c r="W2112" s="77"/>
      <c r="X2112" s="77"/>
      <c r="Y2112" s="77"/>
      <c r="Z2112" s="77"/>
      <c r="AA2112" s="77"/>
      <c r="AB2112" s="77"/>
      <c r="AC2112" s="77"/>
      <c r="AD2112" s="77"/>
      <c r="AE2112" s="79"/>
    </row>
    <row r="2113" spans="1:31" ht="15" thickBot="1" x14ac:dyDescent="0.35">
      <c r="A2113" s="81"/>
      <c r="B2113" s="82" t="s">
        <v>1769</v>
      </c>
      <c r="C2113" s="82" t="s">
        <v>1496</v>
      </c>
      <c r="D2113" s="82" t="s">
        <v>298</v>
      </c>
      <c r="E2113" s="82" t="s">
        <v>1503</v>
      </c>
      <c r="F2113" s="82" t="s">
        <v>1495</v>
      </c>
      <c r="G2113" s="82" t="s">
        <v>1513</v>
      </c>
      <c r="H2113" s="83"/>
      <c r="I2113" s="226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83"/>
      <c r="V2113" s="83"/>
      <c r="W2113" s="83"/>
      <c r="X2113" s="83"/>
      <c r="Y2113" s="83"/>
      <c r="Z2113" s="83"/>
      <c r="AA2113" s="83"/>
      <c r="AB2113" s="83"/>
      <c r="AC2113" s="83"/>
      <c r="AD2113" s="83"/>
      <c r="AE2113" s="84"/>
    </row>
    <row r="2114" spans="1:31" x14ac:dyDescent="0.3">
      <c r="A2114" s="72" t="s">
        <v>1283</v>
      </c>
      <c r="B2114" s="73" t="s">
        <v>2239</v>
      </c>
      <c r="C2114" s="74" t="s">
        <v>1479</v>
      </c>
      <c r="D2114" s="74" t="s">
        <v>1284</v>
      </c>
      <c r="E2114" s="74" t="s">
        <v>1480</v>
      </c>
      <c r="F2114" s="74"/>
      <c r="G2114" s="74" t="s">
        <v>1481</v>
      </c>
      <c r="H2114" s="73" t="s">
        <v>1575</v>
      </c>
      <c r="I2114" s="226"/>
      <c r="J2114" s="73" t="s">
        <v>1282</v>
      </c>
      <c r="K2114" s="73" t="s">
        <v>1485</v>
      </c>
      <c r="L2114" s="73" t="s">
        <v>195</v>
      </c>
      <c r="M2114" s="73" t="s">
        <v>1483</v>
      </c>
      <c r="N2114" s="73" t="s">
        <v>1483</v>
      </c>
      <c r="O2114" s="73" t="s">
        <v>2655</v>
      </c>
      <c r="P2114" s="73" t="s">
        <v>2655</v>
      </c>
      <c r="Q2114" s="73" t="s">
        <v>2655</v>
      </c>
      <c r="R2114" s="73" t="s">
        <v>2655</v>
      </c>
      <c r="S2114" s="73" t="s">
        <v>1484</v>
      </c>
      <c r="T2114" s="73" t="s">
        <v>1484</v>
      </c>
      <c r="U2114" s="73" t="s">
        <v>1484</v>
      </c>
      <c r="V2114" s="73" t="s">
        <v>1484</v>
      </c>
      <c r="W2114" s="73" t="s">
        <v>1485</v>
      </c>
      <c r="X2114" s="73" t="s">
        <v>1484</v>
      </c>
      <c r="Y2114" s="73" t="s">
        <v>1484</v>
      </c>
      <c r="Z2114" s="73" t="s">
        <v>1484</v>
      </c>
      <c r="AA2114" s="73" t="s">
        <v>1485</v>
      </c>
      <c r="AB2114" s="73" t="s">
        <v>1484</v>
      </c>
      <c r="AC2114" s="73" t="s">
        <v>1486</v>
      </c>
      <c r="AD2114" s="73" t="s">
        <v>1487</v>
      </c>
      <c r="AE2114" s="75" t="s">
        <v>1579</v>
      </c>
    </row>
    <row r="2115" spans="1:31" x14ac:dyDescent="0.3">
      <c r="A2115" s="76"/>
      <c r="B2115" s="77"/>
      <c r="C2115" s="78" t="s">
        <v>1489</v>
      </c>
      <c r="D2115" s="78" t="s">
        <v>597</v>
      </c>
      <c r="E2115" s="78" t="s">
        <v>1548</v>
      </c>
      <c r="F2115" s="78" t="s">
        <v>1791</v>
      </c>
      <c r="G2115" s="78" t="s">
        <v>1492</v>
      </c>
      <c r="H2115" s="77"/>
      <c r="I2115" s="226"/>
      <c r="J2115" s="77"/>
      <c r="K2115" s="77"/>
      <c r="L2115" s="77"/>
      <c r="M2115" s="77"/>
      <c r="N2115" s="77"/>
      <c r="O2115" s="77"/>
      <c r="P2115" s="77"/>
      <c r="Q2115" s="77"/>
      <c r="R2115" s="77"/>
      <c r="S2115" s="77"/>
      <c r="T2115" s="77"/>
      <c r="U2115" s="77"/>
      <c r="V2115" s="77"/>
      <c r="W2115" s="77"/>
      <c r="X2115" s="77"/>
      <c r="Y2115" s="77"/>
      <c r="Z2115" s="77"/>
      <c r="AA2115" s="77"/>
      <c r="AB2115" s="77"/>
      <c r="AC2115" s="77"/>
      <c r="AD2115" s="77"/>
      <c r="AE2115" s="79"/>
    </row>
    <row r="2116" spans="1:31" x14ac:dyDescent="0.3">
      <c r="A2116" s="76"/>
      <c r="B2116" s="77"/>
      <c r="C2116" s="78" t="s">
        <v>1496</v>
      </c>
      <c r="D2116" s="78" t="s">
        <v>290</v>
      </c>
      <c r="E2116" s="78" t="s">
        <v>1503</v>
      </c>
      <c r="F2116" s="200" t="s">
        <v>1495</v>
      </c>
      <c r="G2116" s="78" t="s">
        <v>1492</v>
      </c>
      <c r="H2116" s="77"/>
      <c r="I2116" s="226"/>
      <c r="J2116" s="77"/>
      <c r="K2116" s="77"/>
      <c r="L2116" s="77"/>
      <c r="M2116" s="77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7"/>
      <c r="AE2116" s="79"/>
    </row>
    <row r="2117" spans="1:31" x14ac:dyDescent="0.3">
      <c r="A2117" s="76"/>
      <c r="B2117" s="77"/>
      <c r="C2117" s="78" t="s">
        <v>1504</v>
      </c>
      <c r="D2117" s="78" t="s">
        <v>264</v>
      </c>
      <c r="E2117" s="78" t="s">
        <v>1500</v>
      </c>
      <c r="F2117" s="78" t="s">
        <v>1501</v>
      </c>
      <c r="G2117" s="78" t="s">
        <v>1492</v>
      </c>
      <c r="H2117" s="77"/>
      <c r="I2117" s="226"/>
      <c r="J2117" s="77"/>
      <c r="K2117" s="77"/>
      <c r="L2117" s="77"/>
      <c r="M2117" s="77"/>
      <c r="N2117" s="77"/>
      <c r="O2117" s="77"/>
      <c r="P2117" s="77"/>
      <c r="Q2117" s="77"/>
      <c r="R2117" s="77"/>
      <c r="S2117" s="77"/>
      <c r="T2117" s="77"/>
      <c r="U2117" s="77"/>
      <c r="V2117" s="77"/>
      <c r="W2117" s="77"/>
      <c r="X2117" s="77"/>
      <c r="Y2117" s="77"/>
      <c r="Z2117" s="77"/>
      <c r="AA2117" s="77"/>
      <c r="AB2117" s="77"/>
      <c r="AC2117" s="77"/>
      <c r="AD2117" s="77"/>
      <c r="AE2117" s="79"/>
    </row>
    <row r="2118" spans="1:31" x14ac:dyDescent="0.3">
      <c r="A2118" s="76"/>
      <c r="B2118" s="80"/>
      <c r="C2118" s="78" t="s">
        <v>1507</v>
      </c>
      <c r="D2118" s="78" t="s">
        <v>461</v>
      </c>
      <c r="E2118" s="78" t="s">
        <v>1961</v>
      </c>
      <c r="F2118" s="78" t="s">
        <v>2097</v>
      </c>
      <c r="G2118" s="78" t="s">
        <v>1492</v>
      </c>
      <c r="H2118" s="77"/>
      <c r="I2118" s="226"/>
      <c r="J2118" s="77"/>
      <c r="K2118" s="77"/>
      <c r="L2118" s="77"/>
      <c r="M2118" s="77"/>
      <c r="N2118" s="77"/>
      <c r="O2118" s="77"/>
      <c r="P2118" s="77"/>
      <c r="Q2118" s="77"/>
      <c r="R2118" s="77"/>
      <c r="S2118" s="77"/>
      <c r="T2118" s="77"/>
      <c r="U2118" s="77"/>
      <c r="V2118" s="77"/>
      <c r="W2118" s="77"/>
      <c r="X2118" s="77"/>
      <c r="Y2118" s="77"/>
      <c r="Z2118" s="77"/>
      <c r="AA2118" s="77"/>
      <c r="AB2118" s="77"/>
      <c r="AC2118" s="77"/>
      <c r="AD2118" s="77"/>
      <c r="AE2118" s="79"/>
    </row>
    <row r="2119" spans="1:31" x14ac:dyDescent="0.3">
      <c r="A2119" s="76"/>
      <c r="B2119" s="78" t="s">
        <v>1829</v>
      </c>
      <c r="C2119" s="78" t="s">
        <v>1499</v>
      </c>
      <c r="D2119" s="78" t="s">
        <v>290</v>
      </c>
      <c r="E2119" s="78" t="s">
        <v>1503</v>
      </c>
      <c r="F2119" s="200" t="s">
        <v>1495</v>
      </c>
      <c r="G2119" s="78" t="s">
        <v>1513</v>
      </c>
      <c r="H2119" s="77"/>
      <c r="I2119" s="226"/>
      <c r="J2119" s="77"/>
      <c r="K2119" s="77"/>
      <c r="L2119" s="77"/>
      <c r="M2119" s="77"/>
      <c r="N2119" s="77"/>
      <c r="O2119" s="77"/>
      <c r="P2119" s="77"/>
      <c r="Q2119" s="77"/>
      <c r="R2119" s="77"/>
      <c r="S2119" s="77"/>
      <c r="T2119" s="77"/>
      <c r="U2119" s="77"/>
      <c r="V2119" s="77"/>
      <c r="W2119" s="77"/>
      <c r="X2119" s="77"/>
      <c r="Y2119" s="77"/>
      <c r="Z2119" s="77"/>
      <c r="AA2119" s="77"/>
      <c r="AB2119" s="77"/>
      <c r="AC2119" s="77"/>
      <c r="AD2119" s="77"/>
      <c r="AE2119" s="79"/>
    </row>
    <row r="2120" spans="1:31" ht="15" thickBot="1" x14ac:dyDescent="0.35">
      <c r="A2120" s="81"/>
      <c r="B2120" s="82" t="s">
        <v>1614</v>
      </c>
      <c r="C2120" s="82" t="s">
        <v>1502</v>
      </c>
      <c r="D2120" s="82" t="s">
        <v>264</v>
      </c>
      <c r="E2120" s="82" t="s">
        <v>1500</v>
      </c>
      <c r="F2120" s="82" t="s">
        <v>1501</v>
      </c>
      <c r="G2120" s="82" t="s">
        <v>1513</v>
      </c>
      <c r="H2120" s="83"/>
      <c r="I2120" s="226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83"/>
      <c r="V2120" s="83"/>
      <c r="W2120" s="83"/>
      <c r="X2120" s="83"/>
      <c r="Y2120" s="83"/>
      <c r="Z2120" s="83"/>
      <c r="AA2120" s="83"/>
      <c r="AB2120" s="83"/>
      <c r="AC2120" s="83"/>
      <c r="AD2120" s="83"/>
      <c r="AE2120" s="84"/>
    </row>
    <row r="2121" spans="1:31" ht="15" thickBot="1" x14ac:dyDescent="0.35">
      <c r="A2121" s="72" t="s">
        <v>1287</v>
      </c>
      <c r="B2121" s="73" t="s">
        <v>2240</v>
      </c>
      <c r="C2121" s="74" t="s">
        <v>1479</v>
      </c>
      <c r="D2121" s="74" t="s">
        <v>1288</v>
      </c>
      <c r="E2121" s="74" t="s">
        <v>1480</v>
      </c>
      <c r="F2121" s="74"/>
      <c r="G2121" s="74" t="s">
        <v>1481</v>
      </c>
      <c r="H2121" s="73" t="s">
        <v>1482</v>
      </c>
      <c r="I2121" s="227"/>
      <c r="J2121" s="73" t="s">
        <v>1286</v>
      </c>
      <c r="K2121" s="73" t="s">
        <v>1485</v>
      </c>
      <c r="L2121" s="73" t="s">
        <v>195</v>
      </c>
      <c r="M2121" s="73" t="s">
        <v>1483</v>
      </c>
      <c r="N2121" s="73" t="s">
        <v>1483</v>
      </c>
      <c r="O2121" s="73" t="s">
        <v>1483</v>
      </c>
      <c r="P2121" s="73" t="s">
        <v>1483</v>
      </c>
      <c r="Q2121" s="73" t="s">
        <v>1483</v>
      </c>
      <c r="R2121" s="73" t="s">
        <v>1483</v>
      </c>
      <c r="S2121" s="73" t="s">
        <v>1484</v>
      </c>
      <c r="T2121" s="73" t="s">
        <v>1484</v>
      </c>
      <c r="U2121" s="73" t="s">
        <v>1484</v>
      </c>
      <c r="V2121" s="73" t="s">
        <v>1484</v>
      </c>
      <c r="W2121" s="73" t="s">
        <v>1485</v>
      </c>
      <c r="X2121" s="73" t="s">
        <v>1484</v>
      </c>
      <c r="Y2121" s="73" t="s">
        <v>1484</v>
      </c>
      <c r="Z2121" s="73" t="s">
        <v>1485</v>
      </c>
      <c r="AA2121" s="73" t="s">
        <v>1485</v>
      </c>
      <c r="AB2121" s="73" t="s">
        <v>1484</v>
      </c>
      <c r="AC2121" s="73" t="s">
        <v>1486</v>
      </c>
      <c r="AD2121" s="73" t="s">
        <v>1487</v>
      </c>
      <c r="AE2121" s="75" t="s">
        <v>1488</v>
      </c>
    </row>
    <row r="2122" spans="1:31" x14ac:dyDescent="0.3">
      <c r="A2122" s="76"/>
      <c r="B2122" s="77"/>
      <c r="C2122" s="78" t="s">
        <v>1489</v>
      </c>
      <c r="D2122" s="78" t="s">
        <v>349</v>
      </c>
      <c r="E2122" s="78" t="s">
        <v>1900</v>
      </c>
      <c r="F2122" s="78" t="s">
        <v>1565</v>
      </c>
      <c r="G2122" s="78" t="s">
        <v>1492</v>
      </c>
      <c r="H2122" s="77"/>
      <c r="I2122" s="225" t="s">
        <v>1485</v>
      </c>
      <c r="J2122" s="77"/>
      <c r="K2122" s="77"/>
      <c r="L2122" s="77"/>
      <c r="M2122" s="77"/>
      <c r="N2122" s="77"/>
      <c r="O2122" s="77"/>
      <c r="P2122" s="77"/>
      <c r="Q2122" s="77"/>
      <c r="R2122" s="77"/>
      <c r="S2122" s="77"/>
      <c r="T2122" s="77"/>
      <c r="U2122" s="77"/>
      <c r="V2122" s="77"/>
      <c r="W2122" s="77"/>
      <c r="X2122" s="77"/>
      <c r="Y2122" s="77"/>
      <c r="Z2122" s="77"/>
      <c r="AA2122" s="77"/>
      <c r="AB2122" s="77"/>
      <c r="AC2122" s="77"/>
      <c r="AD2122" s="77"/>
      <c r="AE2122" s="79"/>
    </row>
    <row r="2123" spans="1:31" x14ac:dyDescent="0.3">
      <c r="A2123" s="76"/>
      <c r="B2123" s="80"/>
      <c r="C2123" s="78" t="s">
        <v>1496</v>
      </c>
      <c r="D2123" s="78" t="s">
        <v>28</v>
      </c>
      <c r="E2123" s="78" t="s">
        <v>1503</v>
      </c>
      <c r="F2123" s="78" t="s">
        <v>1495</v>
      </c>
      <c r="G2123" s="78" t="s">
        <v>1492</v>
      </c>
      <c r="H2123" s="77"/>
      <c r="I2123" s="226"/>
      <c r="J2123" s="77"/>
      <c r="K2123" s="77"/>
      <c r="L2123" s="77"/>
      <c r="M2123" s="77"/>
      <c r="N2123" s="77"/>
      <c r="O2123" s="77"/>
      <c r="P2123" s="77"/>
      <c r="Q2123" s="77"/>
      <c r="R2123" s="77"/>
      <c r="S2123" s="77"/>
      <c r="T2123" s="77"/>
      <c r="U2123" s="77"/>
      <c r="V2123" s="77"/>
      <c r="W2123" s="77"/>
      <c r="X2123" s="77"/>
      <c r="Y2123" s="77"/>
      <c r="Z2123" s="77"/>
      <c r="AA2123" s="77"/>
      <c r="AB2123" s="77"/>
      <c r="AC2123" s="77"/>
      <c r="AD2123" s="77"/>
      <c r="AE2123" s="79"/>
    </row>
    <row r="2124" spans="1:31" x14ac:dyDescent="0.3">
      <c r="A2124" s="76"/>
      <c r="B2124" s="78" t="s">
        <v>1778</v>
      </c>
      <c r="C2124" s="78" t="s">
        <v>1502</v>
      </c>
      <c r="D2124" s="78" t="s">
        <v>119</v>
      </c>
      <c r="E2124" s="78" t="s">
        <v>1480</v>
      </c>
      <c r="F2124" s="78" t="s">
        <v>1518</v>
      </c>
      <c r="G2124" s="78" t="s">
        <v>1513</v>
      </c>
      <c r="H2124" s="77"/>
      <c r="I2124" s="226"/>
      <c r="J2124" s="77"/>
      <c r="K2124" s="77"/>
      <c r="L2124" s="77"/>
      <c r="M2124" s="77"/>
      <c r="N2124" s="77"/>
      <c r="O2124" s="77"/>
      <c r="P2124" s="77"/>
      <c r="Q2124" s="77"/>
      <c r="R2124" s="77"/>
      <c r="S2124" s="77"/>
      <c r="T2124" s="77"/>
      <c r="U2124" s="77"/>
      <c r="V2124" s="77"/>
      <c r="W2124" s="77"/>
      <c r="X2124" s="77"/>
      <c r="Y2124" s="77"/>
      <c r="Z2124" s="77"/>
      <c r="AA2124" s="77"/>
      <c r="AB2124" s="77"/>
      <c r="AC2124" s="77"/>
      <c r="AD2124" s="77"/>
      <c r="AE2124" s="79"/>
    </row>
    <row r="2125" spans="1:31" x14ac:dyDescent="0.3">
      <c r="A2125" s="76"/>
      <c r="B2125" s="78" t="s">
        <v>1714</v>
      </c>
      <c r="C2125" s="78" t="s">
        <v>1499</v>
      </c>
      <c r="D2125" s="78" t="s">
        <v>28</v>
      </c>
      <c r="E2125" s="78" t="s">
        <v>1503</v>
      </c>
      <c r="F2125" s="78" t="s">
        <v>1495</v>
      </c>
      <c r="G2125" s="78" t="s">
        <v>1513</v>
      </c>
      <c r="H2125" s="77"/>
      <c r="I2125" s="226"/>
      <c r="J2125" s="77"/>
      <c r="K2125" s="77"/>
      <c r="L2125" s="77"/>
      <c r="M2125" s="77"/>
      <c r="N2125" s="77"/>
      <c r="O2125" s="77"/>
      <c r="P2125" s="77"/>
      <c r="Q2125" s="77"/>
      <c r="R2125" s="77"/>
      <c r="S2125" s="77"/>
      <c r="T2125" s="77"/>
      <c r="U2125" s="77"/>
      <c r="V2125" s="77"/>
      <c r="W2125" s="77"/>
      <c r="X2125" s="77"/>
      <c r="Y2125" s="77"/>
      <c r="Z2125" s="77"/>
      <c r="AA2125" s="77"/>
      <c r="AB2125" s="77"/>
      <c r="AC2125" s="77"/>
      <c r="AD2125" s="77"/>
      <c r="AE2125" s="79"/>
    </row>
    <row r="2126" spans="1:31" ht="15" thickBot="1" x14ac:dyDescent="0.35">
      <c r="A2126" s="81"/>
      <c r="B2126" s="82" t="s">
        <v>1902</v>
      </c>
      <c r="C2126" s="82" t="s">
        <v>1496</v>
      </c>
      <c r="D2126" s="82" t="s">
        <v>349</v>
      </c>
      <c r="E2126" s="82" t="s">
        <v>1900</v>
      </c>
      <c r="F2126" s="82" t="s">
        <v>1565</v>
      </c>
      <c r="G2126" s="82" t="s">
        <v>1513</v>
      </c>
      <c r="H2126" s="83"/>
      <c r="I2126" s="226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83"/>
      <c r="V2126" s="83"/>
      <c r="W2126" s="83"/>
      <c r="X2126" s="83"/>
      <c r="Y2126" s="83"/>
      <c r="Z2126" s="83"/>
      <c r="AA2126" s="83"/>
      <c r="AB2126" s="83"/>
      <c r="AC2126" s="83"/>
      <c r="AD2126" s="83"/>
      <c r="AE2126" s="84"/>
    </row>
    <row r="2127" spans="1:31" x14ac:dyDescent="0.3">
      <c r="A2127" s="72" t="s">
        <v>1291</v>
      </c>
      <c r="B2127" s="73" t="s">
        <v>2241</v>
      </c>
      <c r="C2127" s="74" t="s">
        <v>1479</v>
      </c>
      <c r="D2127" s="74" t="s">
        <v>1292</v>
      </c>
      <c r="E2127" s="74" t="s">
        <v>1480</v>
      </c>
      <c r="F2127" s="74"/>
      <c r="G2127" s="74" t="s">
        <v>1481</v>
      </c>
      <c r="H2127" s="73" t="s">
        <v>1482</v>
      </c>
      <c r="I2127" s="226"/>
      <c r="J2127" s="73" t="s">
        <v>1290</v>
      </c>
      <c r="K2127" s="73" t="s">
        <v>1485</v>
      </c>
      <c r="L2127" s="73" t="s">
        <v>195</v>
      </c>
      <c r="M2127" s="73" t="s">
        <v>1483</v>
      </c>
      <c r="N2127" s="73" t="s">
        <v>1483</v>
      </c>
      <c r="O2127" s="73" t="s">
        <v>1483</v>
      </c>
      <c r="P2127" s="73" t="s">
        <v>1483</v>
      </c>
      <c r="Q2127" s="73" t="s">
        <v>1483</v>
      </c>
      <c r="R2127" s="73" t="s">
        <v>1483</v>
      </c>
      <c r="S2127" s="73" t="s">
        <v>1484</v>
      </c>
      <c r="T2127" s="73" t="s">
        <v>1484</v>
      </c>
      <c r="U2127" s="73" t="s">
        <v>1484</v>
      </c>
      <c r="V2127" s="73" t="s">
        <v>1484</v>
      </c>
      <c r="W2127" s="73" t="s">
        <v>1485</v>
      </c>
      <c r="X2127" s="73" t="s">
        <v>1484</v>
      </c>
      <c r="Y2127" s="73" t="s">
        <v>1484</v>
      </c>
      <c r="Z2127" s="73" t="s">
        <v>1485</v>
      </c>
      <c r="AA2127" s="73" t="s">
        <v>1485</v>
      </c>
      <c r="AB2127" s="73" t="s">
        <v>1484</v>
      </c>
      <c r="AC2127" s="73" t="s">
        <v>1486</v>
      </c>
      <c r="AD2127" s="73" t="s">
        <v>1487</v>
      </c>
      <c r="AE2127" s="75" t="s">
        <v>1488</v>
      </c>
    </row>
    <row r="2128" spans="1:31" x14ac:dyDescent="0.3">
      <c r="A2128" s="76"/>
      <c r="B2128" s="80"/>
      <c r="C2128" s="78" t="s">
        <v>1496</v>
      </c>
      <c r="D2128" s="78" t="s">
        <v>371</v>
      </c>
      <c r="E2128" s="78" t="s">
        <v>1503</v>
      </c>
      <c r="F2128" s="78" t="s">
        <v>1495</v>
      </c>
      <c r="G2128" s="78" t="s">
        <v>1492</v>
      </c>
      <c r="H2128" s="77"/>
      <c r="I2128" s="226"/>
      <c r="J2128" s="77"/>
      <c r="K2128" s="77"/>
      <c r="L2128" s="77"/>
      <c r="M2128" s="77"/>
      <c r="N2128" s="77"/>
      <c r="O2128" s="77"/>
      <c r="P2128" s="77"/>
      <c r="Q2128" s="77"/>
      <c r="R2128" s="77"/>
      <c r="S2128" s="77"/>
      <c r="T2128" s="77"/>
      <c r="U2128" s="77"/>
      <c r="V2128" s="77"/>
      <c r="W2128" s="77"/>
      <c r="X2128" s="77"/>
      <c r="Y2128" s="77"/>
      <c r="Z2128" s="77"/>
      <c r="AA2128" s="77"/>
      <c r="AB2128" s="77"/>
      <c r="AC2128" s="77"/>
      <c r="AD2128" s="77"/>
      <c r="AE2128" s="79"/>
    </row>
    <row r="2129" spans="1:31" x14ac:dyDescent="0.3">
      <c r="A2129" s="76"/>
      <c r="B2129" s="78" t="s">
        <v>1784</v>
      </c>
      <c r="C2129" s="78" t="s">
        <v>1502</v>
      </c>
      <c r="D2129" s="78" t="s">
        <v>109</v>
      </c>
      <c r="E2129" s="78" t="s">
        <v>1480</v>
      </c>
      <c r="F2129" s="78" t="s">
        <v>1518</v>
      </c>
      <c r="G2129" s="78" t="s">
        <v>1513</v>
      </c>
      <c r="H2129" s="77"/>
      <c r="I2129" s="226"/>
      <c r="J2129" s="77"/>
      <c r="K2129" s="77"/>
      <c r="L2129" s="77"/>
      <c r="M2129" s="77"/>
      <c r="N2129" s="77"/>
      <c r="O2129" s="77"/>
      <c r="P2129" s="77"/>
      <c r="Q2129" s="77"/>
      <c r="R2129" s="77"/>
      <c r="S2129" s="77"/>
      <c r="T2129" s="77"/>
      <c r="U2129" s="77"/>
      <c r="V2129" s="77"/>
      <c r="W2129" s="77"/>
      <c r="X2129" s="77"/>
      <c r="Y2129" s="77"/>
      <c r="Z2129" s="77"/>
      <c r="AA2129" s="77"/>
      <c r="AB2129" s="77"/>
      <c r="AC2129" s="77"/>
      <c r="AD2129" s="77"/>
      <c r="AE2129" s="79"/>
    </row>
    <row r="2130" spans="1:31" ht="15" thickBot="1" x14ac:dyDescent="0.35">
      <c r="A2130" s="76"/>
      <c r="B2130" s="78" t="s">
        <v>1844</v>
      </c>
      <c r="C2130" s="78" t="s">
        <v>1496</v>
      </c>
      <c r="D2130" s="78" t="s">
        <v>371</v>
      </c>
      <c r="E2130" s="78" t="s">
        <v>1503</v>
      </c>
      <c r="F2130" s="78" t="s">
        <v>1495</v>
      </c>
      <c r="G2130" s="78" t="s">
        <v>1513</v>
      </c>
      <c r="H2130" s="77"/>
      <c r="I2130" s="227"/>
      <c r="J2130" s="77"/>
      <c r="K2130" s="77"/>
      <c r="L2130" s="77"/>
      <c r="M2130" s="77"/>
      <c r="N2130" s="77"/>
      <c r="O2130" s="77"/>
      <c r="P2130" s="77"/>
      <c r="Q2130" s="77"/>
      <c r="R2130" s="77"/>
      <c r="S2130" s="77"/>
      <c r="T2130" s="77"/>
      <c r="U2130" s="77"/>
      <c r="V2130" s="77"/>
      <c r="W2130" s="77"/>
      <c r="X2130" s="77"/>
      <c r="Y2130" s="77"/>
      <c r="Z2130" s="77"/>
      <c r="AA2130" s="77"/>
      <c r="AB2130" s="77"/>
      <c r="AC2130" s="77"/>
      <c r="AD2130" s="77"/>
      <c r="AE2130" s="79"/>
    </row>
    <row r="2131" spans="1:31" ht="15" thickBot="1" x14ac:dyDescent="0.35">
      <c r="A2131" s="81"/>
      <c r="B2131" s="82" t="s">
        <v>1905</v>
      </c>
      <c r="C2131" s="82" t="s">
        <v>1496</v>
      </c>
      <c r="D2131" s="82" t="s">
        <v>359</v>
      </c>
      <c r="E2131" s="82" t="s">
        <v>1900</v>
      </c>
      <c r="F2131" s="82" t="s">
        <v>1558</v>
      </c>
      <c r="G2131" s="82" t="s">
        <v>1513</v>
      </c>
      <c r="H2131" s="83"/>
      <c r="I2131" s="225" t="s">
        <v>1485</v>
      </c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83"/>
      <c r="V2131" s="83"/>
      <c r="W2131" s="83"/>
      <c r="X2131" s="83"/>
      <c r="Y2131" s="83"/>
      <c r="Z2131" s="83"/>
      <c r="AA2131" s="83"/>
      <c r="AB2131" s="83"/>
      <c r="AC2131" s="83"/>
      <c r="AD2131" s="83"/>
      <c r="AE2131" s="84"/>
    </row>
    <row r="2132" spans="1:31" x14ac:dyDescent="0.3">
      <c r="A2132" s="72" t="s">
        <v>1295</v>
      </c>
      <c r="B2132" s="73" t="s">
        <v>2242</v>
      </c>
      <c r="C2132" s="74" t="s">
        <v>1479</v>
      </c>
      <c r="D2132" s="74" t="s">
        <v>1296</v>
      </c>
      <c r="E2132" s="74" t="s">
        <v>1480</v>
      </c>
      <c r="F2132" s="74"/>
      <c r="G2132" s="74" t="s">
        <v>1481</v>
      </c>
      <c r="H2132" s="73" t="s">
        <v>1482</v>
      </c>
      <c r="I2132" s="226"/>
      <c r="J2132" s="73" t="s">
        <v>1294</v>
      </c>
      <c r="K2132" s="73" t="s">
        <v>1485</v>
      </c>
      <c r="L2132" s="73" t="s">
        <v>195</v>
      </c>
      <c r="M2132" s="73" t="s">
        <v>1483</v>
      </c>
      <c r="N2132" s="73" t="s">
        <v>1483</v>
      </c>
      <c r="O2132" s="73" t="s">
        <v>1483</v>
      </c>
      <c r="P2132" s="73" t="s">
        <v>1483</v>
      </c>
      <c r="Q2132" s="73" t="s">
        <v>1483</v>
      </c>
      <c r="R2132" s="73" t="s">
        <v>1483</v>
      </c>
      <c r="S2132" s="73" t="s">
        <v>1484</v>
      </c>
      <c r="T2132" s="73" t="s">
        <v>1484</v>
      </c>
      <c r="U2132" s="73" t="s">
        <v>1484</v>
      </c>
      <c r="V2132" s="73" t="s">
        <v>1484</v>
      </c>
      <c r="W2132" s="73" t="s">
        <v>1485</v>
      </c>
      <c r="X2132" s="73" t="s">
        <v>1484</v>
      </c>
      <c r="Y2132" s="73" t="s">
        <v>1484</v>
      </c>
      <c r="Z2132" s="73" t="s">
        <v>1485</v>
      </c>
      <c r="AA2132" s="73" t="s">
        <v>1485</v>
      </c>
      <c r="AB2132" s="73" t="s">
        <v>1484</v>
      </c>
      <c r="AC2132" s="73" t="s">
        <v>1486</v>
      </c>
      <c r="AD2132" s="73" t="s">
        <v>1487</v>
      </c>
      <c r="AE2132" s="75" t="s">
        <v>1488</v>
      </c>
    </row>
    <row r="2133" spans="1:31" x14ac:dyDescent="0.3">
      <c r="A2133" s="76"/>
      <c r="B2133" s="77"/>
      <c r="C2133" s="78" t="s">
        <v>1489</v>
      </c>
      <c r="D2133" s="78" t="s">
        <v>364</v>
      </c>
      <c r="E2133" s="78" t="s">
        <v>1907</v>
      </c>
      <c r="F2133" s="78" t="s">
        <v>1565</v>
      </c>
      <c r="G2133" s="78" t="s">
        <v>1492</v>
      </c>
      <c r="H2133" s="77"/>
      <c r="I2133" s="226"/>
      <c r="J2133" s="77"/>
      <c r="K2133" s="77"/>
      <c r="L2133" s="77"/>
      <c r="M2133" s="77"/>
      <c r="N2133" s="77"/>
      <c r="O2133" s="77"/>
      <c r="P2133" s="77"/>
      <c r="Q2133" s="77"/>
      <c r="R2133" s="77"/>
      <c r="S2133" s="77"/>
      <c r="T2133" s="77"/>
      <c r="U2133" s="77"/>
      <c r="V2133" s="77"/>
      <c r="W2133" s="77"/>
      <c r="X2133" s="77"/>
      <c r="Y2133" s="77"/>
      <c r="Z2133" s="77"/>
      <c r="AA2133" s="77"/>
      <c r="AB2133" s="77"/>
      <c r="AC2133" s="77"/>
      <c r="AD2133" s="77"/>
      <c r="AE2133" s="79"/>
    </row>
    <row r="2134" spans="1:31" x14ac:dyDescent="0.3">
      <c r="A2134" s="76"/>
      <c r="B2134" s="80"/>
      <c r="C2134" s="78" t="s">
        <v>1496</v>
      </c>
      <c r="D2134" s="78" t="s">
        <v>519</v>
      </c>
      <c r="E2134" s="78" t="s">
        <v>1503</v>
      </c>
      <c r="F2134" s="78" t="s">
        <v>1495</v>
      </c>
      <c r="G2134" s="78" t="s">
        <v>1492</v>
      </c>
      <c r="H2134" s="77"/>
      <c r="I2134" s="226"/>
      <c r="J2134" s="77"/>
      <c r="K2134" s="77"/>
      <c r="L2134" s="77"/>
      <c r="M2134" s="77"/>
      <c r="N2134" s="77"/>
      <c r="O2134" s="77"/>
      <c r="P2134" s="77"/>
      <c r="Q2134" s="77"/>
      <c r="R2134" s="77"/>
      <c r="S2134" s="77"/>
      <c r="T2134" s="77"/>
      <c r="U2134" s="77"/>
      <c r="V2134" s="77"/>
      <c r="W2134" s="77"/>
      <c r="X2134" s="77"/>
      <c r="Y2134" s="77"/>
      <c r="Z2134" s="77"/>
      <c r="AA2134" s="77"/>
      <c r="AB2134" s="77"/>
      <c r="AC2134" s="77"/>
      <c r="AD2134" s="77"/>
      <c r="AE2134" s="79"/>
    </row>
    <row r="2135" spans="1:31" ht="15" thickBot="1" x14ac:dyDescent="0.35">
      <c r="A2135" s="76"/>
      <c r="B2135" s="78" t="s">
        <v>1796</v>
      </c>
      <c r="C2135" s="78" t="s">
        <v>1502</v>
      </c>
      <c r="D2135" s="78" t="s">
        <v>133</v>
      </c>
      <c r="E2135" s="78" t="s">
        <v>1480</v>
      </c>
      <c r="F2135" s="78" t="s">
        <v>1518</v>
      </c>
      <c r="G2135" s="78" t="s">
        <v>1513</v>
      </c>
      <c r="H2135" s="77"/>
      <c r="I2135" s="227"/>
      <c r="J2135" s="77"/>
      <c r="K2135" s="77"/>
      <c r="L2135" s="77"/>
      <c r="M2135" s="77"/>
      <c r="N2135" s="77"/>
      <c r="O2135" s="77"/>
      <c r="P2135" s="77"/>
      <c r="Q2135" s="77"/>
      <c r="R2135" s="77"/>
      <c r="S2135" s="77"/>
      <c r="T2135" s="77"/>
      <c r="U2135" s="77"/>
      <c r="V2135" s="77"/>
      <c r="W2135" s="77"/>
      <c r="X2135" s="77"/>
      <c r="Y2135" s="77"/>
      <c r="Z2135" s="77"/>
      <c r="AA2135" s="77"/>
      <c r="AB2135" s="77"/>
      <c r="AC2135" s="77"/>
      <c r="AD2135" s="77"/>
      <c r="AE2135" s="79"/>
    </row>
    <row r="2136" spans="1:31" x14ac:dyDescent="0.3">
      <c r="A2136" s="76"/>
      <c r="B2136" s="78" t="s">
        <v>1852</v>
      </c>
      <c r="C2136" s="78" t="s">
        <v>1496</v>
      </c>
      <c r="D2136" s="78" t="s">
        <v>519</v>
      </c>
      <c r="E2136" s="78" t="s">
        <v>1503</v>
      </c>
      <c r="F2136" s="78" t="s">
        <v>1495</v>
      </c>
      <c r="G2136" s="78" t="s">
        <v>1513</v>
      </c>
      <c r="H2136" s="77"/>
      <c r="I2136" s="225" t="s">
        <v>1485</v>
      </c>
      <c r="J2136" s="77"/>
      <c r="K2136" s="77"/>
      <c r="L2136" s="77"/>
      <c r="M2136" s="77"/>
      <c r="N2136" s="77"/>
      <c r="O2136" s="77"/>
      <c r="P2136" s="77"/>
      <c r="Q2136" s="77"/>
      <c r="R2136" s="77"/>
      <c r="S2136" s="77"/>
      <c r="T2136" s="77"/>
      <c r="U2136" s="77"/>
      <c r="V2136" s="77"/>
      <c r="W2136" s="77"/>
      <c r="X2136" s="77"/>
      <c r="Y2136" s="77"/>
      <c r="Z2136" s="77"/>
      <c r="AA2136" s="77"/>
      <c r="AB2136" s="77"/>
      <c r="AC2136" s="77"/>
      <c r="AD2136" s="77"/>
      <c r="AE2136" s="79"/>
    </row>
    <row r="2137" spans="1:31" ht="15" thickBot="1" x14ac:dyDescent="0.35">
      <c r="A2137" s="81"/>
      <c r="B2137" s="82" t="s">
        <v>1909</v>
      </c>
      <c r="C2137" s="82" t="s">
        <v>1496</v>
      </c>
      <c r="D2137" s="82" t="s">
        <v>364</v>
      </c>
      <c r="E2137" s="82" t="s">
        <v>1907</v>
      </c>
      <c r="F2137" s="82" t="s">
        <v>1565</v>
      </c>
      <c r="G2137" s="82" t="s">
        <v>1513</v>
      </c>
      <c r="H2137" s="83"/>
      <c r="I2137" s="226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83"/>
      <c r="V2137" s="83"/>
      <c r="W2137" s="83"/>
      <c r="X2137" s="83"/>
      <c r="Y2137" s="83"/>
      <c r="Z2137" s="83"/>
      <c r="AA2137" s="83"/>
      <c r="AB2137" s="83"/>
      <c r="AC2137" s="83"/>
      <c r="AD2137" s="83"/>
      <c r="AE2137" s="84"/>
    </row>
    <row r="2138" spans="1:31" x14ac:dyDescent="0.3">
      <c r="A2138" s="72" t="s">
        <v>1299</v>
      </c>
      <c r="B2138" s="73" t="s">
        <v>2243</v>
      </c>
      <c r="C2138" s="74" t="s">
        <v>1479</v>
      </c>
      <c r="D2138" s="74" t="s">
        <v>1300</v>
      </c>
      <c r="E2138" s="74" t="s">
        <v>1480</v>
      </c>
      <c r="F2138" s="74"/>
      <c r="G2138" s="74" t="s">
        <v>1481</v>
      </c>
      <c r="H2138" s="73" t="s">
        <v>1482</v>
      </c>
      <c r="I2138" s="226"/>
      <c r="J2138" s="73" t="s">
        <v>1298</v>
      </c>
      <c r="K2138" s="73" t="s">
        <v>1485</v>
      </c>
      <c r="L2138" s="73" t="s">
        <v>195</v>
      </c>
      <c r="M2138" s="73" t="s">
        <v>1483</v>
      </c>
      <c r="N2138" s="73" t="s">
        <v>1483</v>
      </c>
      <c r="O2138" s="73" t="s">
        <v>1483</v>
      </c>
      <c r="P2138" s="73" t="s">
        <v>1483</v>
      </c>
      <c r="Q2138" s="73" t="s">
        <v>1483</v>
      </c>
      <c r="R2138" s="73" t="s">
        <v>1483</v>
      </c>
      <c r="S2138" s="73" t="s">
        <v>1484</v>
      </c>
      <c r="T2138" s="73" t="s">
        <v>1484</v>
      </c>
      <c r="U2138" s="73" t="s">
        <v>1484</v>
      </c>
      <c r="V2138" s="73" t="s">
        <v>1484</v>
      </c>
      <c r="W2138" s="73" t="s">
        <v>1485</v>
      </c>
      <c r="X2138" s="73" t="s">
        <v>1484</v>
      </c>
      <c r="Y2138" s="73" t="s">
        <v>1484</v>
      </c>
      <c r="Z2138" s="73" t="s">
        <v>1485</v>
      </c>
      <c r="AA2138" s="73" t="s">
        <v>1485</v>
      </c>
      <c r="AB2138" s="73" t="s">
        <v>1484</v>
      </c>
      <c r="AC2138" s="73" t="s">
        <v>1486</v>
      </c>
      <c r="AD2138" s="73" t="s">
        <v>1487</v>
      </c>
      <c r="AE2138" s="75" t="s">
        <v>1488</v>
      </c>
    </row>
    <row r="2139" spans="1:31" x14ac:dyDescent="0.3">
      <c r="A2139" s="76"/>
      <c r="B2139" s="80"/>
      <c r="C2139" s="78" t="s">
        <v>1496</v>
      </c>
      <c r="D2139" s="78" t="s">
        <v>537</v>
      </c>
      <c r="E2139" s="78" t="s">
        <v>1503</v>
      </c>
      <c r="F2139" s="78" t="s">
        <v>1495</v>
      </c>
      <c r="G2139" s="78" t="s">
        <v>1492</v>
      </c>
      <c r="H2139" s="77"/>
      <c r="I2139" s="226"/>
      <c r="J2139" s="77"/>
      <c r="K2139" s="77"/>
      <c r="L2139" s="77"/>
      <c r="M2139" s="77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  <c r="AA2139" s="77"/>
      <c r="AB2139" s="77"/>
      <c r="AC2139" s="77"/>
      <c r="AD2139" s="77"/>
      <c r="AE2139" s="79"/>
    </row>
    <row r="2140" spans="1:31" x14ac:dyDescent="0.3">
      <c r="A2140" s="76"/>
      <c r="B2140" s="78" t="s">
        <v>1805</v>
      </c>
      <c r="C2140" s="78" t="s">
        <v>1502</v>
      </c>
      <c r="D2140" s="78" t="s">
        <v>247</v>
      </c>
      <c r="E2140" s="78" t="s">
        <v>1480</v>
      </c>
      <c r="F2140" s="78" t="s">
        <v>1518</v>
      </c>
      <c r="G2140" s="78" t="s">
        <v>1513</v>
      </c>
      <c r="H2140" s="77"/>
      <c r="I2140" s="226"/>
      <c r="J2140" s="77"/>
      <c r="K2140" s="77"/>
      <c r="L2140" s="77"/>
      <c r="M2140" s="77"/>
      <c r="N2140" s="77"/>
      <c r="O2140" s="77"/>
      <c r="P2140" s="77"/>
      <c r="Q2140" s="77"/>
      <c r="R2140" s="77"/>
      <c r="S2140" s="77"/>
      <c r="T2140" s="77"/>
      <c r="U2140" s="77"/>
      <c r="V2140" s="77"/>
      <c r="W2140" s="77"/>
      <c r="X2140" s="77"/>
      <c r="Y2140" s="77"/>
      <c r="Z2140" s="77"/>
      <c r="AA2140" s="77"/>
      <c r="AB2140" s="77"/>
      <c r="AC2140" s="77"/>
      <c r="AD2140" s="77"/>
      <c r="AE2140" s="79"/>
    </row>
    <row r="2141" spans="1:31" x14ac:dyDescent="0.3">
      <c r="A2141" s="76"/>
      <c r="B2141" s="78" t="s">
        <v>1553</v>
      </c>
      <c r="C2141" s="78" t="s">
        <v>1496</v>
      </c>
      <c r="D2141" s="78" t="s">
        <v>537</v>
      </c>
      <c r="E2141" s="78" t="s">
        <v>1503</v>
      </c>
      <c r="F2141" s="78" t="s">
        <v>1495</v>
      </c>
      <c r="G2141" s="78" t="s">
        <v>1513</v>
      </c>
      <c r="H2141" s="77"/>
      <c r="I2141" s="226"/>
      <c r="J2141" s="77"/>
      <c r="K2141" s="77"/>
      <c r="L2141" s="77"/>
      <c r="M2141" s="77"/>
      <c r="N2141" s="77"/>
      <c r="O2141" s="77"/>
      <c r="P2141" s="77"/>
      <c r="Q2141" s="77"/>
      <c r="R2141" s="77"/>
      <c r="S2141" s="77"/>
      <c r="T2141" s="77"/>
      <c r="U2141" s="77"/>
      <c r="V2141" s="77"/>
      <c r="W2141" s="77"/>
      <c r="X2141" s="77"/>
      <c r="Y2141" s="77"/>
      <c r="Z2141" s="77"/>
      <c r="AA2141" s="77"/>
      <c r="AB2141" s="77"/>
      <c r="AC2141" s="77"/>
      <c r="AD2141" s="77"/>
      <c r="AE2141" s="79"/>
    </row>
    <row r="2142" spans="1:31" ht="15" thickBot="1" x14ac:dyDescent="0.35">
      <c r="A2142" s="81"/>
      <c r="B2142" s="82" t="s">
        <v>1912</v>
      </c>
      <c r="C2142" s="82" t="s">
        <v>1496</v>
      </c>
      <c r="D2142" s="82" t="s">
        <v>375</v>
      </c>
      <c r="E2142" s="82" t="s">
        <v>1907</v>
      </c>
      <c r="F2142" s="82" t="s">
        <v>1558</v>
      </c>
      <c r="G2142" s="82" t="s">
        <v>1513</v>
      </c>
      <c r="H2142" s="83"/>
      <c r="I2142" s="227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83"/>
      <c r="V2142" s="83"/>
      <c r="W2142" s="83"/>
      <c r="X2142" s="83"/>
      <c r="Y2142" s="83"/>
      <c r="Z2142" s="83"/>
      <c r="AA2142" s="83"/>
      <c r="AB2142" s="83"/>
      <c r="AC2142" s="83"/>
      <c r="AD2142" s="83"/>
      <c r="AE2142" s="84"/>
    </row>
    <row r="2143" spans="1:31" x14ac:dyDescent="0.3">
      <c r="A2143" s="72" t="s">
        <v>1303</v>
      </c>
      <c r="B2143" s="73" t="s">
        <v>2244</v>
      </c>
      <c r="C2143" s="74" t="s">
        <v>1479</v>
      </c>
      <c r="D2143" s="74" t="s">
        <v>1304</v>
      </c>
      <c r="E2143" s="74" t="s">
        <v>1480</v>
      </c>
      <c r="F2143" s="74"/>
      <c r="G2143" s="74" t="s">
        <v>1481</v>
      </c>
      <c r="H2143" s="73" t="s">
        <v>1482</v>
      </c>
      <c r="I2143" s="225" t="s">
        <v>1485</v>
      </c>
      <c r="J2143" s="73" t="s">
        <v>1302</v>
      </c>
      <c r="K2143" s="73" t="s">
        <v>1485</v>
      </c>
      <c r="L2143" s="73" t="s">
        <v>195</v>
      </c>
      <c r="M2143" s="73" t="s">
        <v>1483</v>
      </c>
      <c r="N2143" s="73" t="s">
        <v>1483</v>
      </c>
      <c r="O2143" s="73" t="s">
        <v>1483</v>
      </c>
      <c r="P2143" s="73" t="s">
        <v>1483</v>
      </c>
      <c r="Q2143" s="73" t="s">
        <v>1483</v>
      </c>
      <c r="R2143" s="73" t="s">
        <v>1483</v>
      </c>
      <c r="S2143" s="73" t="s">
        <v>1484</v>
      </c>
      <c r="T2143" s="73" t="s">
        <v>1484</v>
      </c>
      <c r="U2143" s="73" t="s">
        <v>1484</v>
      </c>
      <c r="V2143" s="73" t="s">
        <v>1484</v>
      </c>
      <c r="W2143" s="73" t="s">
        <v>1485</v>
      </c>
      <c r="X2143" s="73" t="s">
        <v>1484</v>
      </c>
      <c r="Y2143" s="73" t="s">
        <v>1484</v>
      </c>
      <c r="Z2143" s="73" t="s">
        <v>1485</v>
      </c>
      <c r="AA2143" s="73" t="s">
        <v>1485</v>
      </c>
      <c r="AB2143" s="73" t="s">
        <v>1484</v>
      </c>
      <c r="AC2143" s="73" t="s">
        <v>1486</v>
      </c>
      <c r="AD2143" s="73" t="s">
        <v>1487</v>
      </c>
      <c r="AE2143" s="75" t="s">
        <v>1488</v>
      </c>
    </row>
    <row r="2144" spans="1:31" x14ac:dyDescent="0.3">
      <c r="A2144" s="76"/>
      <c r="B2144" s="77"/>
      <c r="C2144" s="78" t="s">
        <v>1489</v>
      </c>
      <c r="D2144" s="78" t="s">
        <v>564</v>
      </c>
      <c r="E2144" s="78" t="s">
        <v>1924</v>
      </c>
      <c r="F2144" s="78" t="s">
        <v>1565</v>
      </c>
      <c r="G2144" s="78" t="s">
        <v>1492</v>
      </c>
      <c r="H2144" s="77"/>
      <c r="I2144" s="226"/>
      <c r="J2144" s="77"/>
      <c r="K2144" s="77"/>
      <c r="L2144" s="77"/>
      <c r="M2144" s="77"/>
      <c r="N2144" s="77"/>
      <c r="O2144" s="77"/>
      <c r="P2144" s="77"/>
      <c r="Q2144" s="77"/>
      <c r="R2144" s="77"/>
      <c r="S2144" s="77"/>
      <c r="T2144" s="77"/>
      <c r="U2144" s="77"/>
      <c r="V2144" s="77"/>
      <c r="W2144" s="77"/>
      <c r="X2144" s="77"/>
      <c r="Y2144" s="77"/>
      <c r="Z2144" s="77"/>
      <c r="AA2144" s="77"/>
      <c r="AB2144" s="77"/>
      <c r="AC2144" s="77"/>
      <c r="AD2144" s="77"/>
      <c r="AE2144" s="79"/>
    </row>
    <row r="2145" spans="1:31" x14ac:dyDescent="0.3">
      <c r="A2145" s="76"/>
      <c r="B2145" s="77"/>
      <c r="C2145" s="78" t="s">
        <v>1496</v>
      </c>
      <c r="D2145" s="78" t="s">
        <v>548</v>
      </c>
      <c r="E2145" s="78" t="s">
        <v>1503</v>
      </c>
      <c r="F2145" s="78" t="s">
        <v>1495</v>
      </c>
      <c r="G2145" s="78" t="s">
        <v>1492</v>
      </c>
      <c r="H2145" s="77"/>
      <c r="I2145" s="226"/>
      <c r="J2145" s="77"/>
      <c r="K2145" s="77"/>
      <c r="L2145" s="77"/>
      <c r="M2145" s="77"/>
      <c r="N2145" s="77"/>
      <c r="O2145" s="77"/>
      <c r="P2145" s="77"/>
      <c r="Q2145" s="77"/>
      <c r="R2145" s="77"/>
      <c r="S2145" s="77"/>
      <c r="T2145" s="77"/>
      <c r="U2145" s="77"/>
      <c r="V2145" s="77"/>
      <c r="W2145" s="77"/>
      <c r="X2145" s="77"/>
      <c r="Y2145" s="77"/>
      <c r="Z2145" s="77"/>
      <c r="AA2145" s="77"/>
      <c r="AB2145" s="77"/>
      <c r="AC2145" s="77"/>
      <c r="AD2145" s="77"/>
      <c r="AE2145" s="79"/>
    </row>
    <row r="2146" spans="1:31" x14ac:dyDescent="0.3">
      <c r="A2146" s="76"/>
      <c r="B2146" s="80"/>
      <c r="C2146" s="78" t="s">
        <v>1499</v>
      </c>
      <c r="D2146" s="78" t="s">
        <v>1109</v>
      </c>
      <c r="E2146" s="78" t="s">
        <v>1632</v>
      </c>
      <c r="F2146" s="78" t="s">
        <v>1581</v>
      </c>
      <c r="G2146" s="78" t="s">
        <v>1492</v>
      </c>
      <c r="H2146" s="77"/>
      <c r="I2146" s="226"/>
      <c r="J2146" s="77"/>
      <c r="K2146" s="77"/>
      <c r="L2146" s="77"/>
      <c r="M2146" s="77"/>
      <c r="N2146" s="77"/>
      <c r="O2146" s="77"/>
      <c r="P2146" s="77"/>
      <c r="Q2146" s="77"/>
      <c r="R2146" s="77"/>
      <c r="S2146" s="77"/>
      <c r="T2146" s="77"/>
      <c r="U2146" s="77"/>
      <c r="V2146" s="77"/>
      <c r="W2146" s="77"/>
      <c r="X2146" s="77"/>
      <c r="Y2146" s="77"/>
      <c r="Z2146" s="77"/>
      <c r="AA2146" s="77"/>
      <c r="AB2146" s="77"/>
      <c r="AC2146" s="77"/>
      <c r="AD2146" s="77"/>
      <c r="AE2146" s="79"/>
    </row>
    <row r="2147" spans="1:31" x14ac:dyDescent="0.3">
      <c r="A2147" s="76"/>
      <c r="B2147" s="78" t="s">
        <v>1814</v>
      </c>
      <c r="C2147" s="78" t="s">
        <v>1502</v>
      </c>
      <c r="D2147" s="78" t="s">
        <v>152</v>
      </c>
      <c r="E2147" s="78" t="s">
        <v>1480</v>
      </c>
      <c r="F2147" s="78" t="s">
        <v>1518</v>
      </c>
      <c r="G2147" s="78" t="s">
        <v>1513</v>
      </c>
      <c r="H2147" s="77"/>
      <c r="I2147" s="226"/>
      <c r="J2147" s="77"/>
      <c r="K2147" s="77"/>
      <c r="L2147" s="77"/>
      <c r="M2147" s="77"/>
      <c r="N2147" s="77"/>
      <c r="O2147" s="77"/>
      <c r="P2147" s="77"/>
      <c r="Q2147" s="77"/>
      <c r="R2147" s="77"/>
      <c r="S2147" s="77"/>
      <c r="T2147" s="77"/>
      <c r="U2147" s="77"/>
      <c r="V2147" s="77"/>
      <c r="W2147" s="77"/>
      <c r="X2147" s="77"/>
      <c r="Y2147" s="77"/>
      <c r="Z2147" s="77"/>
      <c r="AA2147" s="77"/>
      <c r="AB2147" s="77"/>
      <c r="AC2147" s="77"/>
      <c r="AD2147" s="77"/>
      <c r="AE2147" s="79"/>
    </row>
    <row r="2148" spans="1:31" ht="15" thickBot="1" x14ac:dyDescent="0.35">
      <c r="A2148" s="76"/>
      <c r="B2148" s="78" t="s">
        <v>1567</v>
      </c>
      <c r="C2148" s="78" t="s">
        <v>1496</v>
      </c>
      <c r="D2148" s="78" t="s">
        <v>548</v>
      </c>
      <c r="E2148" s="78" t="s">
        <v>1503</v>
      </c>
      <c r="F2148" s="78" t="s">
        <v>1495</v>
      </c>
      <c r="G2148" s="78" t="s">
        <v>1513</v>
      </c>
      <c r="H2148" s="77"/>
      <c r="I2148" s="227"/>
      <c r="J2148" s="77"/>
      <c r="K2148" s="77"/>
      <c r="L2148" s="77"/>
      <c r="M2148" s="77"/>
      <c r="N2148" s="77"/>
      <c r="O2148" s="77"/>
      <c r="P2148" s="77"/>
      <c r="Q2148" s="77"/>
      <c r="R2148" s="77"/>
      <c r="S2148" s="77"/>
      <c r="T2148" s="77"/>
      <c r="U2148" s="77"/>
      <c r="V2148" s="77"/>
      <c r="W2148" s="77"/>
      <c r="X2148" s="77"/>
      <c r="Y2148" s="77"/>
      <c r="Z2148" s="77"/>
      <c r="AA2148" s="77"/>
      <c r="AB2148" s="77"/>
      <c r="AC2148" s="77"/>
      <c r="AD2148" s="77"/>
      <c r="AE2148" s="79"/>
    </row>
    <row r="2149" spans="1:31" ht="15" thickBot="1" x14ac:dyDescent="0.35">
      <c r="A2149" s="81"/>
      <c r="B2149" s="82" t="s">
        <v>1927</v>
      </c>
      <c r="C2149" s="82" t="s">
        <v>1496</v>
      </c>
      <c r="D2149" s="82" t="s">
        <v>564</v>
      </c>
      <c r="E2149" s="82" t="s">
        <v>1924</v>
      </c>
      <c r="F2149" s="82" t="s">
        <v>1565</v>
      </c>
      <c r="G2149" s="82" t="s">
        <v>1513</v>
      </c>
      <c r="H2149" s="83"/>
      <c r="I2149" s="225" t="s">
        <v>1485</v>
      </c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83"/>
      <c r="V2149" s="83"/>
      <c r="W2149" s="83"/>
      <c r="X2149" s="83"/>
      <c r="Y2149" s="83"/>
      <c r="Z2149" s="83"/>
      <c r="AA2149" s="83"/>
      <c r="AB2149" s="83"/>
      <c r="AC2149" s="83"/>
      <c r="AD2149" s="83"/>
      <c r="AE2149" s="84"/>
    </row>
    <row r="2150" spans="1:31" x14ac:dyDescent="0.3">
      <c r="A2150" s="72" t="s">
        <v>1307</v>
      </c>
      <c r="B2150" s="73" t="s">
        <v>2245</v>
      </c>
      <c r="C2150" s="74" t="s">
        <v>1479</v>
      </c>
      <c r="D2150" s="74" t="s">
        <v>1308</v>
      </c>
      <c r="E2150" s="74" t="s">
        <v>1480</v>
      </c>
      <c r="F2150" s="74"/>
      <c r="G2150" s="74" t="s">
        <v>1481</v>
      </c>
      <c r="H2150" s="73" t="s">
        <v>1482</v>
      </c>
      <c r="I2150" s="226"/>
      <c r="J2150" s="73" t="s">
        <v>1306</v>
      </c>
      <c r="K2150" s="73" t="s">
        <v>1485</v>
      </c>
      <c r="L2150" s="73" t="s">
        <v>195</v>
      </c>
      <c r="M2150" s="73" t="s">
        <v>1483</v>
      </c>
      <c r="N2150" s="73" t="s">
        <v>1483</v>
      </c>
      <c r="O2150" s="73" t="s">
        <v>1483</v>
      </c>
      <c r="P2150" s="73" t="s">
        <v>1483</v>
      </c>
      <c r="Q2150" s="73" t="s">
        <v>1483</v>
      </c>
      <c r="R2150" s="73" t="s">
        <v>1483</v>
      </c>
      <c r="S2150" s="73" t="s">
        <v>1484</v>
      </c>
      <c r="T2150" s="73" t="s">
        <v>1484</v>
      </c>
      <c r="U2150" s="73" t="s">
        <v>1484</v>
      </c>
      <c r="V2150" s="73" t="s">
        <v>1484</v>
      </c>
      <c r="W2150" s="73" t="s">
        <v>1485</v>
      </c>
      <c r="X2150" s="73" t="s">
        <v>1484</v>
      </c>
      <c r="Y2150" s="73" t="s">
        <v>1484</v>
      </c>
      <c r="Z2150" s="73" t="s">
        <v>1485</v>
      </c>
      <c r="AA2150" s="73" t="s">
        <v>1485</v>
      </c>
      <c r="AB2150" s="73" t="s">
        <v>1484</v>
      </c>
      <c r="AC2150" s="73" t="s">
        <v>1486</v>
      </c>
      <c r="AD2150" s="73" t="s">
        <v>1487</v>
      </c>
      <c r="AE2150" s="75" t="s">
        <v>1488</v>
      </c>
    </row>
    <row r="2151" spans="1:31" x14ac:dyDescent="0.3">
      <c r="A2151" s="76"/>
      <c r="B2151" s="77"/>
      <c r="C2151" s="78" t="s">
        <v>1496</v>
      </c>
      <c r="D2151" s="78" t="s">
        <v>565</v>
      </c>
      <c r="E2151" s="78" t="s">
        <v>1503</v>
      </c>
      <c r="F2151" s="78" t="s">
        <v>1495</v>
      </c>
      <c r="G2151" s="78" t="s">
        <v>1492</v>
      </c>
      <c r="H2151" s="77"/>
      <c r="I2151" s="226"/>
      <c r="J2151" s="77"/>
      <c r="K2151" s="77"/>
      <c r="L2151" s="77"/>
      <c r="M2151" s="77"/>
      <c r="N2151" s="77"/>
      <c r="O2151" s="77"/>
      <c r="P2151" s="77"/>
      <c r="Q2151" s="77"/>
      <c r="R2151" s="77"/>
      <c r="S2151" s="77"/>
      <c r="T2151" s="77"/>
      <c r="U2151" s="77"/>
      <c r="V2151" s="77"/>
      <c r="W2151" s="77"/>
      <c r="X2151" s="77"/>
      <c r="Y2151" s="77"/>
      <c r="Z2151" s="77"/>
      <c r="AA2151" s="77"/>
      <c r="AB2151" s="77"/>
      <c r="AC2151" s="77"/>
      <c r="AD2151" s="77"/>
      <c r="AE2151" s="79"/>
    </row>
    <row r="2152" spans="1:31" x14ac:dyDescent="0.3">
      <c r="A2152" s="76"/>
      <c r="B2152" s="80"/>
      <c r="C2152" s="78" t="s">
        <v>1499</v>
      </c>
      <c r="D2152" s="200" t="s">
        <v>2652</v>
      </c>
      <c r="E2152" s="78" t="s">
        <v>1632</v>
      </c>
      <c r="F2152" s="78" t="s">
        <v>1652</v>
      </c>
      <c r="G2152" s="78" t="s">
        <v>1492</v>
      </c>
      <c r="H2152" s="77"/>
      <c r="I2152" s="226"/>
      <c r="J2152" s="77"/>
      <c r="K2152" s="77"/>
      <c r="L2152" s="77"/>
      <c r="M2152" s="77"/>
      <c r="N2152" s="77"/>
      <c r="O2152" s="77"/>
      <c r="P2152" s="77"/>
      <c r="Q2152" s="77"/>
      <c r="R2152" s="77"/>
      <c r="S2152" s="77"/>
      <c r="T2152" s="77"/>
      <c r="U2152" s="77"/>
      <c r="V2152" s="77"/>
      <c r="W2152" s="77"/>
      <c r="X2152" s="77"/>
      <c r="Y2152" s="77"/>
      <c r="Z2152" s="77"/>
      <c r="AA2152" s="77"/>
      <c r="AB2152" s="77"/>
      <c r="AC2152" s="77"/>
      <c r="AD2152" s="77"/>
      <c r="AE2152" s="79"/>
    </row>
    <row r="2153" spans="1:31" ht="15" thickBot="1" x14ac:dyDescent="0.35">
      <c r="A2153" s="76"/>
      <c r="B2153" s="78" t="s">
        <v>1821</v>
      </c>
      <c r="C2153" s="78" t="s">
        <v>1502</v>
      </c>
      <c r="D2153" s="78" t="s">
        <v>220</v>
      </c>
      <c r="E2153" s="78" t="s">
        <v>1480</v>
      </c>
      <c r="F2153" s="78" t="s">
        <v>1518</v>
      </c>
      <c r="G2153" s="78" t="s">
        <v>1513</v>
      </c>
      <c r="H2153" s="77"/>
      <c r="I2153" s="227"/>
      <c r="J2153" s="77"/>
      <c r="K2153" s="77"/>
      <c r="L2153" s="77"/>
      <c r="M2153" s="77"/>
      <c r="N2153" s="77"/>
      <c r="O2153" s="77"/>
      <c r="P2153" s="77"/>
      <c r="Q2153" s="77"/>
      <c r="R2153" s="77"/>
      <c r="S2153" s="77"/>
      <c r="T2153" s="77"/>
      <c r="U2153" s="77"/>
      <c r="V2153" s="77"/>
      <c r="W2153" s="77"/>
      <c r="X2153" s="77"/>
      <c r="Y2153" s="77"/>
      <c r="Z2153" s="77"/>
      <c r="AA2153" s="77"/>
      <c r="AB2153" s="77"/>
      <c r="AC2153" s="77"/>
      <c r="AD2153" s="77"/>
      <c r="AE2153" s="79"/>
    </row>
    <row r="2154" spans="1:31" x14ac:dyDescent="0.3">
      <c r="A2154" s="76"/>
      <c r="B2154" s="78" t="s">
        <v>1925</v>
      </c>
      <c r="C2154" s="78" t="s">
        <v>1496</v>
      </c>
      <c r="D2154" s="78" t="s">
        <v>565</v>
      </c>
      <c r="E2154" s="78" t="s">
        <v>1503</v>
      </c>
      <c r="F2154" s="78" t="s">
        <v>1495</v>
      </c>
      <c r="G2154" s="78" t="s">
        <v>1513</v>
      </c>
      <c r="H2154" s="77"/>
      <c r="I2154" s="225" t="s">
        <v>1485</v>
      </c>
      <c r="J2154" s="77"/>
      <c r="K2154" s="77"/>
      <c r="L2154" s="77"/>
      <c r="M2154" s="77"/>
      <c r="N2154" s="77"/>
      <c r="O2154" s="77"/>
      <c r="P2154" s="77"/>
      <c r="Q2154" s="77"/>
      <c r="R2154" s="77"/>
      <c r="S2154" s="77"/>
      <c r="T2154" s="77"/>
      <c r="U2154" s="77"/>
      <c r="V2154" s="77"/>
      <c r="W2154" s="77"/>
      <c r="X2154" s="77"/>
      <c r="Y2154" s="77"/>
      <c r="Z2154" s="77"/>
      <c r="AA2154" s="77"/>
      <c r="AB2154" s="77"/>
      <c r="AC2154" s="77"/>
      <c r="AD2154" s="77"/>
      <c r="AE2154" s="79"/>
    </row>
    <row r="2155" spans="1:31" ht="15" thickBot="1" x14ac:dyDescent="0.35">
      <c r="A2155" s="81"/>
      <c r="B2155" s="82" t="s">
        <v>1931</v>
      </c>
      <c r="C2155" s="82" t="s">
        <v>1496</v>
      </c>
      <c r="D2155" s="82" t="s">
        <v>574</v>
      </c>
      <c r="E2155" s="82" t="s">
        <v>1924</v>
      </c>
      <c r="F2155" s="82" t="s">
        <v>1558</v>
      </c>
      <c r="G2155" s="82" t="s">
        <v>1513</v>
      </c>
      <c r="H2155" s="83"/>
      <c r="I2155" s="226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83"/>
      <c r="V2155" s="83"/>
      <c r="W2155" s="83"/>
      <c r="X2155" s="83"/>
      <c r="Y2155" s="83"/>
      <c r="Z2155" s="83"/>
      <c r="AA2155" s="83"/>
      <c r="AB2155" s="83"/>
      <c r="AC2155" s="83"/>
      <c r="AD2155" s="83"/>
      <c r="AE2155" s="84"/>
    </row>
    <row r="2156" spans="1:31" x14ac:dyDescent="0.3">
      <c r="A2156" s="72" t="s">
        <v>1311</v>
      </c>
      <c r="B2156" s="73" t="s">
        <v>2246</v>
      </c>
      <c r="C2156" s="74" t="s">
        <v>1479</v>
      </c>
      <c r="D2156" s="74" t="s">
        <v>1312</v>
      </c>
      <c r="E2156" s="74" t="s">
        <v>1480</v>
      </c>
      <c r="F2156" s="74"/>
      <c r="G2156" s="74" t="s">
        <v>1481</v>
      </c>
      <c r="H2156" s="73" t="s">
        <v>1575</v>
      </c>
      <c r="I2156" s="226"/>
      <c r="J2156" s="73" t="s">
        <v>1310</v>
      </c>
      <c r="K2156" s="73" t="s">
        <v>1485</v>
      </c>
      <c r="L2156" s="73" t="s">
        <v>195</v>
      </c>
      <c r="M2156" s="73" t="s">
        <v>1483</v>
      </c>
      <c r="N2156" s="73" t="s">
        <v>1483</v>
      </c>
      <c r="O2156" s="73" t="s">
        <v>2655</v>
      </c>
      <c r="P2156" s="73" t="s">
        <v>2655</v>
      </c>
      <c r="Q2156" s="73" t="s">
        <v>2655</v>
      </c>
      <c r="R2156" s="73" t="s">
        <v>2655</v>
      </c>
      <c r="S2156" s="73" t="s">
        <v>1484</v>
      </c>
      <c r="T2156" s="73" t="s">
        <v>1484</v>
      </c>
      <c r="U2156" s="73" t="s">
        <v>1484</v>
      </c>
      <c r="V2156" s="73" t="s">
        <v>1484</v>
      </c>
      <c r="W2156" s="73" t="s">
        <v>1485</v>
      </c>
      <c r="X2156" s="73" t="s">
        <v>1484</v>
      </c>
      <c r="Y2156" s="73" t="s">
        <v>1484</v>
      </c>
      <c r="Z2156" s="73" t="s">
        <v>1484</v>
      </c>
      <c r="AA2156" s="73" t="s">
        <v>1485</v>
      </c>
      <c r="AB2156" s="73" t="s">
        <v>1484</v>
      </c>
      <c r="AC2156" s="73" t="s">
        <v>1486</v>
      </c>
      <c r="AD2156" s="73" t="s">
        <v>1487</v>
      </c>
      <c r="AE2156" s="75" t="s">
        <v>1579</v>
      </c>
    </row>
    <row r="2157" spans="1:31" x14ac:dyDescent="0.3">
      <c r="A2157" s="76"/>
      <c r="B2157" s="77"/>
      <c r="C2157" s="78" t="s">
        <v>1493</v>
      </c>
      <c r="D2157" s="78" t="s">
        <v>301</v>
      </c>
      <c r="E2157" s="78" t="s">
        <v>1500</v>
      </c>
      <c r="F2157" s="78" t="s">
        <v>1501</v>
      </c>
      <c r="G2157" s="78" t="s">
        <v>1492</v>
      </c>
      <c r="H2157" s="77"/>
      <c r="I2157" s="226"/>
      <c r="J2157" s="77"/>
      <c r="K2157" s="77"/>
      <c r="L2157" s="77"/>
      <c r="M2157" s="77"/>
      <c r="N2157" s="77"/>
      <c r="O2157" s="77"/>
      <c r="P2157" s="77"/>
      <c r="Q2157" s="77"/>
      <c r="R2157" s="77"/>
      <c r="S2157" s="77"/>
      <c r="T2157" s="77"/>
      <c r="U2157" s="77"/>
      <c r="V2157" s="77"/>
      <c r="W2157" s="77"/>
      <c r="X2157" s="77"/>
      <c r="Y2157" s="77"/>
      <c r="Z2157" s="77"/>
      <c r="AA2157" s="77"/>
      <c r="AB2157" s="77"/>
      <c r="AC2157" s="77"/>
      <c r="AD2157" s="77"/>
      <c r="AE2157" s="79"/>
    </row>
    <row r="2158" spans="1:31" x14ac:dyDescent="0.3">
      <c r="A2158" s="76"/>
      <c r="B2158" s="77"/>
      <c r="C2158" s="78" t="s">
        <v>1496</v>
      </c>
      <c r="D2158" s="78" t="s">
        <v>571</v>
      </c>
      <c r="E2158" s="78" t="s">
        <v>1503</v>
      </c>
      <c r="F2158" s="78" t="s">
        <v>1495</v>
      </c>
      <c r="G2158" s="78" t="s">
        <v>1492</v>
      </c>
      <c r="H2158" s="77"/>
      <c r="I2158" s="226"/>
      <c r="J2158" s="77"/>
      <c r="K2158" s="77"/>
      <c r="L2158" s="77"/>
      <c r="M2158" s="77"/>
      <c r="N2158" s="77"/>
      <c r="O2158" s="77"/>
      <c r="P2158" s="77"/>
      <c r="Q2158" s="77"/>
      <c r="R2158" s="77"/>
      <c r="S2158" s="77"/>
      <c r="T2158" s="77"/>
      <c r="U2158" s="77"/>
      <c r="V2158" s="77"/>
      <c r="W2158" s="77"/>
      <c r="X2158" s="77"/>
      <c r="Y2158" s="77"/>
      <c r="Z2158" s="77"/>
      <c r="AA2158" s="77"/>
      <c r="AB2158" s="77"/>
      <c r="AC2158" s="77"/>
      <c r="AD2158" s="77"/>
      <c r="AE2158" s="79"/>
    </row>
    <row r="2159" spans="1:31" ht="15" thickBot="1" x14ac:dyDescent="0.35">
      <c r="A2159" s="76"/>
      <c r="B2159" s="80"/>
      <c r="C2159" s="78" t="s">
        <v>1507</v>
      </c>
      <c r="D2159" s="78" t="s">
        <v>413</v>
      </c>
      <c r="E2159" s="78" t="s">
        <v>1961</v>
      </c>
      <c r="F2159" s="78" t="s">
        <v>1962</v>
      </c>
      <c r="G2159" s="78" t="s">
        <v>1492</v>
      </c>
      <c r="H2159" s="77"/>
      <c r="I2159" s="227"/>
      <c r="J2159" s="77"/>
      <c r="K2159" s="77"/>
      <c r="L2159" s="77"/>
      <c r="M2159" s="77"/>
      <c r="N2159" s="77"/>
      <c r="O2159" s="77"/>
      <c r="P2159" s="77"/>
      <c r="Q2159" s="77"/>
      <c r="R2159" s="77"/>
      <c r="S2159" s="77"/>
      <c r="T2159" s="77"/>
      <c r="U2159" s="77"/>
      <c r="V2159" s="77"/>
      <c r="W2159" s="77"/>
      <c r="X2159" s="77"/>
      <c r="Y2159" s="77"/>
      <c r="Z2159" s="77"/>
      <c r="AA2159" s="77"/>
      <c r="AB2159" s="77"/>
      <c r="AC2159" s="77"/>
      <c r="AD2159" s="77"/>
      <c r="AE2159" s="79"/>
    </row>
    <row r="2160" spans="1:31" x14ac:dyDescent="0.3">
      <c r="A2160" s="76"/>
      <c r="B2160" s="78" t="s">
        <v>1828</v>
      </c>
      <c r="C2160" s="78" t="s">
        <v>1502</v>
      </c>
      <c r="D2160" s="78" t="s">
        <v>82</v>
      </c>
      <c r="E2160" s="78" t="s">
        <v>1480</v>
      </c>
      <c r="F2160" s="78" t="s">
        <v>1518</v>
      </c>
      <c r="G2160" s="78" t="s">
        <v>1513</v>
      </c>
      <c r="H2160" s="77"/>
      <c r="I2160" s="225" t="s">
        <v>1485</v>
      </c>
      <c r="J2160" s="77"/>
      <c r="K2160" s="77"/>
      <c r="L2160" s="77"/>
      <c r="M2160" s="77"/>
      <c r="N2160" s="77"/>
      <c r="O2160" s="77"/>
      <c r="P2160" s="77"/>
      <c r="Q2160" s="77"/>
      <c r="R2160" s="77"/>
      <c r="S2160" s="77"/>
      <c r="T2160" s="77"/>
      <c r="U2160" s="77"/>
      <c r="V2160" s="77"/>
      <c r="W2160" s="77"/>
      <c r="X2160" s="77"/>
      <c r="Y2160" s="77"/>
      <c r="Z2160" s="77"/>
      <c r="AA2160" s="77"/>
      <c r="AB2160" s="77"/>
      <c r="AC2160" s="77"/>
      <c r="AD2160" s="77"/>
      <c r="AE2160" s="79"/>
    </row>
    <row r="2161" spans="1:31" x14ac:dyDescent="0.3">
      <c r="A2161" s="76"/>
      <c r="B2161" s="78" t="s">
        <v>1929</v>
      </c>
      <c r="C2161" s="78" t="s">
        <v>1496</v>
      </c>
      <c r="D2161" s="78" t="s">
        <v>571</v>
      </c>
      <c r="E2161" s="78" t="s">
        <v>1503</v>
      </c>
      <c r="F2161" s="78" t="s">
        <v>1495</v>
      </c>
      <c r="G2161" s="78" t="s">
        <v>1513</v>
      </c>
      <c r="H2161" s="77"/>
      <c r="I2161" s="226"/>
      <c r="J2161" s="77"/>
      <c r="K2161" s="77"/>
      <c r="L2161" s="77"/>
      <c r="M2161" s="77"/>
      <c r="N2161" s="77"/>
      <c r="O2161" s="77"/>
      <c r="P2161" s="77"/>
      <c r="Q2161" s="77"/>
      <c r="R2161" s="77"/>
      <c r="S2161" s="77"/>
      <c r="T2161" s="77"/>
      <c r="U2161" s="77"/>
      <c r="V2161" s="77"/>
      <c r="W2161" s="77"/>
      <c r="X2161" s="77"/>
      <c r="Y2161" s="77"/>
      <c r="Z2161" s="77"/>
      <c r="AA2161" s="77"/>
      <c r="AB2161" s="77"/>
      <c r="AC2161" s="77"/>
      <c r="AD2161" s="77"/>
      <c r="AE2161" s="79"/>
    </row>
    <row r="2162" spans="1:31" ht="15" thickBot="1" x14ac:dyDescent="0.35">
      <c r="A2162" s="81"/>
      <c r="B2162" s="82" t="s">
        <v>1941</v>
      </c>
      <c r="C2162" s="82" t="s">
        <v>1502</v>
      </c>
      <c r="D2162" s="82" t="s">
        <v>301</v>
      </c>
      <c r="E2162" s="82" t="s">
        <v>1500</v>
      </c>
      <c r="F2162" s="82" t="s">
        <v>1501</v>
      </c>
      <c r="G2162" s="82" t="s">
        <v>1513</v>
      </c>
      <c r="H2162" s="83"/>
      <c r="I2162" s="226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83"/>
      <c r="V2162" s="83"/>
      <c r="W2162" s="83"/>
      <c r="X2162" s="83"/>
      <c r="Y2162" s="83"/>
      <c r="Z2162" s="83"/>
      <c r="AA2162" s="83"/>
      <c r="AB2162" s="83"/>
      <c r="AC2162" s="83"/>
      <c r="AD2162" s="83"/>
      <c r="AE2162" s="84"/>
    </row>
    <row r="2163" spans="1:31" x14ac:dyDescent="0.3">
      <c r="A2163" s="72" t="s">
        <v>1315</v>
      </c>
      <c r="B2163" s="73" t="s">
        <v>2247</v>
      </c>
      <c r="C2163" s="74" t="s">
        <v>1479</v>
      </c>
      <c r="D2163" s="74" t="s">
        <v>1316</v>
      </c>
      <c r="E2163" s="74" t="s">
        <v>1480</v>
      </c>
      <c r="F2163" s="74"/>
      <c r="G2163" s="74" t="s">
        <v>1481</v>
      </c>
      <c r="H2163" s="73" t="s">
        <v>1575</v>
      </c>
      <c r="I2163" s="226"/>
      <c r="J2163" s="73" t="s">
        <v>1314</v>
      </c>
      <c r="K2163" s="73" t="s">
        <v>1485</v>
      </c>
      <c r="L2163" s="73" t="s">
        <v>195</v>
      </c>
      <c r="M2163" s="73" t="s">
        <v>1483</v>
      </c>
      <c r="N2163" s="73" t="s">
        <v>1483</v>
      </c>
      <c r="O2163" s="73" t="s">
        <v>2655</v>
      </c>
      <c r="P2163" s="73" t="s">
        <v>2655</v>
      </c>
      <c r="Q2163" s="73" t="s">
        <v>2655</v>
      </c>
      <c r="R2163" s="73" t="s">
        <v>2655</v>
      </c>
      <c r="S2163" s="73" t="s">
        <v>1484</v>
      </c>
      <c r="T2163" s="73" t="s">
        <v>1484</v>
      </c>
      <c r="U2163" s="73" t="s">
        <v>1484</v>
      </c>
      <c r="V2163" s="73" t="s">
        <v>1484</v>
      </c>
      <c r="W2163" s="73" t="s">
        <v>1485</v>
      </c>
      <c r="X2163" s="73" t="s">
        <v>1484</v>
      </c>
      <c r="Y2163" s="73" t="s">
        <v>1484</v>
      </c>
      <c r="Z2163" s="73" t="s">
        <v>1484</v>
      </c>
      <c r="AA2163" s="73" t="s">
        <v>1485</v>
      </c>
      <c r="AB2163" s="73" t="s">
        <v>1484</v>
      </c>
      <c r="AC2163" s="73" t="s">
        <v>1486</v>
      </c>
      <c r="AD2163" s="73" t="s">
        <v>1487</v>
      </c>
      <c r="AE2163" s="75" t="s">
        <v>1579</v>
      </c>
    </row>
    <row r="2164" spans="1:31" ht="15" thickBot="1" x14ac:dyDescent="0.35">
      <c r="A2164" s="76"/>
      <c r="B2164" s="77"/>
      <c r="C2164" s="78" t="s">
        <v>1493</v>
      </c>
      <c r="D2164" s="78" t="s">
        <v>315</v>
      </c>
      <c r="E2164" s="78" t="s">
        <v>1500</v>
      </c>
      <c r="F2164" s="78" t="s">
        <v>1501</v>
      </c>
      <c r="G2164" s="78" t="s">
        <v>1492</v>
      </c>
      <c r="H2164" s="77"/>
      <c r="I2164" s="227"/>
      <c r="J2164" s="77"/>
      <c r="K2164" s="77"/>
      <c r="L2164" s="77"/>
      <c r="M2164" s="77"/>
      <c r="N2164" s="77"/>
      <c r="O2164" s="77"/>
      <c r="P2164" s="77"/>
      <c r="Q2164" s="77"/>
      <c r="R2164" s="77"/>
      <c r="S2164" s="77"/>
      <c r="T2164" s="77"/>
      <c r="U2164" s="77"/>
      <c r="V2164" s="77"/>
      <c r="W2164" s="77"/>
      <c r="X2164" s="77"/>
      <c r="Y2164" s="77"/>
      <c r="Z2164" s="77"/>
      <c r="AA2164" s="77"/>
      <c r="AB2164" s="77"/>
      <c r="AC2164" s="77"/>
      <c r="AD2164" s="77"/>
      <c r="AE2164" s="79"/>
    </row>
    <row r="2165" spans="1:31" x14ac:dyDescent="0.3">
      <c r="A2165" s="76"/>
      <c r="B2165" s="77"/>
      <c r="C2165" s="78" t="s">
        <v>1496</v>
      </c>
      <c r="D2165" s="78" t="s">
        <v>591</v>
      </c>
      <c r="E2165" s="78" t="s">
        <v>1503</v>
      </c>
      <c r="F2165" s="78" t="s">
        <v>1495</v>
      </c>
      <c r="G2165" s="78" t="s">
        <v>1492</v>
      </c>
      <c r="H2165" s="77"/>
      <c r="I2165" s="225" t="s">
        <v>1485</v>
      </c>
      <c r="J2165" s="77"/>
      <c r="K2165" s="77"/>
      <c r="L2165" s="77"/>
      <c r="M2165" s="77"/>
      <c r="N2165" s="77"/>
      <c r="O2165" s="77"/>
      <c r="P2165" s="77"/>
      <c r="Q2165" s="77"/>
      <c r="R2165" s="77"/>
      <c r="S2165" s="77"/>
      <c r="T2165" s="77"/>
      <c r="U2165" s="77"/>
      <c r="V2165" s="77"/>
      <c r="W2165" s="77"/>
      <c r="X2165" s="77"/>
      <c r="Y2165" s="77"/>
      <c r="Z2165" s="77"/>
      <c r="AA2165" s="77"/>
      <c r="AB2165" s="77"/>
      <c r="AC2165" s="77"/>
      <c r="AD2165" s="77"/>
      <c r="AE2165" s="79"/>
    </row>
    <row r="2166" spans="1:31" x14ac:dyDescent="0.3">
      <c r="A2166" s="76"/>
      <c r="B2166" s="80"/>
      <c r="C2166" s="78" t="s">
        <v>1507</v>
      </c>
      <c r="D2166" s="78" t="s">
        <v>423</v>
      </c>
      <c r="E2166" s="78" t="s">
        <v>1961</v>
      </c>
      <c r="F2166" s="78" t="s">
        <v>2097</v>
      </c>
      <c r="G2166" s="78" t="s">
        <v>1492</v>
      </c>
      <c r="H2166" s="77"/>
      <c r="I2166" s="226"/>
      <c r="J2166" s="77"/>
      <c r="K2166" s="77"/>
      <c r="L2166" s="77"/>
      <c r="M2166" s="77"/>
      <c r="N2166" s="77"/>
      <c r="O2166" s="77"/>
      <c r="P2166" s="77"/>
      <c r="Q2166" s="77"/>
      <c r="R2166" s="77"/>
      <c r="S2166" s="77"/>
      <c r="T2166" s="77"/>
      <c r="U2166" s="77"/>
      <c r="V2166" s="77"/>
      <c r="W2166" s="77"/>
      <c r="X2166" s="77"/>
      <c r="Y2166" s="77"/>
      <c r="Z2166" s="77"/>
      <c r="AA2166" s="77"/>
      <c r="AB2166" s="77"/>
      <c r="AC2166" s="77"/>
      <c r="AD2166" s="77"/>
      <c r="AE2166" s="79"/>
    </row>
    <row r="2167" spans="1:31" x14ac:dyDescent="0.3">
      <c r="A2167" s="76"/>
      <c r="B2167" s="78" t="s">
        <v>1837</v>
      </c>
      <c r="C2167" s="78" t="s">
        <v>1502</v>
      </c>
      <c r="D2167" s="78" t="s">
        <v>68</v>
      </c>
      <c r="E2167" s="78" t="s">
        <v>1480</v>
      </c>
      <c r="F2167" s="78" t="s">
        <v>1518</v>
      </c>
      <c r="G2167" s="78" t="s">
        <v>1513</v>
      </c>
      <c r="H2167" s="77"/>
      <c r="I2167" s="226"/>
      <c r="J2167" s="77"/>
      <c r="K2167" s="77"/>
      <c r="L2167" s="77"/>
      <c r="M2167" s="77"/>
      <c r="N2167" s="77"/>
      <c r="O2167" s="77"/>
      <c r="P2167" s="77"/>
      <c r="Q2167" s="77"/>
      <c r="R2167" s="77"/>
      <c r="S2167" s="77"/>
      <c r="T2167" s="77"/>
      <c r="U2167" s="77"/>
      <c r="V2167" s="77"/>
      <c r="W2167" s="77"/>
      <c r="X2167" s="77"/>
      <c r="Y2167" s="77"/>
      <c r="Z2167" s="77"/>
      <c r="AA2167" s="77"/>
      <c r="AB2167" s="77"/>
      <c r="AC2167" s="77"/>
      <c r="AD2167" s="77"/>
      <c r="AE2167" s="79"/>
    </row>
    <row r="2168" spans="1:31" x14ac:dyDescent="0.3">
      <c r="A2168" s="76"/>
      <c r="B2168" s="78" t="s">
        <v>1934</v>
      </c>
      <c r="C2168" s="78" t="s">
        <v>1496</v>
      </c>
      <c r="D2168" s="78" t="s">
        <v>591</v>
      </c>
      <c r="E2168" s="78" t="s">
        <v>1503</v>
      </c>
      <c r="F2168" s="78" t="s">
        <v>1495</v>
      </c>
      <c r="G2168" s="78" t="s">
        <v>1513</v>
      </c>
      <c r="H2168" s="77"/>
      <c r="I2168" s="226"/>
      <c r="J2168" s="77"/>
      <c r="K2168" s="77"/>
      <c r="L2168" s="77"/>
      <c r="M2168" s="77"/>
      <c r="N2168" s="77"/>
      <c r="O2168" s="77"/>
      <c r="P2168" s="77"/>
      <c r="Q2168" s="77"/>
      <c r="R2168" s="77"/>
      <c r="S2168" s="77"/>
      <c r="T2168" s="77"/>
      <c r="U2168" s="77"/>
      <c r="V2168" s="77"/>
      <c r="W2168" s="77"/>
      <c r="X2168" s="77"/>
      <c r="Y2168" s="77"/>
      <c r="Z2168" s="77"/>
      <c r="AA2168" s="77"/>
      <c r="AB2168" s="77"/>
      <c r="AC2168" s="77"/>
      <c r="AD2168" s="77"/>
      <c r="AE2168" s="79"/>
    </row>
    <row r="2169" spans="1:31" ht="15" thickBot="1" x14ac:dyDescent="0.35">
      <c r="A2169" s="81"/>
      <c r="B2169" s="82" t="s">
        <v>1945</v>
      </c>
      <c r="C2169" s="82" t="s">
        <v>1507</v>
      </c>
      <c r="D2169" s="82" t="s">
        <v>315</v>
      </c>
      <c r="E2169" s="82" t="s">
        <v>1500</v>
      </c>
      <c r="F2169" s="82" t="s">
        <v>1501</v>
      </c>
      <c r="G2169" s="82" t="s">
        <v>1513</v>
      </c>
      <c r="H2169" s="83"/>
      <c r="I2169" s="226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83"/>
      <c r="V2169" s="83"/>
      <c r="W2169" s="83"/>
      <c r="X2169" s="83"/>
      <c r="Y2169" s="83"/>
      <c r="Z2169" s="83"/>
      <c r="AA2169" s="83"/>
      <c r="AB2169" s="83"/>
      <c r="AC2169" s="83"/>
      <c r="AD2169" s="83"/>
      <c r="AE2169" s="84"/>
    </row>
    <row r="2170" spans="1:31" x14ac:dyDescent="0.3">
      <c r="A2170" s="72" t="s">
        <v>1319</v>
      </c>
      <c r="B2170" s="73" t="s">
        <v>2248</v>
      </c>
      <c r="C2170" s="74" t="s">
        <v>1479</v>
      </c>
      <c r="D2170" s="74" t="s">
        <v>1320</v>
      </c>
      <c r="E2170" s="74" t="s">
        <v>1480</v>
      </c>
      <c r="F2170" s="74"/>
      <c r="G2170" s="74" t="s">
        <v>1481</v>
      </c>
      <c r="H2170" s="73" t="s">
        <v>1575</v>
      </c>
      <c r="I2170" s="226"/>
      <c r="J2170" s="73" t="s">
        <v>1318</v>
      </c>
      <c r="K2170" s="73" t="s">
        <v>1485</v>
      </c>
      <c r="L2170" s="73" t="s">
        <v>195</v>
      </c>
      <c r="M2170" s="73" t="s">
        <v>1483</v>
      </c>
      <c r="N2170" s="73" t="s">
        <v>1483</v>
      </c>
      <c r="O2170" s="73" t="s">
        <v>1483</v>
      </c>
      <c r="P2170" s="73" t="s">
        <v>1483</v>
      </c>
      <c r="Q2170" s="73" t="s">
        <v>1483</v>
      </c>
      <c r="R2170" s="73" t="s">
        <v>1483</v>
      </c>
      <c r="S2170" s="73" t="s">
        <v>1484</v>
      </c>
      <c r="T2170" s="73" t="s">
        <v>1484</v>
      </c>
      <c r="U2170" s="73" t="s">
        <v>1484</v>
      </c>
      <c r="V2170" s="73" t="s">
        <v>1484</v>
      </c>
      <c r="W2170" s="73" t="s">
        <v>1485</v>
      </c>
      <c r="X2170" s="73" t="s">
        <v>1484</v>
      </c>
      <c r="Y2170" s="73" t="s">
        <v>1484</v>
      </c>
      <c r="Z2170" s="73" t="s">
        <v>1484</v>
      </c>
      <c r="AA2170" s="73" t="s">
        <v>1485</v>
      </c>
      <c r="AB2170" s="73" t="s">
        <v>1484</v>
      </c>
      <c r="AC2170" s="73" t="s">
        <v>1486</v>
      </c>
      <c r="AD2170" s="73" t="s">
        <v>1487</v>
      </c>
      <c r="AE2170" s="75" t="s">
        <v>1579</v>
      </c>
    </row>
    <row r="2171" spans="1:31" ht="15" thickBot="1" x14ac:dyDescent="0.35">
      <c r="A2171" s="76"/>
      <c r="B2171" s="77"/>
      <c r="C2171" s="78" t="s">
        <v>1489</v>
      </c>
      <c r="D2171" s="78" t="s">
        <v>225</v>
      </c>
      <c r="E2171" s="78" t="s">
        <v>1795</v>
      </c>
      <c r="F2171" s="78" t="s">
        <v>1611</v>
      </c>
      <c r="G2171" s="78" t="s">
        <v>1492</v>
      </c>
      <c r="H2171" s="77"/>
      <c r="I2171" s="227"/>
      <c r="J2171" s="77"/>
      <c r="K2171" s="77"/>
      <c r="L2171" s="77"/>
      <c r="M2171" s="77"/>
      <c r="N2171" s="77"/>
      <c r="O2171" s="77"/>
      <c r="P2171" s="77"/>
      <c r="Q2171" s="77"/>
      <c r="R2171" s="77"/>
      <c r="S2171" s="77"/>
      <c r="T2171" s="77"/>
      <c r="U2171" s="77"/>
      <c r="V2171" s="77"/>
      <c r="W2171" s="77"/>
      <c r="X2171" s="77"/>
      <c r="Y2171" s="77"/>
      <c r="Z2171" s="77"/>
      <c r="AA2171" s="77"/>
      <c r="AB2171" s="77"/>
      <c r="AC2171" s="77"/>
      <c r="AD2171" s="77"/>
      <c r="AE2171" s="79"/>
    </row>
    <row r="2172" spans="1:31" x14ac:dyDescent="0.3">
      <c r="A2172" s="76"/>
      <c r="B2172" s="80"/>
      <c r="C2172" s="78" t="s">
        <v>1493</v>
      </c>
      <c r="D2172" s="78" t="s">
        <v>383</v>
      </c>
      <c r="E2172" s="78" t="s">
        <v>1500</v>
      </c>
      <c r="F2172" s="78" t="s">
        <v>1501</v>
      </c>
      <c r="G2172" s="78" t="s">
        <v>1492</v>
      </c>
      <c r="H2172" s="77"/>
      <c r="I2172" s="225" t="s">
        <v>1485</v>
      </c>
      <c r="J2172" s="77"/>
      <c r="K2172" s="77"/>
      <c r="L2172" s="77"/>
      <c r="M2172" s="77"/>
      <c r="N2172" s="77"/>
      <c r="O2172" s="77"/>
      <c r="P2172" s="77"/>
      <c r="Q2172" s="77"/>
      <c r="R2172" s="77"/>
      <c r="S2172" s="77"/>
      <c r="T2172" s="77"/>
      <c r="U2172" s="77"/>
      <c r="V2172" s="77"/>
      <c r="W2172" s="77"/>
      <c r="X2172" s="77"/>
      <c r="Y2172" s="77"/>
      <c r="Z2172" s="77"/>
      <c r="AA2172" s="77"/>
      <c r="AB2172" s="77"/>
      <c r="AC2172" s="77"/>
      <c r="AD2172" s="77"/>
      <c r="AE2172" s="79"/>
    </row>
    <row r="2173" spans="1:31" x14ac:dyDescent="0.3">
      <c r="A2173" s="76"/>
      <c r="B2173" s="78" t="s">
        <v>1843</v>
      </c>
      <c r="C2173" s="78" t="s">
        <v>1499</v>
      </c>
      <c r="D2173" s="78" t="s">
        <v>267</v>
      </c>
      <c r="E2173" s="78" t="s">
        <v>1480</v>
      </c>
      <c r="F2173" s="78" t="s">
        <v>1518</v>
      </c>
      <c r="G2173" s="78" t="s">
        <v>1513</v>
      </c>
      <c r="H2173" s="77"/>
      <c r="I2173" s="226"/>
      <c r="J2173" s="77"/>
      <c r="K2173" s="77"/>
      <c r="L2173" s="77"/>
      <c r="M2173" s="77"/>
      <c r="N2173" s="77"/>
      <c r="O2173" s="77"/>
      <c r="P2173" s="77"/>
      <c r="Q2173" s="77"/>
      <c r="R2173" s="77"/>
      <c r="S2173" s="77"/>
      <c r="T2173" s="77"/>
      <c r="U2173" s="77"/>
      <c r="V2173" s="77"/>
      <c r="W2173" s="77"/>
      <c r="X2173" s="77"/>
      <c r="Y2173" s="77"/>
      <c r="Z2173" s="77"/>
      <c r="AA2173" s="77"/>
      <c r="AB2173" s="77"/>
      <c r="AC2173" s="77"/>
      <c r="AD2173" s="77"/>
      <c r="AE2173" s="79"/>
    </row>
    <row r="2174" spans="1:31" ht="15" thickBot="1" x14ac:dyDescent="0.35">
      <c r="A2174" s="81"/>
      <c r="B2174" s="82" t="s">
        <v>1994</v>
      </c>
      <c r="C2174" s="82" t="s">
        <v>1502</v>
      </c>
      <c r="D2174" s="82" t="s">
        <v>383</v>
      </c>
      <c r="E2174" s="82" t="s">
        <v>1500</v>
      </c>
      <c r="F2174" s="82" t="s">
        <v>1501</v>
      </c>
      <c r="G2174" s="82" t="s">
        <v>1513</v>
      </c>
      <c r="H2174" s="83"/>
      <c r="I2174" s="226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83"/>
      <c r="V2174" s="83"/>
      <c r="W2174" s="83"/>
      <c r="X2174" s="83"/>
      <c r="Y2174" s="83"/>
      <c r="Z2174" s="83"/>
      <c r="AA2174" s="83"/>
      <c r="AB2174" s="83"/>
      <c r="AC2174" s="83"/>
      <c r="AD2174" s="83"/>
      <c r="AE2174" s="84"/>
    </row>
    <row r="2175" spans="1:31" x14ac:dyDescent="0.3">
      <c r="A2175" s="72" t="s">
        <v>1323</v>
      </c>
      <c r="B2175" s="74" t="s">
        <v>2249</v>
      </c>
      <c r="C2175" s="74" t="s">
        <v>1479</v>
      </c>
      <c r="D2175" s="74" t="s">
        <v>1324</v>
      </c>
      <c r="E2175" s="74" t="s">
        <v>1480</v>
      </c>
      <c r="F2175" s="74"/>
      <c r="G2175" s="74" t="s">
        <v>1481</v>
      </c>
      <c r="H2175" s="73" t="s">
        <v>1482</v>
      </c>
      <c r="I2175" s="226"/>
      <c r="J2175" s="73" t="s">
        <v>1322</v>
      </c>
      <c r="K2175" s="73" t="s">
        <v>1485</v>
      </c>
      <c r="L2175" s="73" t="s">
        <v>195</v>
      </c>
      <c r="M2175" s="73" t="s">
        <v>1483</v>
      </c>
      <c r="N2175" s="73" t="s">
        <v>1483</v>
      </c>
      <c r="O2175" s="73" t="s">
        <v>1483</v>
      </c>
      <c r="P2175" s="73" t="s">
        <v>1483</v>
      </c>
      <c r="Q2175" s="73" t="s">
        <v>1483</v>
      </c>
      <c r="R2175" s="73" t="s">
        <v>1483</v>
      </c>
      <c r="S2175" s="73" t="s">
        <v>1484</v>
      </c>
      <c r="T2175" s="73" t="s">
        <v>1484</v>
      </c>
      <c r="U2175" s="73" t="s">
        <v>1484</v>
      </c>
      <c r="V2175" s="73" t="s">
        <v>1484</v>
      </c>
      <c r="W2175" s="73" t="s">
        <v>1485</v>
      </c>
      <c r="X2175" s="73" t="s">
        <v>1484</v>
      </c>
      <c r="Y2175" s="73" t="s">
        <v>1484</v>
      </c>
      <c r="Z2175" s="73" t="s">
        <v>1485</v>
      </c>
      <c r="AA2175" s="73" t="s">
        <v>1485</v>
      </c>
      <c r="AB2175" s="73" t="s">
        <v>1484</v>
      </c>
      <c r="AC2175" s="73" t="s">
        <v>1486</v>
      </c>
      <c r="AD2175" s="73" t="s">
        <v>1487</v>
      </c>
      <c r="AE2175" s="75" t="s">
        <v>1488</v>
      </c>
    </row>
    <row r="2176" spans="1:31" x14ac:dyDescent="0.3">
      <c r="A2176" s="76"/>
      <c r="B2176" s="78" t="s">
        <v>1794</v>
      </c>
      <c r="C2176" s="78" t="s">
        <v>1502</v>
      </c>
      <c r="D2176" s="78" t="s">
        <v>219</v>
      </c>
      <c r="E2176" s="78" t="s">
        <v>1795</v>
      </c>
      <c r="F2176" s="78" t="s">
        <v>1600</v>
      </c>
      <c r="G2176" s="78" t="s">
        <v>1513</v>
      </c>
      <c r="H2176" s="77"/>
      <c r="I2176" s="226"/>
      <c r="J2176" s="77"/>
      <c r="K2176" s="77"/>
      <c r="L2176" s="77"/>
      <c r="M2176" s="77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  <c r="X2176" s="77"/>
      <c r="Y2176" s="77"/>
      <c r="Z2176" s="77"/>
      <c r="AA2176" s="77"/>
      <c r="AB2176" s="77"/>
      <c r="AC2176" s="77"/>
      <c r="AD2176" s="77"/>
      <c r="AE2176" s="79"/>
    </row>
    <row r="2177" spans="1:31" ht="15" thickBot="1" x14ac:dyDescent="0.35">
      <c r="A2177" s="81"/>
      <c r="B2177" s="82" t="s">
        <v>1851</v>
      </c>
      <c r="C2177" s="82" t="s">
        <v>1499</v>
      </c>
      <c r="D2177" s="82" t="s">
        <v>488</v>
      </c>
      <c r="E2177" s="82" t="s">
        <v>1480</v>
      </c>
      <c r="F2177" s="82" t="s">
        <v>1518</v>
      </c>
      <c r="G2177" s="82" t="s">
        <v>1513</v>
      </c>
      <c r="H2177" s="83"/>
      <c r="I2177" s="227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83"/>
      <c r="V2177" s="83"/>
      <c r="W2177" s="83"/>
      <c r="X2177" s="83"/>
      <c r="Y2177" s="83"/>
      <c r="Z2177" s="83"/>
      <c r="AA2177" s="83"/>
      <c r="AB2177" s="83"/>
      <c r="AC2177" s="83"/>
      <c r="AD2177" s="83"/>
      <c r="AE2177" s="84"/>
    </row>
    <row r="2178" spans="1:31" x14ac:dyDescent="0.3">
      <c r="A2178" s="72" t="s">
        <v>1327</v>
      </c>
      <c r="B2178" s="74" t="s">
        <v>2250</v>
      </c>
      <c r="C2178" s="74" t="s">
        <v>1479</v>
      </c>
      <c r="D2178" s="74" t="s">
        <v>1328</v>
      </c>
      <c r="E2178" s="74" t="s">
        <v>1480</v>
      </c>
      <c r="F2178" s="74"/>
      <c r="G2178" s="74" t="s">
        <v>1481</v>
      </c>
      <c r="H2178" s="73" t="s">
        <v>1482</v>
      </c>
      <c r="I2178" s="225" t="s">
        <v>1485</v>
      </c>
      <c r="J2178" s="73" t="s">
        <v>1326</v>
      </c>
      <c r="K2178" s="73" t="s">
        <v>1485</v>
      </c>
      <c r="L2178" s="73" t="s">
        <v>195</v>
      </c>
      <c r="M2178" s="73" t="s">
        <v>1483</v>
      </c>
      <c r="N2178" s="73" t="s">
        <v>1483</v>
      </c>
      <c r="O2178" s="73" t="s">
        <v>1483</v>
      </c>
      <c r="P2178" s="73" t="s">
        <v>1483</v>
      </c>
      <c r="Q2178" s="73" t="s">
        <v>1483</v>
      </c>
      <c r="R2178" s="73" t="s">
        <v>1483</v>
      </c>
      <c r="S2178" s="73" t="s">
        <v>1484</v>
      </c>
      <c r="T2178" s="73" t="s">
        <v>1484</v>
      </c>
      <c r="U2178" s="73" t="s">
        <v>1484</v>
      </c>
      <c r="V2178" s="73" t="s">
        <v>1484</v>
      </c>
      <c r="W2178" s="73" t="s">
        <v>1485</v>
      </c>
      <c r="X2178" s="73" t="s">
        <v>1484</v>
      </c>
      <c r="Y2178" s="73" t="s">
        <v>1484</v>
      </c>
      <c r="Z2178" s="73" t="s">
        <v>1485</v>
      </c>
      <c r="AA2178" s="73" t="s">
        <v>1485</v>
      </c>
      <c r="AB2178" s="73" t="s">
        <v>1484</v>
      </c>
      <c r="AC2178" s="73" t="s">
        <v>1486</v>
      </c>
      <c r="AD2178" s="73" t="s">
        <v>1487</v>
      </c>
      <c r="AE2178" s="75" t="s">
        <v>1488</v>
      </c>
    </row>
    <row r="2179" spans="1:31" ht="15" thickBot="1" x14ac:dyDescent="0.35">
      <c r="A2179" s="81"/>
      <c r="B2179" s="82" t="s">
        <v>1860</v>
      </c>
      <c r="C2179" s="82" t="s">
        <v>1499</v>
      </c>
      <c r="D2179" s="82" t="s">
        <v>463</v>
      </c>
      <c r="E2179" s="82" t="s">
        <v>1480</v>
      </c>
      <c r="F2179" s="82" t="s">
        <v>1518</v>
      </c>
      <c r="G2179" s="82" t="s">
        <v>1513</v>
      </c>
      <c r="H2179" s="83"/>
      <c r="I2179" s="226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83"/>
      <c r="V2179" s="83"/>
      <c r="W2179" s="83"/>
      <c r="X2179" s="83"/>
      <c r="Y2179" s="83"/>
      <c r="Z2179" s="83"/>
      <c r="AA2179" s="83"/>
      <c r="AB2179" s="83"/>
      <c r="AC2179" s="83"/>
      <c r="AD2179" s="83"/>
      <c r="AE2179" s="84"/>
    </row>
    <row r="2180" spans="1:31" x14ac:dyDescent="0.3">
      <c r="A2180" s="72" t="s">
        <v>1331</v>
      </c>
      <c r="B2180" s="74" t="s">
        <v>2251</v>
      </c>
      <c r="C2180" s="74" t="s">
        <v>1479</v>
      </c>
      <c r="D2180" s="74" t="s">
        <v>1332</v>
      </c>
      <c r="E2180" s="74" t="s">
        <v>1480</v>
      </c>
      <c r="F2180" s="74"/>
      <c r="G2180" s="74" t="s">
        <v>1481</v>
      </c>
      <c r="H2180" s="73" t="s">
        <v>1482</v>
      </c>
      <c r="I2180" s="226"/>
      <c r="J2180" s="73" t="s">
        <v>1330</v>
      </c>
      <c r="K2180" s="73" t="s">
        <v>1485</v>
      </c>
      <c r="L2180" s="73" t="s">
        <v>195</v>
      </c>
      <c r="M2180" s="73" t="s">
        <v>1483</v>
      </c>
      <c r="N2180" s="73" t="s">
        <v>1483</v>
      </c>
      <c r="O2180" s="73" t="s">
        <v>1483</v>
      </c>
      <c r="P2180" s="73" t="s">
        <v>1483</v>
      </c>
      <c r="Q2180" s="73" t="s">
        <v>1483</v>
      </c>
      <c r="R2180" s="73" t="s">
        <v>1483</v>
      </c>
      <c r="S2180" s="73" t="s">
        <v>1484</v>
      </c>
      <c r="T2180" s="73" t="s">
        <v>1484</v>
      </c>
      <c r="U2180" s="73" t="s">
        <v>1484</v>
      </c>
      <c r="V2180" s="73" t="s">
        <v>1484</v>
      </c>
      <c r="W2180" s="73" t="s">
        <v>1485</v>
      </c>
      <c r="X2180" s="73" t="s">
        <v>1484</v>
      </c>
      <c r="Y2180" s="73" t="s">
        <v>1484</v>
      </c>
      <c r="Z2180" s="73" t="s">
        <v>1485</v>
      </c>
      <c r="AA2180" s="73" t="s">
        <v>1485</v>
      </c>
      <c r="AB2180" s="73" t="s">
        <v>1484</v>
      </c>
      <c r="AC2180" s="73" t="s">
        <v>1486</v>
      </c>
      <c r="AD2180" s="73" t="s">
        <v>1487</v>
      </c>
      <c r="AE2180" s="75" t="s">
        <v>1488</v>
      </c>
    </row>
    <row r="2181" spans="1:31" ht="15" thickBot="1" x14ac:dyDescent="0.35">
      <c r="A2181" s="81"/>
      <c r="B2181" s="82" t="s">
        <v>1870</v>
      </c>
      <c r="C2181" s="82" t="s">
        <v>1499</v>
      </c>
      <c r="D2181" s="82" t="s">
        <v>456</v>
      </c>
      <c r="E2181" s="82" t="s">
        <v>1480</v>
      </c>
      <c r="F2181" s="82" t="s">
        <v>1518</v>
      </c>
      <c r="G2181" s="82" t="s">
        <v>1513</v>
      </c>
      <c r="H2181" s="83"/>
      <c r="I2181" s="226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83"/>
      <c r="V2181" s="83"/>
      <c r="W2181" s="83"/>
      <c r="X2181" s="83"/>
      <c r="Y2181" s="83"/>
      <c r="Z2181" s="83"/>
      <c r="AA2181" s="83"/>
      <c r="AB2181" s="83"/>
      <c r="AC2181" s="83"/>
      <c r="AD2181" s="83"/>
      <c r="AE2181" s="84"/>
    </row>
    <row r="2182" spans="1:31" x14ac:dyDescent="0.3">
      <c r="A2182" s="72" t="s">
        <v>1335</v>
      </c>
      <c r="B2182" s="73" t="s">
        <v>2252</v>
      </c>
      <c r="C2182" s="74" t="s">
        <v>1479</v>
      </c>
      <c r="D2182" s="74" t="s">
        <v>1336</v>
      </c>
      <c r="E2182" s="74" t="s">
        <v>1480</v>
      </c>
      <c r="F2182" s="74"/>
      <c r="G2182" s="74" t="s">
        <v>1481</v>
      </c>
      <c r="H2182" s="73" t="s">
        <v>1482</v>
      </c>
      <c r="I2182" s="226"/>
      <c r="J2182" s="73" t="s">
        <v>1334</v>
      </c>
      <c r="K2182" s="73" t="s">
        <v>1485</v>
      </c>
      <c r="L2182" s="73" t="s">
        <v>195</v>
      </c>
      <c r="M2182" s="73" t="s">
        <v>1483</v>
      </c>
      <c r="N2182" s="73" t="s">
        <v>1483</v>
      </c>
      <c r="O2182" s="73" t="s">
        <v>1483</v>
      </c>
      <c r="P2182" s="73" t="s">
        <v>1483</v>
      </c>
      <c r="Q2182" s="73" t="s">
        <v>1483</v>
      </c>
      <c r="R2182" s="73" t="s">
        <v>1483</v>
      </c>
      <c r="S2182" s="73" t="s">
        <v>1484</v>
      </c>
      <c r="T2182" s="73" t="s">
        <v>1484</v>
      </c>
      <c r="U2182" s="73" t="s">
        <v>1484</v>
      </c>
      <c r="V2182" s="73" t="s">
        <v>1484</v>
      </c>
      <c r="W2182" s="73" t="s">
        <v>1485</v>
      </c>
      <c r="X2182" s="73" t="s">
        <v>1484</v>
      </c>
      <c r="Y2182" s="73" t="s">
        <v>1484</v>
      </c>
      <c r="Z2182" s="73" t="s">
        <v>1485</v>
      </c>
      <c r="AA2182" s="73" t="s">
        <v>1485</v>
      </c>
      <c r="AB2182" s="73" t="s">
        <v>1484</v>
      </c>
      <c r="AC2182" s="73" t="s">
        <v>1486</v>
      </c>
      <c r="AD2182" s="73" t="s">
        <v>1487</v>
      </c>
      <c r="AE2182" s="75" t="s">
        <v>1488</v>
      </c>
    </row>
    <row r="2183" spans="1:31" x14ac:dyDescent="0.3">
      <c r="A2183" s="76"/>
      <c r="B2183" s="80"/>
      <c r="C2183" s="78" t="s">
        <v>1504</v>
      </c>
      <c r="D2183" s="78" t="s">
        <v>983</v>
      </c>
      <c r="E2183" s="78" t="s">
        <v>1490</v>
      </c>
      <c r="F2183" s="78" t="s">
        <v>1680</v>
      </c>
      <c r="G2183" s="78" t="s">
        <v>1492</v>
      </c>
      <c r="H2183" s="77"/>
      <c r="I2183" s="226"/>
      <c r="J2183" s="77"/>
      <c r="K2183" s="77"/>
      <c r="L2183" s="77"/>
      <c r="M2183" s="77"/>
      <c r="N2183" s="77"/>
      <c r="O2183" s="77"/>
      <c r="P2183" s="77"/>
      <c r="Q2183" s="77"/>
      <c r="R2183" s="77"/>
      <c r="S2183" s="77"/>
      <c r="T2183" s="77"/>
      <c r="U2183" s="77"/>
      <c r="V2183" s="77"/>
      <c r="W2183" s="77"/>
      <c r="X2183" s="77"/>
      <c r="Y2183" s="77"/>
      <c r="Z2183" s="77"/>
      <c r="AA2183" s="77"/>
      <c r="AB2183" s="77"/>
      <c r="AC2183" s="77"/>
      <c r="AD2183" s="77"/>
      <c r="AE2183" s="79"/>
    </row>
    <row r="2184" spans="1:31" ht="15" thickBot="1" x14ac:dyDescent="0.35">
      <c r="A2184" s="76"/>
      <c r="B2184" s="78" t="s">
        <v>1877</v>
      </c>
      <c r="C2184" s="78" t="s">
        <v>1499</v>
      </c>
      <c r="D2184" s="78" t="s">
        <v>448</v>
      </c>
      <c r="E2184" s="78" t="s">
        <v>1480</v>
      </c>
      <c r="F2184" s="78" t="s">
        <v>1518</v>
      </c>
      <c r="G2184" s="78" t="s">
        <v>1513</v>
      </c>
      <c r="H2184" s="77"/>
      <c r="I2184" s="227"/>
      <c r="J2184" s="77"/>
      <c r="K2184" s="77"/>
      <c r="L2184" s="77"/>
      <c r="M2184" s="77"/>
      <c r="N2184" s="77"/>
      <c r="O2184" s="77"/>
      <c r="P2184" s="77"/>
      <c r="Q2184" s="77"/>
      <c r="R2184" s="77"/>
      <c r="S2184" s="77"/>
      <c r="T2184" s="77"/>
      <c r="U2184" s="77"/>
      <c r="V2184" s="77"/>
      <c r="W2184" s="77"/>
      <c r="X2184" s="77"/>
      <c r="Y2184" s="77"/>
      <c r="Z2184" s="77"/>
      <c r="AA2184" s="77"/>
      <c r="AB2184" s="77"/>
      <c r="AC2184" s="77"/>
      <c r="AD2184" s="77"/>
      <c r="AE2184" s="79"/>
    </row>
    <row r="2185" spans="1:31" ht="15" thickBot="1" x14ac:dyDescent="0.35">
      <c r="A2185" s="81"/>
      <c r="B2185" s="82" t="s">
        <v>1705</v>
      </c>
      <c r="C2185" s="82" t="s">
        <v>1496</v>
      </c>
      <c r="D2185" s="82" t="s">
        <v>983</v>
      </c>
      <c r="E2185" s="82" t="s">
        <v>1490</v>
      </c>
      <c r="F2185" s="82" t="s">
        <v>1680</v>
      </c>
      <c r="G2185" s="82" t="s">
        <v>1513</v>
      </c>
      <c r="H2185" s="83"/>
      <c r="I2185" s="225" t="s">
        <v>1485</v>
      </c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83"/>
      <c r="V2185" s="83"/>
      <c r="W2185" s="83"/>
      <c r="X2185" s="83"/>
      <c r="Y2185" s="83"/>
      <c r="Z2185" s="83"/>
      <c r="AA2185" s="83"/>
      <c r="AB2185" s="83"/>
      <c r="AC2185" s="83"/>
      <c r="AD2185" s="83"/>
      <c r="AE2185" s="84"/>
    </row>
    <row r="2186" spans="1:31" x14ac:dyDescent="0.3">
      <c r="A2186" s="72" t="s">
        <v>1339</v>
      </c>
      <c r="B2186" s="73" t="s">
        <v>2253</v>
      </c>
      <c r="C2186" s="74" t="s">
        <v>1479</v>
      </c>
      <c r="D2186" s="74" t="s">
        <v>1340</v>
      </c>
      <c r="E2186" s="74" t="s">
        <v>1480</v>
      </c>
      <c r="F2186" s="74"/>
      <c r="G2186" s="74" t="s">
        <v>1481</v>
      </c>
      <c r="H2186" s="73" t="s">
        <v>1575</v>
      </c>
      <c r="I2186" s="226"/>
      <c r="J2186" s="73" t="s">
        <v>1338</v>
      </c>
      <c r="K2186" s="73" t="s">
        <v>1485</v>
      </c>
      <c r="L2186" s="73" t="s">
        <v>195</v>
      </c>
      <c r="M2186" s="73" t="s">
        <v>1483</v>
      </c>
      <c r="N2186" s="73" t="s">
        <v>1483</v>
      </c>
      <c r="O2186" s="73" t="s">
        <v>1483</v>
      </c>
      <c r="P2186" s="73" t="s">
        <v>1483</v>
      </c>
      <c r="Q2186" s="73" t="s">
        <v>1483</v>
      </c>
      <c r="R2186" s="73" t="s">
        <v>1483</v>
      </c>
      <c r="S2186" s="73" t="s">
        <v>1484</v>
      </c>
      <c r="T2186" s="73" t="s">
        <v>1484</v>
      </c>
      <c r="U2186" s="73" t="s">
        <v>1484</v>
      </c>
      <c r="V2186" s="73" t="s">
        <v>1484</v>
      </c>
      <c r="W2186" s="73" t="s">
        <v>1485</v>
      </c>
      <c r="X2186" s="73" t="s">
        <v>1484</v>
      </c>
      <c r="Y2186" s="73" t="s">
        <v>1484</v>
      </c>
      <c r="Z2186" s="73" t="s">
        <v>1484</v>
      </c>
      <c r="AA2186" s="73" t="s">
        <v>1485</v>
      </c>
      <c r="AB2186" s="73" t="s">
        <v>1484</v>
      </c>
      <c r="AC2186" s="73" t="s">
        <v>1486</v>
      </c>
      <c r="AD2186" s="73" t="s">
        <v>1487</v>
      </c>
      <c r="AE2186" s="75" t="s">
        <v>1579</v>
      </c>
    </row>
    <row r="2187" spans="1:31" x14ac:dyDescent="0.3">
      <c r="A2187" s="76"/>
      <c r="B2187" s="77"/>
      <c r="C2187" s="78" t="s">
        <v>1489</v>
      </c>
      <c r="D2187" s="78" t="s">
        <v>243</v>
      </c>
      <c r="E2187" s="78" t="s">
        <v>2004</v>
      </c>
      <c r="F2187" s="78" t="s">
        <v>1611</v>
      </c>
      <c r="G2187" s="78" t="s">
        <v>1492</v>
      </c>
      <c r="H2187" s="77"/>
      <c r="I2187" s="226"/>
      <c r="J2187" s="77"/>
      <c r="K2187" s="77"/>
      <c r="L2187" s="77"/>
      <c r="M2187" s="77"/>
      <c r="N2187" s="77"/>
      <c r="O2187" s="77"/>
      <c r="P2187" s="77"/>
      <c r="Q2187" s="77"/>
      <c r="R2187" s="77"/>
      <c r="S2187" s="77"/>
      <c r="T2187" s="77"/>
      <c r="U2187" s="77"/>
      <c r="V2187" s="77"/>
      <c r="W2187" s="77"/>
      <c r="X2187" s="77"/>
      <c r="Y2187" s="77"/>
      <c r="Z2187" s="77"/>
      <c r="AA2187" s="77"/>
      <c r="AB2187" s="77"/>
      <c r="AC2187" s="77"/>
      <c r="AD2187" s="77"/>
      <c r="AE2187" s="79"/>
    </row>
    <row r="2188" spans="1:31" x14ac:dyDescent="0.3">
      <c r="A2188" s="76"/>
      <c r="B2188" s="80"/>
      <c r="C2188" s="78" t="s">
        <v>1493</v>
      </c>
      <c r="D2188" s="78" t="s">
        <v>432</v>
      </c>
      <c r="E2188" s="78" t="s">
        <v>1500</v>
      </c>
      <c r="F2188" s="78" t="s">
        <v>1501</v>
      </c>
      <c r="G2188" s="78" t="s">
        <v>1492</v>
      </c>
      <c r="H2188" s="77"/>
      <c r="I2188" s="226"/>
      <c r="J2188" s="77"/>
      <c r="K2188" s="77"/>
      <c r="L2188" s="77"/>
      <c r="M2188" s="77"/>
      <c r="N2188" s="77"/>
      <c r="O2188" s="77"/>
      <c r="P2188" s="77"/>
      <c r="Q2188" s="77"/>
      <c r="R2188" s="77"/>
      <c r="S2188" s="77"/>
      <c r="T2188" s="77"/>
      <c r="U2188" s="77"/>
      <c r="V2188" s="77"/>
      <c r="W2188" s="77"/>
      <c r="X2188" s="77"/>
      <c r="Y2188" s="77"/>
      <c r="Z2188" s="77"/>
      <c r="AA2188" s="77"/>
      <c r="AB2188" s="77"/>
      <c r="AC2188" s="77"/>
      <c r="AD2188" s="77"/>
      <c r="AE2188" s="79"/>
    </row>
    <row r="2189" spans="1:31" x14ac:dyDescent="0.3">
      <c r="A2189" s="76"/>
      <c r="B2189" s="78" t="s">
        <v>1885</v>
      </c>
      <c r="C2189" s="78" t="s">
        <v>1499</v>
      </c>
      <c r="D2189" s="78" t="s">
        <v>344</v>
      </c>
      <c r="E2189" s="78" t="s">
        <v>1480</v>
      </c>
      <c r="F2189" s="78" t="s">
        <v>1518</v>
      </c>
      <c r="G2189" s="78" t="s">
        <v>1513</v>
      </c>
      <c r="H2189" s="77"/>
      <c r="I2189" s="226"/>
      <c r="J2189" s="77"/>
      <c r="K2189" s="77"/>
      <c r="L2189" s="77"/>
      <c r="M2189" s="77"/>
      <c r="N2189" s="77"/>
      <c r="O2189" s="77"/>
      <c r="P2189" s="77"/>
      <c r="Q2189" s="77"/>
      <c r="R2189" s="77"/>
      <c r="S2189" s="77"/>
      <c r="T2189" s="77"/>
      <c r="U2189" s="77"/>
      <c r="V2189" s="77"/>
      <c r="W2189" s="77"/>
      <c r="X2189" s="77"/>
      <c r="Y2189" s="77"/>
      <c r="Z2189" s="77"/>
      <c r="AA2189" s="77"/>
      <c r="AB2189" s="77"/>
      <c r="AC2189" s="77"/>
      <c r="AD2189" s="77"/>
      <c r="AE2189" s="79"/>
    </row>
    <row r="2190" spans="1:31" ht="15" thickBot="1" x14ac:dyDescent="0.35">
      <c r="A2190" s="81"/>
      <c r="B2190" s="82" t="s">
        <v>2000</v>
      </c>
      <c r="C2190" s="82" t="s">
        <v>1502</v>
      </c>
      <c r="D2190" s="82" t="s">
        <v>432</v>
      </c>
      <c r="E2190" s="82" t="s">
        <v>1500</v>
      </c>
      <c r="F2190" s="82" t="s">
        <v>1501</v>
      </c>
      <c r="G2190" s="82" t="s">
        <v>1513</v>
      </c>
      <c r="H2190" s="83"/>
      <c r="I2190" s="226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83"/>
      <c r="V2190" s="83"/>
      <c r="W2190" s="83"/>
      <c r="X2190" s="83"/>
      <c r="Y2190" s="83"/>
      <c r="Z2190" s="83"/>
      <c r="AA2190" s="83"/>
      <c r="AB2190" s="83"/>
      <c r="AC2190" s="83"/>
      <c r="AD2190" s="83"/>
      <c r="AE2190" s="84"/>
    </row>
    <row r="2191" spans="1:31" ht="15" thickBot="1" x14ac:dyDescent="0.35">
      <c r="A2191" s="72" t="s">
        <v>1343</v>
      </c>
      <c r="B2191" s="74" t="s">
        <v>2254</v>
      </c>
      <c r="C2191" s="74" t="s">
        <v>1479</v>
      </c>
      <c r="D2191" s="74" t="s">
        <v>1344</v>
      </c>
      <c r="E2191" s="74" t="s">
        <v>1480</v>
      </c>
      <c r="F2191" s="74"/>
      <c r="G2191" s="74" t="s">
        <v>1481</v>
      </c>
      <c r="H2191" s="73" t="s">
        <v>1482</v>
      </c>
      <c r="I2191" s="227"/>
      <c r="J2191" s="73" t="s">
        <v>1342</v>
      </c>
      <c r="K2191" s="73" t="s">
        <v>1485</v>
      </c>
      <c r="L2191" s="73" t="s">
        <v>195</v>
      </c>
      <c r="M2191" s="73" t="s">
        <v>1483</v>
      </c>
      <c r="N2191" s="73" t="s">
        <v>1483</v>
      </c>
      <c r="O2191" s="73" t="s">
        <v>1483</v>
      </c>
      <c r="P2191" s="73" t="s">
        <v>1483</v>
      </c>
      <c r="Q2191" s="73" t="s">
        <v>1483</v>
      </c>
      <c r="R2191" s="73" t="s">
        <v>1483</v>
      </c>
      <c r="S2191" s="73" t="s">
        <v>1484</v>
      </c>
      <c r="T2191" s="73" t="s">
        <v>1484</v>
      </c>
      <c r="U2191" s="73" t="s">
        <v>1484</v>
      </c>
      <c r="V2191" s="73" t="s">
        <v>1484</v>
      </c>
      <c r="W2191" s="73" t="s">
        <v>1485</v>
      </c>
      <c r="X2191" s="73" t="s">
        <v>1484</v>
      </c>
      <c r="Y2191" s="73" t="s">
        <v>1484</v>
      </c>
      <c r="Z2191" s="73" t="s">
        <v>1485</v>
      </c>
      <c r="AA2191" s="73" t="s">
        <v>1485</v>
      </c>
      <c r="AB2191" s="73" t="s">
        <v>1484</v>
      </c>
      <c r="AC2191" s="73" t="s">
        <v>1486</v>
      </c>
      <c r="AD2191" s="73" t="s">
        <v>1487</v>
      </c>
      <c r="AE2191" s="75" t="s">
        <v>1488</v>
      </c>
    </row>
    <row r="2192" spans="1:31" x14ac:dyDescent="0.3">
      <c r="A2192" s="76"/>
      <c r="B2192" s="78" t="s">
        <v>2010</v>
      </c>
      <c r="C2192" s="78" t="s">
        <v>1499</v>
      </c>
      <c r="D2192" s="78" t="s">
        <v>266</v>
      </c>
      <c r="E2192" s="78" t="s">
        <v>2004</v>
      </c>
      <c r="F2192" s="78" t="s">
        <v>1600</v>
      </c>
      <c r="G2192" s="78" t="s">
        <v>1513</v>
      </c>
      <c r="H2192" s="77"/>
      <c r="I2192" s="225" t="s">
        <v>1485</v>
      </c>
      <c r="J2192" s="77"/>
      <c r="K2192" s="77"/>
      <c r="L2192" s="77"/>
      <c r="M2192" s="77"/>
      <c r="N2192" s="77"/>
      <c r="O2192" s="77"/>
      <c r="P2192" s="77"/>
      <c r="Q2192" s="77"/>
      <c r="R2192" s="77"/>
      <c r="S2192" s="77"/>
      <c r="T2192" s="77"/>
      <c r="U2192" s="77"/>
      <c r="V2192" s="77"/>
      <c r="W2192" s="77"/>
      <c r="X2192" s="77"/>
      <c r="Y2192" s="77"/>
      <c r="Z2192" s="77"/>
      <c r="AA2192" s="77"/>
      <c r="AB2192" s="77"/>
      <c r="AC2192" s="77"/>
      <c r="AD2192" s="77"/>
      <c r="AE2192" s="79"/>
    </row>
    <row r="2193" spans="1:31" ht="15" thickBot="1" x14ac:dyDescent="0.35">
      <c r="A2193" s="81"/>
      <c r="B2193" s="82" t="s">
        <v>1891</v>
      </c>
      <c r="C2193" s="82" t="s">
        <v>1499</v>
      </c>
      <c r="D2193" s="82" t="s">
        <v>334</v>
      </c>
      <c r="E2193" s="82" t="s">
        <v>1480</v>
      </c>
      <c r="F2193" s="82" t="s">
        <v>1518</v>
      </c>
      <c r="G2193" s="82" t="s">
        <v>1513</v>
      </c>
      <c r="H2193" s="83"/>
      <c r="I2193" s="226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83"/>
      <c r="V2193" s="83"/>
      <c r="W2193" s="83"/>
      <c r="X2193" s="83"/>
      <c r="Y2193" s="83"/>
      <c r="Z2193" s="83"/>
      <c r="AA2193" s="83"/>
      <c r="AB2193" s="83"/>
      <c r="AC2193" s="83"/>
      <c r="AD2193" s="83"/>
      <c r="AE2193" s="84"/>
    </row>
    <row r="2194" spans="1:31" x14ac:dyDescent="0.3">
      <c r="A2194" s="72" t="s">
        <v>1347</v>
      </c>
      <c r="B2194" s="73" t="s">
        <v>2255</v>
      </c>
      <c r="C2194" s="74" t="s">
        <v>1479</v>
      </c>
      <c r="D2194" s="74" t="s">
        <v>1348</v>
      </c>
      <c r="E2194" s="74" t="s">
        <v>1480</v>
      </c>
      <c r="F2194" s="74"/>
      <c r="G2194" s="74" t="s">
        <v>1481</v>
      </c>
      <c r="H2194" s="73" t="s">
        <v>1575</v>
      </c>
      <c r="I2194" s="226"/>
      <c r="J2194" s="73" t="s">
        <v>1346</v>
      </c>
      <c r="K2194" s="73" t="s">
        <v>1485</v>
      </c>
      <c r="L2194" s="73" t="s">
        <v>195</v>
      </c>
      <c r="M2194" s="73" t="s">
        <v>1483</v>
      </c>
      <c r="N2194" s="73" t="s">
        <v>1483</v>
      </c>
      <c r="O2194" s="73" t="s">
        <v>2655</v>
      </c>
      <c r="P2194" s="73" t="s">
        <v>2655</v>
      </c>
      <c r="Q2194" s="73" t="s">
        <v>2655</v>
      </c>
      <c r="R2194" s="73" t="s">
        <v>2655</v>
      </c>
      <c r="S2194" s="73" t="s">
        <v>1484</v>
      </c>
      <c r="T2194" s="73" t="s">
        <v>1484</v>
      </c>
      <c r="U2194" s="73" t="s">
        <v>1484</v>
      </c>
      <c r="V2194" s="73" t="s">
        <v>1484</v>
      </c>
      <c r="W2194" s="73" t="s">
        <v>1485</v>
      </c>
      <c r="X2194" s="73" t="s">
        <v>1484</v>
      </c>
      <c r="Y2194" s="73" t="s">
        <v>1484</v>
      </c>
      <c r="Z2194" s="73" t="s">
        <v>1484</v>
      </c>
      <c r="AA2194" s="73" t="s">
        <v>1485</v>
      </c>
      <c r="AB2194" s="73" t="s">
        <v>1484</v>
      </c>
      <c r="AC2194" s="73" t="s">
        <v>1486</v>
      </c>
      <c r="AD2194" s="73" t="s">
        <v>1487</v>
      </c>
      <c r="AE2194" s="75" t="s">
        <v>1579</v>
      </c>
    </row>
    <row r="2195" spans="1:31" x14ac:dyDescent="0.3">
      <c r="A2195" s="76"/>
      <c r="B2195" s="77"/>
      <c r="C2195" s="78" t="s">
        <v>1493</v>
      </c>
      <c r="D2195" s="78" t="s">
        <v>503</v>
      </c>
      <c r="E2195" s="78" t="s">
        <v>1500</v>
      </c>
      <c r="F2195" s="78" t="s">
        <v>1501</v>
      </c>
      <c r="G2195" s="78" t="s">
        <v>1492</v>
      </c>
      <c r="H2195" s="77"/>
      <c r="I2195" s="226"/>
      <c r="J2195" s="77"/>
      <c r="K2195" s="77"/>
      <c r="L2195" s="77"/>
      <c r="M2195" s="77"/>
      <c r="N2195" s="77"/>
      <c r="O2195" s="77"/>
      <c r="P2195" s="77"/>
      <c r="Q2195" s="77"/>
      <c r="R2195" s="77"/>
      <c r="S2195" s="77"/>
      <c r="T2195" s="77"/>
      <c r="U2195" s="77"/>
      <c r="V2195" s="77"/>
      <c r="W2195" s="77"/>
      <c r="X2195" s="77"/>
      <c r="Y2195" s="77"/>
      <c r="Z2195" s="77"/>
      <c r="AA2195" s="77"/>
      <c r="AB2195" s="77"/>
      <c r="AC2195" s="77"/>
      <c r="AD2195" s="77"/>
      <c r="AE2195" s="79"/>
    </row>
    <row r="2196" spans="1:31" ht="15" thickBot="1" x14ac:dyDescent="0.35">
      <c r="A2196" s="76"/>
      <c r="B2196" s="77"/>
      <c r="C2196" s="78" t="s">
        <v>1502</v>
      </c>
      <c r="D2196" s="78" t="s">
        <v>356</v>
      </c>
      <c r="E2196" s="78" t="s">
        <v>1620</v>
      </c>
      <c r="F2196" s="78" t="s">
        <v>1495</v>
      </c>
      <c r="G2196" s="78" t="s">
        <v>1492</v>
      </c>
      <c r="H2196" s="77"/>
      <c r="I2196" s="227"/>
      <c r="J2196" s="77"/>
      <c r="K2196" s="77"/>
      <c r="L2196" s="77"/>
      <c r="M2196" s="77"/>
      <c r="N2196" s="77"/>
      <c r="O2196" s="77"/>
      <c r="P2196" s="77"/>
      <c r="Q2196" s="77"/>
      <c r="R2196" s="77"/>
      <c r="S2196" s="77"/>
      <c r="T2196" s="77"/>
      <c r="U2196" s="77"/>
      <c r="V2196" s="77"/>
      <c r="W2196" s="77"/>
      <c r="X2196" s="77"/>
      <c r="Y2196" s="77"/>
      <c r="Z2196" s="77"/>
      <c r="AA2196" s="77"/>
      <c r="AB2196" s="77"/>
      <c r="AC2196" s="77"/>
      <c r="AD2196" s="77"/>
      <c r="AE2196" s="79"/>
    </row>
    <row r="2197" spans="1:31" x14ac:dyDescent="0.3">
      <c r="A2197" s="76"/>
      <c r="B2197" s="80"/>
      <c r="C2197" s="78" t="s">
        <v>1507</v>
      </c>
      <c r="D2197" s="78" t="s">
        <v>446</v>
      </c>
      <c r="E2197" s="78" t="s">
        <v>1961</v>
      </c>
      <c r="F2197" s="78" t="s">
        <v>2097</v>
      </c>
      <c r="G2197" s="78" t="s">
        <v>1492</v>
      </c>
      <c r="H2197" s="77"/>
      <c r="I2197" s="225" t="s">
        <v>1485</v>
      </c>
      <c r="J2197" s="77"/>
      <c r="K2197" s="77"/>
      <c r="L2197" s="77"/>
      <c r="M2197" s="77"/>
      <c r="N2197" s="77"/>
      <c r="O2197" s="77"/>
      <c r="P2197" s="77"/>
      <c r="Q2197" s="77"/>
      <c r="R2197" s="77"/>
      <c r="S2197" s="77"/>
      <c r="T2197" s="77"/>
      <c r="U2197" s="77"/>
      <c r="V2197" s="77"/>
      <c r="W2197" s="77"/>
      <c r="X2197" s="77"/>
      <c r="Y2197" s="77"/>
      <c r="Z2197" s="77"/>
      <c r="AA2197" s="77"/>
      <c r="AB2197" s="77"/>
      <c r="AC2197" s="77"/>
      <c r="AD2197" s="77"/>
      <c r="AE2197" s="79"/>
    </row>
    <row r="2198" spans="1:31" x14ac:dyDescent="0.3">
      <c r="A2198" s="76"/>
      <c r="B2198" s="78" t="s">
        <v>1896</v>
      </c>
      <c r="C2198" s="78" t="s">
        <v>1499</v>
      </c>
      <c r="D2198" s="78" t="s">
        <v>304</v>
      </c>
      <c r="E2198" s="78" t="s">
        <v>1480</v>
      </c>
      <c r="F2198" s="78" t="s">
        <v>1518</v>
      </c>
      <c r="G2198" s="78" t="s">
        <v>1513</v>
      </c>
      <c r="H2198" s="77"/>
      <c r="I2198" s="226"/>
      <c r="J2198" s="77"/>
      <c r="K2198" s="77"/>
      <c r="L2198" s="77"/>
      <c r="M2198" s="77"/>
      <c r="N2198" s="77"/>
      <c r="O2198" s="77"/>
      <c r="P2198" s="77"/>
      <c r="Q2198" s="77"/>
      <c r="R2198" s="77"/>
      <c r="S2198" s="77"/>
      <c r="T2198" s="77"/>
      <c r="U2198" s="77"/>
      <c r="V2198" s="77"/>
      <c r="W2198" s="77"/>
      <c r="X2198" s="77"/>
      <c r="Y2198" s="77"/>
      <c r="Z2198" s="77"/>
      <c r="AA2198" s="77"/>
      <c r="AB2198" s="77"/>
      <c r="AC2198" s="77"/>
      <c r="AD2198" s="77"/>
      <c r="AE2198" s="79"/>
    </row>
    <row r="2199" spans="1:31" ht="15" thickBot="1" x14ac:dyDescent="0.35">
      <c r="A2199" s="76"/>
      <c r="B2199" s="78" t="s">
        <v>1904</v>
      </c>
      <c r="C2199" s="78" t="s">
        <v>1499</v>
      </c>
      <c r="D2199" s="78" t="s">
        <v>356</v>
      </c>
      <c r="E2199" s="78" t="s">
        <v>1620</v>
      </c>
      <c r="F2199" s="78" t="s">
        <v>1495</v>
      </c>
      <c r="G2199" s="78" t="s">
        <v>1513</v>
      </c>
      <c r="H2199" s="77"/>
      <c r="I2199" s="227"/>
      <c r="J2199" s="77"/>
      <c r="K2199" s="77"/>
      <c r="L2199" s="77"/>
      <c r="M2199" s="77"/>
      <c r="N2199" s="77"/>
      <c r="O2199" s="77"/>
      <c r="P2199" s="77"/>
      <c r="Q2199" s="77"/>
      <c r="R2199" s="77"/>
      <c r="S2199" s="77"/>
      <c r="T2199" s="77"/>
      <c r="U2199" s="77"/>
      <c r="V2199" s="77"/>
      <c r="W2199" s="77"/>
      <c r="X2199" s="77"/>
      <c r="Y2199" s="77"/>
      <c r="Z2199" s="77"/>
      <c r="AA2199" s="77"/>
      <c r="AB2199" s="77"/>
      <c r="AC2199" s="77"/>
      <c r="AD2199" s="77"/>
      <c r="AE2199" s="79"/>
    </row>
    <row r="2200" spans="1:31" ht="15" thickBot="1" x14ac:dyDescent="0.35">
      <c r="A2200" s="81"/>
      <c r="B2200" s="82" t="s">
        <v>1684</v>
      </c>
      <c r="C2200" s="82" t="s">
        <v>1502</v>
      </c>
      <c r="D2200" s="82" t="s">
        <v>503</v>
      </c>
      <c r="E2200" s="82" t="s">
        <v>1500</v>
      </c>
      <c r="F2200" s="82" t="s">
        <v>1501</v>
      </c>
      <c r="G2200" s="82" t="s">
        <v>1513</v>
      </c>
      <c r="H2200" s="83"/>
      <c r="I2200" s="225" t="s">
        <v>1485</v>
      </c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83"/>
      <c r="V2200" s="83"/>
      <c r="W2200" s="83"/>
      <c r="X2200" s="83"/>
      <c r="Y2200" s="83"/>
      <c r="Z2200" s="83"/>
      <c r="AA2200" s="83"/>
      <c r="AB2200" s="83"/>
      <c r="AC2200" s="83"/>
      <c r="AD2200" s="83"/>
      <c r="AE2200" s="84"/>
    </row>
    <row r="2201" spans="1:31" ht="15" thickBot="1" x14ac:dyDescent="0.35">
      <c r="A2201" s="72" t="s">
        <v>1351</v>
      </c>
      <c r="B2201" s="73" t="s">
        <v>2256</v>
      </c>
      <c r="C2201" s="74" t="s">
        <v>1479</v>
      </c>
      <c r="D2201" s="74" t="s">
        <v>1352</v>
      </c>
      <c r="E2201" s="74" t="s">
        <v>1480</v>
      </c>
      <c r="F2201" s="74"/>
      <c r="G2201" s="74" t="s">
        <v>1481</v>
      </c>
      <c r="H2201" s="73" t="s">
        <v>1575</v>
      </c>
      <c r="I2201" s="227"/>
      <c r="J2201" s="73" t="s">
        <v>1350</v>
      </c>
      <c r="K2201" s="73" t="s">
        <v>1485</v>
      </c>
      <c r="L2201" s="73" t="s">
        <v>195</v>
      </c>
      <c r="M2201" s="73" t="s">
        <v>1483</v>
      </c>
      <c r="N2201" s="73" t="s">
        <v>1483</v>
      </c>
      <c r="O2201" s="73" t="s">
        <v>2655</v>
      </c>
      <c r="P2201" s="73" t="s">
        <v>2655</v>
      </c>
      <c r="Q2201" s="73" t="s">
        <v>2655</v>
      </c>
      <c r="R2201" s="73" t="s">
        <v>2655</v>
      </c>
      <c r="S2201" s="73" t="s">
        <v>1484</v>
      </c>
      <c r="T2201" s="73" t="s">
        <v>1484</v>
      </c>
      <c r="U2201" s="73" t="s">
        <v>1484</v>
      </c>
      <c r="V2201" s="73" t="s">
        <v>1484</v>
      </c>
      <c r="W2201" s="73" t="s">
        <v>1485</v>
      </c>
      <c r="X2201" s="73" t="s">
        <v>1484</v>
      </c>
      <c r="Y2201" s="73" t="s">
        <v>1484</v>
      </c>
      <c r="Z2201" s="73" t="s">
        <v>1484</v>
      </c>
      <c r="AA2201" s="73" t="s">
        <v>1485</v>
      </c>
      <c r="AB2201" s="73" t="s">
        <v>1484</v>
      </c>
      <c r="AC2201" s="73" t="s">
        <v>1486</v>
      </c>
      <c r="AD2201" s="73" t="s">
        <v>1487</v>
      </c>
      <c r="AE2201" s="75" t="s">
        <v>1579</v>
      </c>
    </row>
    <row r="2202" spans="1:31" x14ac:dyDescent="0.3">
      <c r="A2202" s="76"/>
      <c r="B2202" s="77"/>
      <c r="C2202" s="78" t="s">
        <v>1493</v>
      </c>
      <c r="D2202" s="78" t="s">
        <v>365</v>
      </c>
      <c r="E2202" s="78" t="s">
        <v>1620</v>
      </c>
      <c r="F2202" s="78" t="s">
        <v>1495</v>
      </c>
      <c r="G2202" s="78" t="s">
        <v>1492</v>
      </c>
      <c r="H2202" s="77"/>
      <c r="I2202" s="225" t="s">
        <v>1485</v>
      </c>
      <c r="J2202" s="77"/>
      <c r="K2202" s="77"/>
      <c r="L2202" s="77"/>
      <c r="M2202" s="77"/>
      <c r="N2202" s="77"/>
      <c r="O2202" s="77"/>
      <c r="P2202" s="77"/>
      <c r="Q2202" s="77"/>
      <c r="R2202" s="77"/>
      <c r="S2202" s="77"/>
      <c r="T2202" s="77"/>
      <c r="U2202" s="77"/>
      <c r="V2202" s="77"/>
      <c r="W2202" s="77"/>
      <c r="X2202" s="77"/>
      <c r="Y2202" s="77"/>
      <c r="Z2202" s="77"/>
      <c r="AA2202" s="77"/>
      <c r="AB2202" s="77"/>
      <c r="AC2202" s="77"/>
      <c r="AD2202" s="77"/>
      <c r="AE2202" s="79"/>
    </row>
    <row r="2203" spans="1:31" ht="15" thickBot="1" x14ac:dyDescent="0.35">
      <c r="A2203" s="76"/>
      <c r="B2203" s="77"/>
      <c r="C2203" s="78" t="s">
        <v>1496</v>
      </c>
      <c r="D2203" s="78" t="s">
        <v>439</v>
      </c>
      <c r="E2203" s="78" t="s">
        <v>1500</v>
      </c>
      <c r="F2203" s="78" t="s">
        <v>1501</v>
      </c>
      <c r="G2203" s="78" t="s">
        <v>1492</v>
      </c>
      <c r="H2203" s="77"/>
      <c r="I2203" s="227"/>
      <c r="J2203" s="77"/>
      <c r="K2203" s="77"/>
      <c r="L2203" s="77"/>
      <c r="M2203" s="77"/>
      <c r="N2203" s="77"/>
      <c r="O2203" s="77"/>
      <c r="P2203" s="77"/>
      <c r="Q2203" s="77"/>
      <c r="R2203" s="77"/>
      <c r="S2203" s="77"/>
      <c r="T2203" s="77"/>
      <c r="U2203" s="77"/>
      <c r="V2203" s="77"/>
      <c r="W2203" s="77"/>
      <c r="X2203" s="77"/>
      <c r="Y2203" s="77"/>
      <c r="Z2203" s="77"/>
      <c r="AA2203" s="77"/>
      <c r="AB2203" s="77"/>
      <c r="AC2203" s="77"/>
      <c r="AD2203" s="77"/>
      <c r="AE2203" s="79"/>
    </row>
    <row r="2204" spans="1:31" x14ac:dyDescent="0.3">
      <c r="A2204" s="76"/>
      <c r="B2204" s="80"/>
      <c r="C2204" s="78" t="s">
        <v>1507</v>
      </c>
      <c r="D2204" s="78" t="s">
        <v>454</v>
      </c>
      <c r="E2204" s="78" t="s">
        <v>1961</v>
      </c>
      <c r="F2204" s="78" t="s">
        <v>2097</v>
      </c>
      <c r="G2204" s="78" t="s">
        <v>1492</v>
      </c>
      <c r="H2204" s="77"/>
      <c r="I2204" s="225" t="s">
        <v>1485</v>
      </c>
      <c r="J2204" s="77"/>
      <c r="K2204" s="77"/>
      <c r="L2204" s="77"/>
      <c r="M2204" s="77"/>
      <c r="N2204" s="77"/>
      <c r="O2204" s="77"/>
      <c r="P2204" s="77"/>
      <c r="Q2204" s="77"/>
      <c r="R2204" s="77"/>
      <c r="S2204" s="77"/>
      <c r="T2204" s="77"/>
      <c r="U2204" s="77"/>
      <c r="V2204" s="77"/>
      <c r="W2204" s="77"/>
      <c r="X2204" s="77"/>
      <c r="Y2204" s="77"/>
      <c r="Z2204" s="77"/>
      <c r="AA2204" s="77"/>
      <c r="AB2204" s="77"/>
      <c r="AC2204" s="77"/>
      <c r="AD2204" s="77"/>
      <c r="AE2204" s="79"/>
    </row>
    <row r="2205" spans="1:31" x14ac:dyDescent="0.3">
      <c r="A2205" s="76"/>
      <c r="B2205" s="78" t="s">
        <v>1908</v>
      </c>
      <c r="C2205" s="78" t="s">
        <v>1489</v>
      </c>
      <c r="D2205" s="78" t="s">
        <v>365</v>
      </c>
      <c r="E2205" s="78" t="s">
        <v>1620</v>
      </c>
      <c r="F2205" s="78" t="s">
        <v>1495</v>
      </c>
      <c r="G2205" s="78" t="s">
        <v>1513</v>
      </c>
      <c r="H2205" s="77"/>
      <c r="I2205" s="226"/>
      <c r="J2205" s="77"/>
      <c r="K2205" s="77"/>
      <c r="L2205" s="77"/>
      <c r="M2205" s="77"/>
      <c r="N2205" s="77"/>
      <c r="O2205" s="77"/>
      <c r="P2205" s="77"/>
      <c r="Q2205" s="77"/>
      <c r="R2205" s="77"/>
      <c r="S2205" s="77"/>
      <c r="T2205" s="77"/>
      <c r="U2205" s="77"/>
      <c r="V2205" s="77"/>
      <c r="W2205" s="77"/>
      <c r="X2205" s="77"/>
      <c r="Y2205" s="77"/>
      <c r="Z2205" s="77"/>
      <c r="AA2205" s="77"/>
      <c r="AB2205" s="77"/>
      <c r="AC2205" s="77"/>
      <c r="AD2205" s="77"/>
      <c r="AE2205" s="79"/>
    </row>
    <row r="2206" spans="1:31" ht="15" thickBot="1" x14ac:dyDescent="0.35">
      <c r="A2206" s="81"/>
      <c r="B2206" s="82" t="s">
        <v>1914</v>
      </c>
      <c r="C2206" s="82" t="s">
        <v>1504</v>
      </c>
      <c r="D2206" s="82" t="s">
        <v>439</v>
      </c>
      <c r="E2206" s="82" t="s">
        <v>1500</v>
      </c>
      <c r="F2206" s="82" t="s">
        <v>1501</v>
      </c>
      <c r="G2206" s="82" t="s">
        <v>1513</v>
      </c>
      <c r="H2206" s="83"/>
      <c r="I2206" s="226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83"/>
      <c r="V2206" s="83"/>
      <c r="W2206" s="83"/>
      <c r="X2206" s="83"/>
      <c r="Y2206" s="83"/>
      <c r="Z2206" s="83"/>
      <c r="AA2206" s="83"/>
      <c r="AB2206" s="83"/>
      <c r="AC2206" s="83"/>
      <c r="AD2206" s="83"/>
      <c r="AE2206" s="84"/>
    </row>
    <row r="2207" spans="1:31" ht="15" thickBot="1" x14ac:dyDescent="0.35">
      <c r="A2207" s="72" t="s">
        <v>1355</v>
      </c>
      <c r="B2207" s="73" t="s">
        <v>2257</v>
      </c>
      <c r="C2207" s="74" t="s">
        <v>1479</v>
      </c>
      <c r="D2207" s="74" t="s">
        <v>1356</v>
      </c>
      <c r="E2207" s="74" t="s">
        <v>1480</v>
      </c>
      <c r="F2207" s="74"/>
      <c r="G2207" s="74" t="s">
        <v>1481</v>
      </c>
      <c r="H2207" s="73" t="s">
        <v>1575</v>
      </c>
      <c r="I2207" s="227"/>
      <c r="J2207" s="73" t="s">
        <v>1354</v>
      </c>
      <c r="K2207" s="73" t="s">
        <v>1485</v>
      </c>
      <c r="L2207" s="73" t="s">
        <v>195</v>
      </c>
      <c r="M2207" s="73" t="s">
        <v>1483</v>
      </c>
      <c r="N2207" s="73" t="s">
        <v>1483</v>
      </c>
      <c r="O2207" s="73" t="s">
        <v>2655</v>
      </c>
      <c r="P2207" s="73" t="s">
        <v>2655</v>
      </c>
      <c r="Q2207" s="73" t="s">
        <v>2655</v>
      </c>
      <c r="R2207" s="73" t="s">
        <v>2655</v>
      </c>
      <c r="S2207" s="73" t="s">
        <v>1484</v>
      </c>
      <c r="T2207" s="73" t="s">
        <v>1484</v>
      </c>
      <c r="U2207" s="73" t="s">
        <v>1484</v>
      </c>
      <c r="V2207" s="73" t="s">
        <v>1484</v>
      </c>
      <c r="W2207" s="73" t="s">
        <v>1485</v>
      </c>
      <c r="X2207" s="73" t="s">
        <v>1484</v>
      </c>
      <c r="Y2207" s="73" t="s">
        <v>1484</v>
      </c>
      <c r="Z2207" s="73" t="s">
        <v>1484</v>
      </c>
      <c r="AA2207" s="73" t="s">
        <v>1485</v>
      </c>
      <c r="AB2207" s="73" t="s">
        <v>1484</v>
      </c>
      <c r="AC2207" s="73" t="s">
        <v>1486</v>
      </c>
      <c r="AD2207" s="73" t="s">
        <v>1487</v>
      </c>
      <c r="AE2207" s="75" t="s">
        <v>1579</v>
      </c>
    </row>
    <row r="2208" spans="1:31" x14ac:dyDescent="0.3">
      <c r="A2208" s="76"/>
      <c r="B2208" s="77"/>
      <c r="C2208" s="78" t="s">
        <v>1493</v>
      </c>
      <c r="D2208" s="78" t="s">
        <v>372</v>
      </c>
      <c r="E2208" s="78" t="s">
        <v>1620</v>
      </c>
      <c r="F2208" s="78" t="s">
        <v>1495</v>
      </c>
      <c r="G2208" s="78" t="s">
        <v>1492</v>
      </c>
      <c r="H2208" s="77"/>
      <c r="I2208" s="225" t="s">
        <v>1485</v>
      </c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U2208" s="77"/>
      <c r="V2208" s="77"/>
      <c r="W2208" s="77"/>
      <c r="X2208" s="77"/>
      <c r="Y2208" s="77"/>
      <c r="Z2208" s="77"/>
      <c r="AA2208" s="77"/>
      <c r="AB2208" s="77"/>
      <c r="AC2208" s="77"/>
      <c r="AD2208" s="77"/>
      <c r="AE2208" s="79"/>
    </row>
    <row r="2209" spans="1:31" x14ac:dyDescent="0.3">
      <c r="A2209" s="76"/>
      <c r="B2209" s="77"/>
      <c r="C2209" s="78" t="s">
        <v>1496</v>
      </c>
      <c r="D2209" s="78" t="s">
        <v>557</v>
      </c>
      <c r="E2209" s="78" t="s">
        <v>1500</v>
      </c>
      <c r="F2209" s="78" t="s">
        <v>1501</v>
      </c>
      <c r="G2209" s="78" t="s">
        <v>1492</v>
      </c>
      <c r="H2209" s="77"/>
      <c r="I2209" s="226"/>
      <c r="J2209" s="77"/>
      <c r="K2209" s="77"/>
      <c r="L2209" s="77"/>
      <c r="M2209" s="77"/>
      <c r="N2209" s="77"/>
      <c r="O2209" s="77"/>
      <c r="P2209" s="77"/>
      <c r="Q2209" s="77"/>
      <c r="R2209" s="77"/>
      <c r="S2209" s="77"/>
      <c r="T2209" s="77"/>
      <c r="U2209" s="77"/>
      <c r="V2209" s="77"/>
      <c r="W2209" s="77"/>
      <c r="X2209" s="77"/>
      <c r="Y2209" s="77"/>
      <c r="Z2209" s="77"/>
      <c r="AA2209" s="77"/>
      <c r="AB2209" s="77"/>
      <c r="AC2209" s="77"/>
      <c r="AD2209" s="77"/>
      <c r="AE2209" s="79"/>
    </row>
    <row r="2210" spans="1:31" x14ac:dyDescent="0.3">
      <c r="A2210" s="76"/>
      <c r="B2210" s="80"/>
      <c r="C2210" s="78" t="s">
        <v>1507</v>
      </c>
      <c r="D2210" s="78" t="s">
        <v>1357</v>
      </c>
      <c r="E2210" s="78" t="s">
        <v>1961</v>
      </c>
      <c r="F2210" s="78" t="s">
        <v>2097</v>
      </c>
      <c r="G2210" s="78" t="s">
        <v>1492</v>
      </c>
      <c r="H2210" s="77"/>
      <c r="I2210" s="226"/>
      <c r="J2210" s="77"/>
      <c r="K2210" s="77"/>
      <c r="L2210" s="77"/>
      <c r="M2210" s="77"/>
      <c r="N2210" s="77"/>
      <c r="O2210" s="77"/>
      <c r="P2210" s="77"/>
      <c r="Q2210" s="77"/>
      <c r="R2210" s="77"/>
      <c r="S2210" s="77"/>
      <c r="T2210" s="77"/>
      <c r="U2210" s="77"/>
      <c r="V2210" s="77"/>
      <c r="W2210" s="77"/>
      <c r="X2210" s="77"/>
      <c r="Y2210" s="77"/>
      <c r="Z2210" s="77"/>
      <c r="AA2210" s="77"/>
      <c r="AB2210" s="77"/>
      <c r="AC2210" s="77"/>
      <c r="AD2210" s="77"/>
      <c r="AE2210" s="79"/>
    </row>
    <row r="2211" spans="1:31" x14ac:dyDescent="0.3">
      <c r="A2211" s="76"/>
      <c r="B2211" s="78" t="s">
        <v>1911</v>
      </c>
      <c r="C2211" s="78" t="s">
        <v>1489</v>
      </c>
      <c r="D2211" s="78" t="s">
        <v>372</v>
      </c>
      <c r="E2211" s="78" t="s">
        <v>1620</v>
      </c>
      <c r="F2211" s="78" t="s">
        <v>1495</v>
      </c>
      <c r="G2211" s="78" t="s">
        <v>1513</v>
      </c>
      <c r="H2211" s="77"/>
      <c r="I2211" s="226"/>
      <c r="J2211" s="77"/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  <c r="AA2211" s="77"/>
      <c r="AB2211" s="77"/>
      <c r="AC2211" s="77"/>
      <c r="AD2211" s="77"/>
      <c r="AE2211" s="79"/>
    </row>
    <row r="2212" spans="1:31" ht="15" thickBot="1" x14ac:dyDescent="0.35">
      <c r="A2212" s="81"/>
      <c r="B2212" s="82" t="s">
        <v>2021</v>
      </c>
      <c r="C2212" s="82" t="s">
        <v>1499</v>
      </c>
      <c r="D2212" s="82" t="s">
        <v>557</v>
      </c>
      <c r="E2212" s="82" t="s">
        <v>1500</v>
      </c>
      <c r="F2212" s="82" t="s">
        <v>1501</v>
      </c>
      <c r="G2212" s="82" t="s">
        <v>1513</v>
      </c>
      <c r="H2212" s="83"/>
      <c r="I2212" s="227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83"/>
      <c r="V2212" s="83"/>
      <c r="W2212" s="83"/>
      <c r="X2212" s="83"/>
      <c r="Y2212" s="83"/>
      <c r="Z2212" s="83"/>
      <c r="AA2212" s="83"/>
      <c r="AB2212" s="83"/>
      <c r="AC2212" s="83"/>
      <c r="AD2212" s="83"/>
      <c r="AE2212" s="84"/>
    </row>
    <row r="2213" spans="1:31" x14ac:dyDescent="0.3">
      <c r="A2213" s="72" t="s">
        <v>1360</v>
      </c>
      <c r="B2213" s="73" t="s">
        <v>2258</v>
      </c>
      <c r="C2213" s="74" t="s">
        <v>1479</v>
      </c>
      <c r="D2213" s="74" t="s">
        <v>1361</v>
      </c>
      <c r="E2213" s="74" t="s">
        <v>1480</v>
      </c>
      <c r="F2213" s="74"/>
      <c r="G2213" s="74" t="s">
        <v>1481</v>
      </c>
      <c r="H2213" s="73" t="s">
        <v>1575</v>
      </c>
      <c r="I2213" s="225" t="s">
        <v>1485</v>
      </c>
      <c r="J2213" s="73" t="s">
        <v>1359</v>
      </c>
      <c r="K2213" s="73" t="s">
        <v>1485</v>
      </c>
      <c r="L2213" s="73" t="s">
        <v>195</v>
      </c>
      <c r="M2213" s="73" t="s">
        <v>1483</v>
      </c>
      <c r="N2213" s="73" t="s">
        <v>1483</v>
      </c>
      <c r="O2213" s="73" t="s">
        <v>2655</v>
      </c>
      <c r="P2213" s="73" t="s">
        <v>2655</v>
      </c>
      <c r="Q2213" s="73" t="s">
        <v>2655</v>
      </c>
      <c r="R2213" s="73" t="s">
        <v>2655</v>
      </c>
      <c r="S2213" s="73" t="s">
        <v>1484</v>
      </c>
      <c r="T2213" s="73" t="s">
        <v>1484</v>
      </c>
      <c r="U2213" s="73" t="s">
        <v>1484</v>
      </c>
      <c r="V2213" s="73" t="s">
        <v>1484</v>
      </c>
      <c r="W2213" s="73" t="s">
        <v>1485</v>
      </c>
      <c r="X2213" s="73" t="s">
        <v>1484</v>
      </c>
      <c r="Y2213" s="73" t="s">
        <v>1484</v>
      </c>
      <c r="Z2213" s="73" t="s">
        <v>1484</v>
      </c>
      <c r="AA2213" s="73" t="s">
        <v>1485</v>
      </c>
      <c r="AB2213" s="73" t="s">
        <v>1484</v>
      </c>
      <c r="AC2213" s="73" t="s">
        <v>1486</v>
      </c>
      <c r="AD2213" s="73" t="s">
        <v>1487</v>
      </c>
      <c r="AE2213" s="75" t="s">
        <v>1579</v>
      </c>
    </row>
    <row r="2214" spans="1:31" x14ac:dyDescent="0.3">
      <c r="A2214" s="76"/>
      <c r="B2214" s="77"/>
      <c r="C2214" s="78" t="s">
        <v>1493</v>
      </c>
      <c r="D2214" s="78" t="s">
        <v>520</v>
      </c>
      <c r="E2214" s="78" t="s">
        <v>1620</v>
      </c>
      <c r="F2214" s="78" t="s">
        <v>1495</v>
      </c>
      <c r="G2214" s="78" t="s">
        <v>1492</v>
      </c>
      <c r="H2214" s="77"/>
      <c r="I2214" s="226"/>
      <c r="J2214" s="77"/>
      <c r="K2214" s="77"/>
      <c r="L2214" s="77"/>
      <c r="M2214" s="77"/>
      <c r="N2214" s="77"/>
      <c r="O2214" s="77"/>
      <c r="P2214" s="77"/>
      <c r="Q2214" s="77"/>
      <c r="R2214" s="77"/>
      <c r="S2214" s="77"/>
      <c r="T2214" s="77"/>
      <c r="U2214" s="77"/>
      <c r="V2214" s="77"/>
      <c r="W2214" s="77"/>
      <c r="X2214" s="77"/>
      <c r="Y2214" s="77"/>
      <c r="Z2214" s="77"/>
      <c r="AA2214" s="77"/>
      <c r="AB2214" s="77"/>
      <c r="AC2214" s="77"/>
      <c r="AD2214" s="77"/>
      <c r="AE2214" s="79"/>
    </row>
    <row r="2215" spans="1:31" ht="15" thickBot="1" x14ac:dyDescent="0.35">
      <c r="A2215" s="76"/>
      <c r="B2215" s="77"/>
      <c r="C2215" s="78" t="s">
        <v>1496</v>
      </c>
      <c r="D2215" s="78" t="s">
        <v>584</v>
      </c>
      <c r="E2215" s="78" t="s">
        <v>1500</v>
      </c>
      <c r="F2215" s="78" t="s">
        <v>1501</v>
      </c>
      <c r="G2215" s="78" t="s">
        <v>1492</v>
      </c>
      <c r="H2215" s="77"/>
      <c r="I2215" s="227"/>
      <c r="J2215" s="77"/>
      <c r="K2215" s="77"/>
      <c r="L2215" s="77"/>
      <c r="M2215" s="77"/>
      <c r="N2215" s="77"/>
      <c r="O2215" s="77"/>
      <c r="P2215" s="77"/>
      <c r="Q2215" s="77"/>
      <c r="R2215" s="77"/>
      <c r="S2215" s="77"/>
      <c r="T2215" s="77"/>
      <c r="U2215" s="77"/>
      <c r="V2215" s="77"/>
      <c r="W2215" s="77"/>
      <c r="X2215" s="77"/>
      <c r="Y2215" s="77"/>
      <c r="Z2215" s="77"/>
      <c r="AA2215" s="77"/>
      <c r="AB2215" s="77"/>
      <c r="AC2215" s="77"/>
      <c r="AD2215" s="77"/>
      <c r="AE2215" s="79"/>
    </row>
    <row r="2216" spans="1:31" x14ac:dyDescent="0.3">
      <c r="A2216" s="76"/>
      <c r="B2216" s="80"/>
      <c r="C2216" s="78" t="s">
        <v>1507</v>
      </c>
      <c r="D2216" s="78" t="s">
        <v>1362</v>
      </c>
      <c r="E2216" s="78" t="s">
        <v>1961</v>
      </c>
      <c r="F2216" s="78" t="s">
        <v>2097</v>
      </c>
      <c r="G2216" s="78" t="s">
        <v>1492</v>
      </c>
      <c r="H2216" s="77"/>
      <c r="I2216" s="225" t="s">
        <v>1485</v>
      </c>
      <c r="J2216" s="77"/>
      <c r="K2216" s="77"/>
      <c r="L2216" s="77"/>
      <c r="M2216" s="77"/>
      <c r="N2216" s="77"/>
      <c r="O2216" s="77"/>
      <c r="P2216" s="77"/>
      <c r="Q2216" s="77"/>
      <c r="R2216" s="77"/>
      <c r="S2216" s="77"/>
      <c r="T2216" s="77"/>
      <c r="U2216" s="77"/>
      <c r="V2216" s="77"/>
      <c r="W2216" s="77"/>
      <c r="X2216" s="77"/>
      <c r="Y2216" s="77"/>
      <c r="Z2216" s="77"/>
      <c r="AA2216" s="77"/>
      <c r="AB2216" s="77"/>
      <c r="AC2216" s="77"/>
      <c r="AD2216" s="77"/>
      <c r="AE2216" s="79"/>
    </row>
    <row r="2217" spans="1:31" x14ac:dyDescent="0.3">
      <c r="A2217" s="76"/>
      <c r="B2217" s="78" t="s">
        <v>1683</v>
      </c>
      <c r="C2217" s="78" t="s">
        <v>1489</v>
      </c>
      <c r="D2217" s="78" t="s">
        <v>520</v>
      </c>
      <c r="E2217" s="78" t="s">
        <v>1620</v>
      </c>
      <c r="F2217" s="78" t="s">
        <v>1495</v>
      </c>
      <c r="G2217" s="78" t="s">
        <v>1513</v>
      </c>
      <c r="H2217" s="77"/>
      <c r="I2217" s="226"/>
      <c r="J2217" s="77"/>
      <c r="K2217" s="77"/>
      <c r="L2217" s="77"/>
      <c r="M2217" s="77"/>
      <c r="N2217" s="77"/>
      <c r="O2217" s="77"/>
      <c r="P2217" s="77"/>
      <c r="Q2217" s="77"/>
      <c r="R2217" s="77"/>
      <c r="S2217" s="77"/>
      <c r="T2217" s="77"/>
      <c r="U2217" s="77"/>
      <c r="V2217" s="77"/>
      <c r="W2217" s="77"/>
      <c r="X2217" s="77"/>
      <c r="Y2217" s="77"/>
      <c r="Z2217" s="77"/>
      <c r="AA2217" s="77"/>
      <c r="AB2217" s="77"/>
      <c r="AC2217" s="77"/>
      <c r="AD2217" s="77"/>
      <c r="AE2217" s="79"/>
    </row>
    <row r="2218" spans="1:31" ht="15" thickBot="1" x14ac:dyDescent="0.35">
      <c r="A2218" s="81"/>
      <c r="B2218" s="82" t="s">
        <v>1806</v>
      </c>
      <c r="C2218" s="82" t="s">
        <v>1496</v>
      </c>
      <c r="D2218" s="82" t="s">
        <v>584</v>
      </c>
      <c r="E2218" s="82" t="s">
        <v>1500</v>
      </c>
      <c r="F2218" s="82" t="s">
        <v>1501</v>
      </c>
      <c r="G2218" s="82" t="s">
        <v>1513</v>
      </c>
      <c r="H2218" s="83"/>
      <c r="I2218" s="226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83"/>
      <c r="V2218" s="83"/>
      <c r="W2218" s="83"/>
      <c r="X2218" s="83"/>
      <c r="Y2218" s="83"/>
      <c r="Z2218" s="83"/>
      <c r="AA2218" s="83"/>
      <c r="AB2218" s="83"/>
      <c r="AC2218" s="83"/>
      <c r="AD2218" s="83"/>
      <c r="AE2218" s="84"/>
    </row>
    <row r="2219" spans="1:31" x14ac:dyDescent="0.3">
      <c r="A2219" s="72" t="s">
        <v>1365</v>
      </c>
      <c r="B2219" s="73" t="s">
        <v>2259</v>
      </c>
      <c r="C2219" s="74" t="s">
        <v>1479</v>
      </c>
      <c r="D2219" s="74" t="s">
        <v>1366</v>
      </c>
      <c r="E2219" s="74" t="s">
        <v>1480</v>
      </c>
      <c r="F2219" s="74"/>
      <c r="G2219" s="74" t="s">
        <v>1481</v>
      </c>
      <c r="H2219" s="73" t="s">
        <v>1575</v>
      </c>
      <c r="I2219" s="226"/>
      <c r="J2219" s="73" t="s">
        <v>1364</v>
      </c>
      <c r="K2219" s="73" t="s">
        <v>1485</v>
      </c>
      <c r="L2219" s="73" t="s">
        <v>195</v>
      </c>
      <c r="M2219" s="73" t="s">
        <v>1483</v>
      </c>
      <c r="N2219" s="73" t="s">
        <v>1483</v>
      </c>
      <c r="O2219" s="73" t="s">
        <v>2655</v>
      </c>
      <c r="P2219" s="73" t="s">
        <v>2655</v>
      </c>
      <c r="Q2219" s="73" t="s">
        <v>2655</v>
      </c>
      <c r="R2219" s="73" t="s">
        <v>2655</v>
      </c>
      <c r="S2219" s="73" t="s">
        <v>1484</v>
      </c>
      <c r="T2219" s="73" t="s">
        <v>1484</v>
      </c>
      <c r="U2219" s="73" t="s">
        <v>1484</v>
      </c>
      <c r="V2219" s="73" t="s">
        <v>1484</v>
      </c>
      <c r="W2219" s="73" t="s">
        <v>1485</v>
      </c>
      <c r="X2219" s="73" t="s">
        <v>1484</v>
      </c>
      <c r="Y2219" s="73" t="s">
        <v>1484</v>
      </c>
      <c r="Z2219" s="73" t="s">
        <v>1484</v>
      </c>
      <c r="AA2219" s="73" t="s">
        <v>1485</v>
      </c>
      <c r="AB2219" s="73" t="s">
        <v>1484</v>
      </c>
      <c r="AC2219" s="73" t="s">
        <v>1486</v>
      </c>
      <c r="AD2219" s="73" t="s">
        <v>1487</v>
      </c>
      <c r="AE2219" s="75" t="s">
        <v>1579</v>
      </c>
    </row>
    <row r="2220" spans="1:31" x14ac:dyDescent="0.3">
      <c r="A2220" s="76"/>
      <c r="B2220" s="77"/>
      <c r="C2220" s="78" t="s">
        <v>1493</v>
      </c>
      <c r="D2220" s="78" t="s">
        <v>538</v>
      </c>
      <c r="E2220" s="78" t="s">
        <v>1620</v>
      </c>
      <c r="F2220" s="78" t="s">
        <v>1495</v>
      </c>
      <c r="G2220" s="78" t="s">
        <v>1492</v>
      </c>
      <c r="H2220" s="77"/>
      <c r="I2220" s="226"/>
      <c r="J2220" s="77"/>
      <c r="K2220" s="77"/>
      <c r="L2220" s="77"/>
      <c r="M2220" s="77"/>
      <c r="N2220" s="77"/>
      <c r="O2220" s="77"/>
      <c r="P2220" s="77"/>
      <c r="Q2220" s="77"/>
      <c r="R2220" s="77"/>
      <c r="S2220" s="77"/>
      <c r="T2220" s="77"/>
      <c r="U2220" s="77"/>
      <c r="V2220" s="77"/>
      <c r="W2220" s="77"/>
      <c r="X2220" s="77"/>
      <c r="Y2220" s="77"/>
      <c r="Z2220" s="77"/>
      <c r="AA2220" s="77"/>
      <c r="AB2220" s="77"/>
      <c r="AC2220" s="77"/>
      <c r="AD2220" s="77"/>
      <c r="AE2220" s="79"/>
    </row>
    <row r="2221" spans="1:31" x14ac:dyDescent="0.3">
      <c r="A2221" s="76"/>
      <c r="B2221" s="77"/>
      <c r="C2221" s="78" t="s">
        <v>1496</v>
      </c>
      <c r="D2221" s="78" t="s">
        <v>609</v>
      </c>
      <c r="E2221" s="78" t="s">
        <v>1500</v>
      </c>
      <c r="F2221" s="78" t="s">
        <v>1501</v>
      </c>
      <c r="G2221" s="78" t="s">
        <v>1492</v>
      </c>
      <c r="H2221" s="77"/>
      <c r="I2221" s="226"/>
      <c r="J2221" s="77"/>
      <c r="K2221" s="77"/>
      <c r="L2221" s="77"/>
      <c r="M2221" s="77"/>
      <c r="N2221" s="77"/>
      <c r="O2221" s="77"/>
      <c r="P2221" s="77"/>
      <c r="Q2221" s="77"/>
      <c r="R2221" s="77"/>
      <c r="S2221" s="77"/>
      <c r="T2221" s="77"/>
      <c r="U2221" s="77"/>
      <c r="V2221" s="77"/>
      <c r="W2221" s="77"/>
      <c r="X2221" s="77"/>
      <c r="Y2221" s="77"/>
      <c r="Z2221" s="77"/>
      <c r="AA2221" s="77"/>
      <c r="AB2221" s="77"/>
      <c r="AC2221" s="77"/>
      <c r="AD2221" s="77"/>
      <c r="AE2221" s="79"/>
    </row>
    <row r="2222" spans="1:31" ht="15" thickBot="1" x14ac:dyDescent="0.35">
      <c r="A2222" s="76"/>
      <c r="B2222" s="80"/>
      <c r="C2222" s="78" t="s">
        <v>1507</v>
      </c>
      <c r="D2222" s="78" t="s">
        <v>1367</v>
      </c>
      <c r="E2222" s="78" t="s">
        <v>1961</v>
      </c>
      <c r="F2222" s="78" t="s">
        <v>2097</v>
      </c>
      <c r="G2222" s="78" t="s">
        <v>1492</v>
      </c>
      <c r="H2222" s="77"/>
      <c r="I2222" s="227"/>
      <c r="J2222" s="77"/>
      <c r="K2222" s="77"/>
      <c r="L2222" s="77"/>
      <c r="M2222" s="77"/>
      <c r="N2222" s="77"/>
      <c r="O2222" s="77"/>
      <c r="P2222" s="77"/>
      <c r="Q2222" s="77"/>
      <c r="R2222" s="77"/>
      <c r="S2222" s="77"/>
      <c r="T2222" s="77"/>
      <c r="U2222" s="77"/>
      <c r="V2222" s="77"/>
      <c r="W2222" s="77"/>
      <c r="X2222" s="77"/>
      <c r="Y2222" s="77"/>
      <c r="Z2222" s="77"/>
      <c r="AA2222" s="77"/>
      <c r="AB2222" s="77"/>
      <c r="AC2222" s="77"/>
      <c r="AD2222" s="77"/>
      <c r="AE2222" s="79"/>
    </row>
    <row r="2223" spans="1:31" x14ac:dyDescent="0.3">
      <c r="A2223" s="76"/>
      <c r="B2223" s="78" t="s">
        <v>1918</v>
      </c>
      <c r="C2223" s="78" t="s">
        <v>1489</v>
      </c>
      <c r="D2223" s="78" t="s">
        <v>538</v>
      </c>
      <c r="E2223" s="78" t="s">
        <v>1620</v>
      </c>
      <c r="F2223" s="78" t="s">
        <v>1495</v>
      </c>
      <c r="G2223" s="78" t="s">
        <v>1513</v>
      </c>
      <c r="H2223" s="77"/>
      <c r="I2223" s="225" t="s">
        <v>1485</v>
      </c>
      <c r="J2223" s="77"/>
      <c r="K2223" s="77"/>
      <c r="L2223" s="77"/>
      <c r="M2223" s="77"/>
      <c r="N2223" s="77"/>
      <c r="O2223" s="77"/>
      <c r="P2223" s="77"/>
      <c r="Q2223" s="77"/>
      <c r="R2223" s="77"/>
      <c r="S2223" s="77"/>
      <c r="T2223" s="77"/>
      <c r="U2223" s="77"/>
      <c r="V2223" s="77"/>
      <c r="W2223" s="77"/>
      <c r="X2223" s="77"/>
      <c r="Y2223" s="77"/>
      <c r="Z2223" s="77"/>
      <c r="AA2223" s="77"/>
      <c r="AB2223" s="77"/>
      <c r="AC2223" s="77"/>
      <c r="AD2223" s="77"/>
      <c r="AE2223" s="79"/>
    </row>
    <row r="2224" spans="1:31" ht="15" thickBot="1" x14ac:dyDescent="0.35">
      <c r="A2224" s="81"/>
      <c r="B2224" s="82" t="s">
        <v>1798</v>
      </c>
      <c r="C2224" s="82" t="s">
        <v>1496</v>
      </c>
      <c r="D2224" s="82" t="s">
        <v>609</v>
      </c>
      <c r="E2224" s="82" t="s">
        <v>1500</v>
      </c>
      <c r="F2224" s="82" t="s">
        <v>1501</v>
      </c>
      <c r="G2224" s="82" t="s">
        <v>1513</v>
      </c>
      <c r="H2224" s="83"/>
      <c r="I2224" s="226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83"/>
      <c r="V2224" s="83"/>
      <c r="W2224" s="83"/>
      <c r="X2224" s="83"/>
      <c r="Y2224" s="83"/>
      <c r="Z2224" s="83"/>
      <c r="AA2224" s="83"/>
      <c r="AB2224" s="83"/>
      <c r="AC2224" s="83"/>
      <c r="AD2224" s="83"/>
      <c r="AE2224" s="84"/>
    </row>
    <row r="2225" spans="1:31" x14ac:dyDescent="0.3">
      <c r="A2225" s="72" t="s">
        <v>1370</v>
      </c>
      <c r="B2225" s="73" t="s">
        <v>2260</v>
      </c>
      <c r="C2225" s="74" t="s">
        <v>1479</v>
      </c>
      <c r="D2225" s="74" t="s">
        <v>1371</v>
      </c>
      <c r="E2225" s="74" t="s">
        <v>1480</v>
      </c>
      <c r="F2225" s="74"/>
      <c r="G2225" s="74" t="s">
        <v>1481</v>
      </c>
      <c r="H2225" s="73" t="s">
        <v>1575</v>
      </c>
      <c r="I2225" s="226"/>
      <c r="J2225" s="73" t="s">
        <v>1369</v>
      </c>
      <c r="K2225" s="73" t="s">
        <v>1485</v>
      </c>
      <c r="L2225" s="73" t="s">
        <v>195</v>
      </c>
      <c r="M2225" s="73" t="s">
        <v>1483</v>
      </c>
      <c r="N2225" s="73" t="s">
        <v>1483</v>
      </c>
      <c r="O2225" s="73" t="s">
        <v>2655</v>
      </c>
      <c r="P2225" s="73" t="s">
        <v>2655</v>
      </c>
      <c r="Q2225" s="73" t="s">
        <v>2655</v>
      </c>
      <c r="R2225" s="73" t="s">
        <v>2655</v>
      </c>
      <c r="S2225" s="73" t="s">
        <v>1484</v>
      </c>
      <c r="T2225" s="73" t="s">
        <v>1484</v>
      </c>
      <c r="U2225" s="73" t="s">
        <v>1484</v>
      </c>
      <c r="V2225" s="73" t="s">
        <v>1484</v>
      </c>
      <c r="W2225" s="73" t="s">
        <v>1485</v>
      </c>
      <c r="X2225" s="73" t="s">
        <v>1484</v>
      </c>
      <c r="Y2225" s="73" t="s">
        <v>1484</v>
      </c>
      <c r="Z2225" s="73" t="s">
        <v>1484</v>
      </c>
      <c r="AA2225" s="73" t="s">
        <v>1485</v>
      </c>
      <c r="AB2225" s="73" t="s">
        <v>1484</v>
      </c>
      <c r="AC2225" s="73" t="s">
        <v>1486</v>
      </c>
      <c r="AD2225" s="73" t="s">
        <v>1487</v>
      </c>
      <c r="AE2225" s="75" t="s">
        <v>1579</v>
      </c>
    </row>
    <row r="2226" spans="1:31" x14ac:dyDescent="0.3">
      <c r="A2226" s="76"/>
      <c r="B2226" s="77"/>
      <c r="C2226" s="78" t="s">
        <v>1493</v>
      </c>
      <c r="D2226" s="78" t="s">
        <v>549</v>
      </c>
      <c r="E2226" s="78" t="s">
        <v>1620</v>
      </c>
      <c r="F2226" s="78" t="s">
        <v>1495</v>
      </c>
      <c r="G2226" s="78" t="s">
        <v>1492</v>
      </c>
      <c r="H2226" s="77"/>
      <c r="I2226" s="226"/>
      <c r="J2226" s="77"/>
      <c r="K2226" s="77"/>
      <c r="L2226" s="77"/>
      <c r="M2226" s="77"/>
      <c r="N2226" s="77"/>
      <c r="O2226" s="77"/>
      <c r="P2226" s="77"/>
      <c r="Q2226" s="77"/>
      <c r="R2226" s="77"/>
      <c r="S2226" s="77"/>
      <c r="T2226" s="77"/>
      <c r="U2226" s="77"/>
      <c r="V2226" s="77"/>
      <c r="W2226" s="77"/>
      <c r="X2226" s="77"/>
      <c r="Y2226" s="77"/>
      <c r="Z2226" s="77"/>
      <c r="AA2226" s="77"/>
      <c r="AB2226" s="77"/>
      <c r="AC2226" s="77"/>
      <c r="AD2226" s="77"/>
      <c r="AE2226" s="79"/>
    </row>
    <row r="2227" spans="1:31" x14ac:dyDescent="0.3">
      <c r="A2227" s="76"/>
      <c r="B2227" s="77"/>
      <c r="C2227" s="78" t="s">
        <v>1496</v>
      </c>
      <c r="D2227" s="78" t="s">
        <v>638</v>
      </c>
      <c r="E2227" s="78" t="s">
        <v>1500</v>
      </c>
      <c r="F2227" s="78" t="s">
        <v>1501</v>
      </c>
      <c r="G2227" s="78" t="s">
        <v>1492</v>
      </c>
      <c r="H2227" s="77"/>
      <c r="I2227" s="226"/>
      <c r="J2227" s="77"/>
      <c r="K2227" s="77"/>
      <c r="L2227" s="77"/>
      <c r="M2227" s="77"/>
      <c r="N2227" s="77"/>
      <c r="O2227" s="77"/>
      <c r="P2227" s="77"/>
      <c r="Q2227" s="77"/>
      <c r="R2227" s="77"/>
      <c r="S2227" s="77"/>
      <c r="T2227" s="77"/>
      <c r="U2227" s="77"/>
      <c r="V2227" s="77"/>
      <c r="W2227" s="77"/>
      <c r="X2227" s="77"/>
      <c r="Y2227" s="77"/>
      <c r="Z2227" s="77"/>
      <c r="AA2227" s="77"/>
      <c r="AB2227" s="77"/>
      <c r="AC2227" s="77"/>
      <c r="AD2227" s="77"/>
      <c r="AE2227" s="79"/>
    </row>
    <row r="2228" spans="1:31" ht="15" thickBot="1" x14ac:dyDescent="0.35">
      <c r="A2228" s="76"/>
      <c r="B2228" s="80"/>
      <c r="C2228" s="78" t="s">
        <v>1507</v>
      </c>
      <c r="D2228" s="78" t="s">
        <v>1372</v>
      </c>
      <c r="E2228" s="78" t="s">
        <v>1961</v>
      </c>
      <c r="F2228" s="78" t="s">
        <v>2097</v>
      </c>
      <c r="G2228" s="78" t="s">
        <v>1492</v>
      </c>
      <c r="H2228" s="77"/>
      <c r="I2228" s="227"/>
      <c r="J2228" s="77"/>
      <c r="K2228" s="77"/>
      <c r="L2228" s="77"/>
      <c r="M2228" s="77"/>
      <c r="N2228" s="77"/>
      <c r="O2228" s="77"/>
      <c r="P2228" s="77"/>
      <c r="Q2228" s="77"/>
      <c r="R2228" s="77"/>
      <c r="S2228" s="77"/>
      <c r="T2228" s="77"/>
      <c r="U2228" s="77"/>
      <c r="V2228" s="77"/>
      <c r="W2228" s="77"/>
      <c r="X2228" s="77"/>
      <c r="Y2228" s="77"/>
      <c r="Z2228" s="77"/>
      <c r="AA2228" s="77"/>
      <c r="AB2228" s="77"/>
      <c r="AC2228" s="77"/>
      <c r="AD2228" s="77"/>
      <c r="AE2228" s="79"/>
    </row>
    <row r="2229" spans="1:31" x14ac:dyDescent="0.3">
      <c r="A2229" s="76"/>
      <c r="B2229" s="78" t="s">
        <v>1922</v>
      </c>
      <c r="C2229" s="78" t="s">
        <v>1489</v>
      </c>
      <c r="D2229" s="78" t="s">
        <v>549</v>
      </c>
      <c r="E2229" s="78" t="s">
        <v>1620</v>
      </c>
      <c r="F2229" s="78" t="s">
        <v>1495</v>
      </c>
      <c r="G2229" s="78" t="s">
        <v>1513</v>
      </c>
      <c r="H2229" s="77"/>
      <c r="I2229" s="225" t="s">
        <v>1485</v>
      </c>
      <c r="J2229" s="77"/>
      <c r="K2229" s="77"/>
      <c r="L2229" s="77"/>
      <c r="M2229" s="77"/>
      <c r="N2229" s="77"/>
      <c r="O2229" s="77"/>
      <c r="P2229" s="77"/>
      <c r="Q2229" s="77"/>
      <c r="R2229" s="77"/>
      <c r="S2229" s="77"/>
      <c r="T2229" s="77"/>
      <c r="U2229" s="77"/>
      <c r="V2229" s="77"/>
      <c r="W2229" s="77"/>
      <c r="X2229" s="77"/>
      <c r="Y2229" s="77"/>
      <c r="Z2229" s="77"/>
      <c r="AA2229" s="77"/>
      <c r="AB2229" s="77"/>
      <c r="AC2229" s="77"/>
      <c r="AD2229" s="77"/>
      <c r="AE2229" s="79"/>
    </row>
    <row r="2230" spans="1:31" ht="15" thickBot="1" x14ac:dyDescent="0.35">
      <c r="A2230" s="81"/>
      <c r="B2230" s="82" t="s">
        <v>1603</v>
      </c>
      <c r="C2230" s="82" t="s">
        <v>1504</v>
      </c>
      <c r="D2230" s="82" t="s">
        <v>638</v>
      </c>
      <c r="E2230" s="82" t="s">
        <v>1500</v>
      </c>
      <c r="F2230" s="82" t="s">
        <v>1501</v>
      </c>
      <c r="G2230" s="82" t="s">
        <v>1513</v>
      </c>
      <c r="H2230" s="83"/>
      <c r="I2230" s="226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83"/>
      <c r="V2230" s="83"/>
      <c r="W2230" s="83"/>
      <c r="X2230" s="83"/>
      <c r="Y2230" s="83"/>
      <c r="Z2230" s="83"/>
      <c r="AA2230" s="83"/>
      <c r="AB2230" s="83"/>
      <c r="AC2230" s="83"/>
      <c r="AD2230" s="83"/>
      <c r="AE2230" s="84"/>
    </row>
    <row r="2231" spans="1:31" x14ac:dyDescent="0.3">
      <c r="A2231" s="72" t="s">
        <v>1375</v>
      </c>
      <c r="B2231" s="73" t="s">
        <v>2261</v>
      </c>
      <c r="C2231" s="74" t="s">
        <v>1479</v>
      </c>
      <c r="D2231" s="74" t="s">
        <v>1376</v>
      </c>
      <c r="E2231" s="74" t="s">
        <v>1480</v>
      </c>
      <c r="F2231" s="74"/>
      <c r="G2231" s="74" t="s">
        <v>1481</v>
      </c>
      <c r="H2231" s="73" t="s">
        <v>1575</v>
      </c>
      <c r="I2231" s="226"/>
      <c r="J2231" s="73" t="s">
        <v>1374</v>
      </c>
      <c r="K2231" s="73" t="s">
        <v>1485</v>
      </c>
      <c r="L2231" s="73" t="s">
        <v>195</v>
      </c>
      <c r="M2231" s="73" t="s">
        <v>1483</v>
      </c>
      <c r="N2231" s="73" t="s">
        <v>1483</v>
      </c>
      <c r="O2231" s="73" t="s">
        <v>2655</v>
      </c>
      <c r="P2231" s="73" t="s">
        <v>2655</v>
      </c>
      <c r="Q2231" s="73" t="s">
        <v>2655</v>
      </c>
      <c r="R2231" s="73" t="s">
        <v>2655</v>
      </c>
      <c r="S2231" s="73" t="s">
        <v>1484</v>
      </c>
      <c r="T2231" s="73" t="s">
        <v>1484</v>
      </c>
      <c r="U2231" s="73" t="s">
        <v>1484</v>
      </c>
      <c r="V2231" s="73" t="s">
        <v>1484</v>
      </c>
      <c r="W2231" s="73" t="s">
        <v>1485</v>
      </c>
      <c r="X2231" s="73" t="s">
        <v>1484</v>
      </c>
      <c r="Y2231" s="73" t="s">
        <v>1484</v>
      </c>
      <c r="Z2231" s="73" t="s">
        <v>1484</v>
      </c>
      <c r="AA2231" s="73" t="s">
        <v>1485</v>
      </c>
      <c r="AB2231" s="73" t="s">
        <v>1484</v>
      </c>
      <c r="AC2231" s="73" t="s">
        <v>1486</v>
      </c>
      <c r="AD2231" s="73" t="s">
        <v>1487</v>
      </c>
      <c r="AE2231" s="75" t="s">
        <v>1579</v>
      </c>
    </row>
    <row r="2232" spans="1:31" x14ac:dyDescent="0.3">
      <c r="A2232" s="76"/>
      <c r="B2232" s="77"/>
      <c r="C2232" s="78" t="s">
        <v>1493</v>
      </c>
      <c r="D2232" s="78" t="s">
        <v>566</v>
      </c>
      <c r="E2232" s="78" t="s">
        <v>1620</v>
      </c>
      <c r="F2232" s="78" t="s">
        <v>1495</v>
      </c>
      <c r="G2232" s="78" t="s">
        <v>1492</v>
      </c>
      <c r="H2232" s="77"/>
      <c r="I2232" s="226"/>
      <c r="J2232" s="77"/>
      <c r="K2232" s="77"/>
      <c r="L2232" s="77"/>
      <c r="M2232" s="77"/>
      <c r="N2232" s="77"/>
      <c r="O2232" s="77"/>
      <c r="P2232" s="77"/>
      <c r="Q2232" s="77"/>
      <c r="R2232" s="77"/>
      <c r="S2232" s="77"/>
      <c r="T2232" s="77"/>
      <c r="U2232" s="77"/>
      <c r="V2232" s="77"/>
      <c r="W2232" s="77"/>
      <c r="X2232" s="77"/>
      <c r="Y2232" s="77"/>
      <c r="Z2232" s="77"/>
      <c r="AA2232" s="77"/>
      <c r="AB2232" s="77"/>
      <c r="AC2232" s="77"/>
      <c r="AD2232" s="77"/>
      <c r="AE2232" s="79"/>
    </row>
    <row r="2233" spans="1:31" x14ac:dyDescent="0.3">
      <c r="A2233" s="76"/>
      <c r="B2233" s="77"/>
      <c r="C2233" s="78" t="s">
        <v>1496</v>
      </c>
      <c r="D2233" s="78" t="s">
        <v>709</v>
      </c>
      <c r="E2233" s="78" t="s">
        <v>1500</v>
      </c>
      <c r="F2233" s="78" t="s">
        <v>1501</v>
      </c>
      <c r="G2233" s="78" t="s">
        <v>1492</v>
      </c>
      <c r="H2233" s="77"/>
      <c r="I2233" s="226"/>
      <c r="J2233" s="77"/>
      <c r="K2233" s="77"/>
      <c r="L2233" s="77"/>
      <c r="M2233" s="77"/>
      <c r="N2233" s="77"/>
      <c r="O2233" s="77"/>
      <c r="P2233" s="77"/>
      <c r="Q2233" s="77"/>
      <c r="R2233" s="77"/>
      <c r="S2233" s="77"/>
      <c r="T2233" s="77"/>
      <c r="U2233" s="77"/>
      <c r="V2233" s="77"/>
      <c r="W2233" s="77"/>
      <c r="X2233" s="77"/>
      <c r="Y2233" s="77"/>
      <c r="Z2233" s="77"/>
      <c r="AA2233" s="77"/>
      <c r="AB2233" s="77"/>
      <c r="AC2233" s="77"/>
      <c r="AD2233" s="77"/>
      <c r="AE2233" s="79"/>
    </row>
    <row r="2234" spans="1:31" ht="15" thickBot="1" x14ac:dyDescent="0.35">
      <c r="A2234" s="76"/>
      <c r="B2234" s="80"/>
      <c r="C2234" s="78" t="s">
        <v>1507</v>
      </c>
      <c r="D2234" s="78" t="s">
        <v>1377</v>
      </c>
      <c r="E2234" s="78" t="s">
        <v>1961</v>
      </c>
      <c r="F2234" s="78" t="s">
        <v>2097</v>
      </c>
      <c r="G2234" s="78" t="s">
        <v>1492</v>
      </c>
      <c r="H2234" s="77"/>
      <c r="I2234" s="227"/>
      <c r="J2234" s="77"/>
      <c r="K2234" s="77"/>
      <c r="L2234" s="77"/>
      <c r="M2234" s="77"/>
      <c r="N2234" s="77"/>
      <c r="O2234" s="77"/>
      <c r="P2234" s="77"/>
      <c r="Q2234" s="77"/>
      <c r="R2234" s="77"/>
      <c r="S2234" s="77"/>
      <c r="T2234" s="77"/>
      <c r="U2234" s="77"/>
      <c r="V2234" s="77"/>
      <c r="W2234" s="77"/>
      <c r="X2234" s="77"/>
      <c r="Y2234" s="77"/>
      <c r="Z2234" s="77"/>
      <c r="AA2234" s="77"/>
      <c r="AB2234" s="77"/>
      <c r="AC2234" s="77"/>
      <c r="AD2234" s="77"/>
      <c r="AE2234" s="79"/>
    </row>
    <row r="2235" spans="1:31" x14ac:dyDescent="0.3">
      <c r="A2235" s="76"/>
      <c r="B2235" s="78" t="s">
        <v>1926</v>
      </c>
      <c r="C2235" s="78" t="s">
        <v>1489</v>
      </c>
      <c r="D2235" s="78" t="s">
        <v>566</v>
      </c>
      <c r="E2235" s="78" t="s">
        <v>1620</v>
      </c>
      <c r="F2235" s="78" t="s">
        <v>1495</v>
      </c>
      <c r="G2235" s="78" t="s">
        <v>1513</v>
      </c>
      <c r="H2235" s="77"/>
      <c r="I2235" s="225" t="s">
        <v>1485</v>
      </c>
      <c r="J2235" s="77"/>
      <c r="K2235" s="77"/>
      <c r="L2235" s="77"/>
      <c r="M2235" s="77"/>
      <c r="N2235" s="77"/>
      <c r="O2235" s="77"/>
      <c r="P2235" s="77"/>
      <c r="Q2235" s="77"/>
      <c r="R2235" s="77"/>
      <c r="S2235" s="77"/>
      <c r="T2235" s="77"/>
      <c r="U2235" s="77"/>
      <c r="V2235" s="77"/>
      <c r="W2235" s="77"/>
      <c r="X2235" s="77"/>
      <c r="Y2235" s="77"/>
      <c r="Z2235" s="77"/>
      <c r="AA2235" s="77"/>
      <c r="AB2235" s="77"/>
      <c r="AC2235" s="77"/>
      <c r="AD2235" s="77"/>
      <c r="AE2235" s="79"/>
    </row>
    <row r="2236" spans="1:31" ht="15" thickBot="1" x14ac:dyDescent="0.35">
      <c r="A2236" s="81"/>
      <c r="B2236" s="82" t="s">
        <v>1897</v>
      </c>
      <c r="C2236" s="82" t="s">
        <v>1496</v>
      </c>
      <c r="D2236" s="82" t="s">
        <v>709</v>
      </c>
      <c r="E2236" s="82" t="s">
        <v>1500</v>
      </c>
      <c r="F2236" s="82" t="s">
        <v>1501</v>
      </c>
      <c r="G2236" s="82" t="s">
        <v>1513</v>
      </c>
      <c r="H2236" s="83"/>
      <c r="I2236" s="226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83"/>
      <c r="V2236" s="83"/>
      <c r="W2236" s="83"/>
      <c r="X2236" s="83"/>
      <c r="Y2236" s="83"/>
      <c r="Z2236" s="83"/>
      <c r="AA2236" s="83"/>
      <c r="AB2236" s="83"/>
      <c r="AC2236" s="83"/>
      <c r="AD2236" s="83"/>
      <c r="AE2236" s="84"/>
    </row>
    <row r="2237" spans="1:31" x14ac:dyDescent="0.3">
      <c r="A2237" s="72" t="s">
        <v>1380</v>
      </c>
      <c r="B2237" s="73" t="s">
        <v>2262</v>
      </c>
      <c r="C2237" s="74" t="s">
        <v>1479</v>
      </c>
      <c r="D2237" s="74" t="s">
        <v>1381</v>
      </c>
      <c r="E2237" s="74" t="s">
        <v>1480</v>
      </c>
      <c r="F2237" s="74"/>
      <c r="G2237" s="74" t="s">
        <v>1481</v>
      </c>
      <c r="H2237" s="73" t="s">
        <v>1575</v>
      </c>
      <c r="I2237" s="226"/>
      <c r="J2237" s="73" t="s">
        <v>1379</v>
      </c>
      <c r="K2237" s="73" t="s">
        <v>1485</v>
      </c>
      <c r="L2237" s="73" t="s">
        <v>195</v>
      </c>
      <c r="M2237" s="73" t="s">
        <v>1483</v>
      </c>
      <c r="N2237" s="73" t="s">
        <v>1483</v>
      </c>
      <c r="O2237" s="73" t="s">
        <v>2655</v>
      </c>
      <c r="P2237" s="73" t="s">
        <v>2655</v>
      </c>
      <c r="Q2237" s="73" t="s">
        <v>2655</v>
      </c>
      <c r="R2237" s="73" t="s">
        <v>2655</v>
      </c>
      <c r="S2237" s="73" t="s">
        <v>1484</v>
      </c>
      <c r="T2237" s="73" t="s">
        <v>1484</v>
      </c>
      <c r="U2237" s="73" t="s">
        <v>1484</v>
      </c>
      <c r="V2237" s="73" t="s">
        <v>1484</v>
      </c>
      <c r="W2237" s="73" t="s">
        <v>1485</v>
      </c>
      <c r="X2237" s="73" t="s">
        <v>1484</v>
      </c>
      <c r="Y2237" s="73" t="s">
        <v>1484</v>
      </c>
      <c r="Z2237" s="73" t="s">
        <v>1484</v>
      </c>
      <c r="AA2237" s="73" t="s">
        <v>1485</v>
      </c>
      <c r="AB2237" s="73" t="s">
        <v>1484</v>
      </c>
      <c r="AC2237" s="73" t="s">
        <v>1486</v>
      </c>
      <c r="AD2237" s="73" t="s">
        <v>1487</v>
      </c>
      <c r="AE2237" s="75" t="s">
        <v>1579</v>
      </c>
    </row>
    <row r="2238" spans="1:31" x14ac:dyDescent="0.3">
      <c r="A2238" s="76"/>
      <c r="B2238" s="77"/>
      <c r="C2238" s="78" t="s">
        <v>1493</v>
      </c>
      <c r="D2238" s="78" t="s">
        <v>572</v>
      </c>
      <c r="E2238" s="78" t="s">
        <v>1620</v>
      </c>
      <c r="F2238" s="78" t="s">
        <v>1495</v>
      </c>
      <c r="G2238" s="78" t="s">
        <v>1492</v>
      </c>
      <c r="H2238" s="77"/>
      <c r="I2238" s="226"/>
      <c r="J2238" s="77"/>
      <c r="K2238" s="77"/>
      <c r="L2238" s="77"/>
      <c r="M2238" s="77"/>
      <c r="N2238" s="77"/>
      <c r="O2238" s="77"/>
      <c r="P2238" s="77"/>
      <c r="Q2238" s="77"/>
      <c r="R2238" s="77"/>
      <c r="S2238" s="77"/>
      <c r="T2238" s="77"/>
      <c r="U2238" s="77"/>
      <c r="V2238" s="77"/>
      <c r="W2238" s="77"/>
      <c r="X2238" s="77"/>
      <c r="Y2238" s="77"/>
      <c r="Z2238" s="77"/>
      <c r="AA2238" s="77"/>
      <c r="AB2238" s="77"/>
      <c r="AC2238" s="77"/>
      <c r="AD2238" s="77"/>
      <c r="AE2238" s="79"/>
    </row>
    <row r="2239" spans="1:31" x14ac:dyDescent="0.3">
      <c r="A2239" s="76"/>
      <c r="B2239" s="77"/>
      <c r="C2239" s="78" t="s">
        <v>1496</v>
      </c>
      <c r="D2239" s="78" t="s">
        <v>730</v>
      </c>
      <c r="E2239" s="78" t="s">
        <v>1500</v>
      </c>
      <c r="F2239" s="78" t="s">
        <v>1501</v>
      </c>
      <c r="G2239" s="78" t="s">
        <v>1492</v>
      </c>
      <c r="H2239" s="77"/>
      <c r="I2239" s="226"/>
      <c r="J2239" s="77"/>
      <c r="K2239" s="77"/>
      <c r="L2239" s="77"/>
      <c r="M2239" s="77"/>
      <c r="N2239" s="77"/>
      <c r="O2239" s="77"/>
      <c r="P2239" s="77"/>
      <c r="Q2239" s="77"/>
      <c r="R2239" s="77"/>
      <c r="S2239" s="77"/>
      <c r="T2239" s="77"/>
      <c r="U2239" s="77"/>
      <c r="V2239" s="77"/>
      <c r="W2239" s="77"/>
      <c r="X2239" s="77"/>
      <c r="Y2239" s="77"/>
      <c r="Z2239" s="77"/>
      <c r="AA2239" s="77"/>
      <c r="AB2239" s="77"/>
      <c r="AC2239" s="77"/>
      <c r="AD2239" s="77"/>
      <c r="AE2239" s="79"/>
    </row>
    <row r="2240" spans="1:31" ht="15" thickBot="1" x14ac:dyDescent="0.35">
      <c r="A2240" s="76"/>
      <c r="B2240" s="80"/>
      <c r="C2240" s="78" t="s">
        <v>1507</v>
      </c>
      <c r="D2240" s="78" t="s">
        <v>1382</v>
      </c>
      <c r="E2240" s="78" t="s">
        <v>1961</v>
      </c>
      <c r="F2240" s="78" t="s">
        <v>2097</v>
      </c>
      <c r="G2240" s="78" t="s">
        <v>1492</v>
      </c>
      <c r="H2240" s="77"/>
      <c r="I2240" s="227"/>
      <c r="J2240" s="77"/>
      <c r="K2240" s="77"/>
      <c r="L2240" s="77"/>
      <c r="M2240" s="77"/>
      <c r="N2240" s="77"/>
      <c r="O2240" s="77"/>
      <c r="P2240" s="77"/>
      <c r="Q2240" s="77"/>
      <c r="R2240" s="77"/>
      <c r="S2240" s="77"/>
      <c r="T2240" s="77"/>
      <c r="U2240" s="77"/>
      <c r="V2240" s="77"/>
      <c r="W2240" s="77"/>
      <c r="X2240" s="77"/>
      <c r="Y2240" s="77"/>
      <c r="Z2240" s="77"/>
      <c r="AA2240" s="77"/>
      <c r="AB2240" s="77"/>
      <c r="AC2240" s="77"/>
      <c r="AD2240" s="77"/>
      <c r="AE2240" s="79"/>
    </row>
    <row r="2241" spans="1:31" x14ac:dyDescent="0.3">
      <c r="A2241" s="76"/>
      <c r="B2241" s="78" t="s">
        <v>1930</v>
      </c>
      <c r="C2241" s="78" t="s">
        <v>1489</v>
      </c>
      <c r="D2241" s="78" t="s">
        <v>572</v>
      </c>
      <c r="E2241" s="78" t="s">
        <v>1620</v>
      </c>
      <c r="F2241" s="78" t="s">
        <v>1495</v>
      </c>
      <c r="G2241" s="78" t="s">
        <v>1513</v>
      </c>
      <c r="H2241" s="77"/>
      <c r="I2241" s="225" t="s">
        <v>1485</v>
      </c>
      <c r="J2241" s="77"/>
      <c r="K2241" s="77"/>
      <c r="L2241" s="77"/>
      <c r="M2241" s="77"/>
      <c r="N2241" s="77"/>
      <c r="O2241" s="77"/>
      <c r="P2241" s="77"/>
      <c r="Q2241" s="77"/>
      <c r="R2241" s="77"/>
      <c r="S2241" s="77"/>
      <c r="T2241" s="77"/>
      <c r="U2241" s="77"/>
      <c r="V2241" s="77"/>
      <c r="W2241" s="77"/>
      <c r="X2241" s="77"/>
      <c r="Y2241" s="77"/>
      <c r="Z2241" s="77"/>
      <c r="AA2241" s="77"/>
      <c r="AB2241" s="77"/>
      <c r="AC2241" s="77"/>
      <c r="AD2241" s="77"/>
      <c r="AE2241" s="79"/>
    </row>
    <row r="2242" spans="1:31" ht="15" thickBot="1" x14ac:dyDescent="0.35">
      <c r="A2242" s="81"/>
      <c r="B2242" s="82" t="s">
        <v>1892</v>
      </c>
      <c r="C2242" s="82" t="s">
        <v>1496</v>
      </c>
      <c r="D2242" s="82" t="s">
        <v>730</v>
      </c>
      <c r="E2242" s="82" t="s">
        <v>1500</v>
      </c>
      <c r="F2242" s="82" t="s">
        <v>1501</v>
      </c>
      <c r="G2242" s="82" t="s">
        <v>1513</v>
      </c>
      <c r="H2242" s="83"/>
      <c r="I2242" s="226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83"/>
      <c r="V2242" s="83"/>
      <c r="W2242" s="83"/>
      <c r="X2242" s="83"/>
      <c r="Y2242" s="83"/>
      <c r="Z2242" s="83"/>
      <c r="AA2242" s="83"/>
      <c r="AB2242" s="83"/>
      <c r="AC2242" s="83"/>
      <c r="AD2242" s="83"/>
      <c r="AE2242" s="84"/>
    </row>
    <row r="2243" spans="1:31" x14ac:dyDescent="0.3">
      <c r="A2243" s="72" t="s">
        <v>1385</v>
      </c>
      <c r="B2243" s="73" t="s">
        <v>2263</v>
      </c>
      <c r="C2243" s="74" t="s">
        <v>1479</v>
      </c>
      <c r="D2243" s="74" t="s">
        <v>1386</v>
      </c>
      <c r="E2243" s="74" t="s">
        <v>1480</v>
      </c>
      <c r="F2243" s="74"/>
      <c r="G2243" s="74" t="s">
        <v>1481</v>
      </c>
      <c r="H2243" s="73" t="s">
        <v>1575</v>
      </c>
      <c r="I2243" s="226"/>
      <c r="J2243" s="73" t="s">
        <v>1384</v>
      </c>
      <c r="K2243" s="73" t="s">
        <v>1485</v>
      </c>
      <c r="L2243" s="73" t="s">
        <v>195</v>
      </c>
      <c r="M2243" s="73" t="s">
        <v>1483</v>
      </c>
      <c r="N2243" s="73" t="s">
        <v>1483</v>
      </c>
      <c r="O2243" s="73" t="s">
        <v>2655</v>
      </c>
      <c r="P2243" s="73" t="s">
        <v>2655</v>
      </c>
      <c r="Q2243" s="73" t="s">
        <v>2655</v>
      </c>
      <c r="R2243" s="73" t="s">
        <v>2655</v>
      </c>
      <c r="S2243" s="73" t="s">
        <v>1484</v>
      </c>
      <c r="T2243" s="73" t="s">
        <v>1484</v>
      </c>
      <c r="U2243" s="73" t="s">
        <v>1484</v>
      </c>
      <c r="V2243" s="73" t="s">
        <v>1484</v>
      </c>
      <c r="W2243" s="73" t="s">
        <v>1485</v>
      </c>
      <c r="X2243" s="73" t="s">
        <v>1484</v>
      </c>
      <c r="Y2243" s="73" t="s">
        <v>1484</v>
      </c>
      <c r="Z2243" s="73" t="s">
        <v>1484</v>
      </c>
      <c r="AA2243" s="73" t="s">
        <v>1485</v>
      </c>
      <c r="AB2243" s="73" t="s">
        <v>1484</v>
      </c>
      <c r="AC2243" s="73" t="s">
        <v>1486</v>
      </c>
      <c r="AD2243" s="73" t="s">
        <v>1487</v>
      </c>
      <c r="AE2243" s="75" t="s">
        <v>1579</v>
      </c>
    </row>
    <row r="2244" spans="1:31" x14ac:dyDescent="0.3">
      <c r="A2244" s="76"/>
      <c r="B2244" s="77"/>
      <c r="C2244" s="78" t="s">
        <v>1493</v>
      </c>
      <c r="D2244" s="78" t="s">
        <v>592</v>
      </c>
      <c r="E2244" s="78" t="s">
        <v>1620</v>
      </c>
      <c r="F2244" s="78" t="s">
        <v>1495</v>
      </c>
      <c r="G2244" s="78" t="s">
        <v>1492</v>
      </c>
      <c r="H2244" s="77"/>
      <c r="I2244" s="226"/>
      <c r="J2244" s="77"/>
      <c r="K2244" s="77"/>
      <c r="L2244" s="77"/>
      <c r="M2244" s="77"/>
      <c r="N2244" s="77"/>
      <c r="O2244" s="77"/>
      <c r="P2244" s="77"/>
      <c r="Q2244" s="77"/>
      <c r="R2244" s="77"/>
      <c r="S2244" s="77"/>
      <c r="T2244" s="77"/>
      <c r="U2244" s="77"/>
      <c r="V2244" s="77"/>
      <c r="W2244" s="77"/>
      <c r="X2244" s="77"/>
      <c r="Y2244" s="77"/>
      <c r="Z2244" s="77"/>
      <c r="AA2244" s="77"/>
      <c r="AB2244" s="77"/>
      <c r="AC2244" s="77"/>
      <c r="AD2244" s="77"/>
      <c r="AE2244" s="79"/>
    </row>
    <row r="2245" spans="1:31" x14ac:dyDescent="0.3">
      <c r="A2245" s="76"/>
      <c r="B2245" s="77"/>
      <c r="C2245" s="78" t="s">
        <v>1496</v>
      </c>
      <c r="D2245" s="78" t="s">
        <v>747</v>
      </c>
      <c r="E2245" s="78" t="s">
        <v>1500</v>
      </c>
      <c r="F2245" s="78" t="s">
        <v>1501</v>
      </c>
      <c r="G2245" s="78" t="s">
        <v>1492</v>
      </c>
      <c r="H2245" s="77"/>
      <c r="I2245" s="226"/>
      <c r="J2245" s="77"/>
      <c r="K2245" s="77"/>
      <c r="L2245" s="77"/>
      <c r="M2245" s="77"/>
      <c r="N2245" s="77"/>
      <c r="O2245" s="77"/>
      <c r="P2245" s="77"/>
      <c r="Q2245" s="77"/>
      <c r="R2245" s="77"/>
      <c r="S2245" s="77"/>
      <c r="T2245" s="77"/>
      <c r="U2245" s="77"/>
      <c r="V2245" s="77"/>
      <c r="W2245" s="77"/>
      <c r="X2245" s="77"/>
      <c r="Y2245" s="77"/>
      <c r="Z2245" s="77"/>
      <c r="AA2245" s="77"/>
      <c r="AB2245" s="77"/>
      <c r="AC2245" s="77"/>
      <c r="AD2245" s="77"/>
      <c r="AE2245" s="79"/>
    </row>
    <row r="2246" spans="1:31" ht="15" thickBot="1" x14ac:dyDescent="0.35">
      <c r="A2246" s="76"/>
      <c r="B2246" s="80"/>
      <c r="C2246" s="78" t="s">
        <v>1507</v>
      </c>
      <c r="D2246" s="78" t="s">
        <v>1387</v>
      </c>
      <c r="E2246" s="78" t="s">
        <v>1961</v>
      </c>
      <c r="F2246" s="78" t="s">
        <v>2097</v>
      </c>
      <c r="G2246" s="78" t="s">
        <v>1492</v>
      </c>
      <c r="H2246" s="77"/>
      <c r="I2246" s="227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U2246" s="77"/>
      <c r="V2246" s="77"/>
      <c r="W2246" s="77"/>
      <c r="X2246" s="77"/>
      <c r="Y2246" s="77"/>
      <c r="Z2246" s="77"/>
      <c r="AA2246" s="77"/>
      <c r="AB2246" s="77"/>
      <c r="AC2246" s="77"/>
      <c r="AD2246" s="77"/>
      <c r="AE2246" s="79"/>
    </row>
    <row r="2247" spans="1:31" x14ac:dyDescent="0.3">
      <c r="A2247" s="76"/>
      <c r="B2247" s="78" t="s">
        <v>1935</v>
      </c>
      <c r="C2247" s="78" t="s">
        <v>1489</v>
      </c>
      <c r="D2247" s="78" t="s">
        <v>592</v>
      </c>
      <c r="E2247" s="78" t="s">
        <v>1620</v>
      </c>
      <c r="F2247" s="78" t="s">
        <v>1495</v>
      </c>
      <c r="G2247" s="78" t="s">
        <v>1513</v>
      </c>
      <c r="H2247" s="77"/>
      <c r="I2247" s="225" t="s">
        <v>1485</v>
      </c>
      <c r="J2247" s="77"/>
      <c r="K2247" s="77"/>
      <c r="L2247" s="77"/>
      <c r="M2247" s="77"/>
      <c r="N2247" s="77"/>
      <c r="O2247" s="77"/>
      <c r="P2247" s="77"/>
      <c r="Q2247" s="77"/>
      <c r="R2247" s="77"/>
      <c r="S2247" s="77"/>
      <c r="T2247" s="77"/>
      <c r="U2247" s="77"/>
      <c r="V2247" s="77"/>
      <c r="W2247" s="77"/>
      <c r="X2247" s="77"/>
      <c r="Y2247" s="77"/>
      <c r="Z2247" s="77"/>
      <c r="AA2247" s="77"/>
      <c r="AB2247" s="77"/>
      <c r="AC2247" s="77"/>
      <c r="AD2247" s="77"/>
      <c r="AE2247" s="79"/>
    </row>
    <row r="2248" spans="1:31" ht="15" thickBot="1" x14ac:dyDescent="0.35">
      <c r="A2248" s="81"/>
      <c r="B2248" s="82" t="s">
        <v>1886</v>
      </c>
      <c r="C2248" s="82" t="s">
        <v>1496</v>
      </c>
      <c r="D2248" s="82" t="s">
        <v>747</v>
      </c>
      <c r="E2248" s="82" t="s">
        <v>1500</v>
      </c>
      <c r="F2248" s="82" t="s">
        <v>1501</v>
      </c>
      <c r="G2248" s="82" t="s">
        <v>1513</v>
      </c>
      <c r="H2248" s="83"/>
      <c r="I2248" s="226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83"/>
      <c r="V2248" s="83"/>
      <c r="W2248" s="83"/>
      <c r="X2248" s="83"/>
      <c r="Y2248" s="83"/>
      <c r="Z2248" s="83"/>
      <c r="AA2248" s="83"/>
      <c r="AB2248" s="83"/>
      <c r="AC2248" s="83"/>
      <c r="AD2248" s="83"/>
      <c r="AE2248" s="84"/>
    </row>
    <row r="2249" spans="1:31" x14ac:dyDescent="0.3">
      <c r="A2249" s="72" t="s">
        <v>1390</v>
      </c>
      <c r="B2249" s="73" t="s">
        <v>2264</v>
      </c>
      <c r="C2249" s="74" t="s">
        <v>1479</v>
      </c>
      <c r="D2249" s="74" t="s">
        <v>1391</v>
      </c>
      <c r="E2249" s="74" t="s">
        <v>1480</v>
      </c>
      <c r="F2249" s="74"/>
      <c r="G2249" s="74" t="s">
        <v>1481</v>
      </c>
      <c r="H2249" s="73" t="s">
        <v>1575</v>
      </c>
      <c r="I2249" s="226"/>
      <c r="J2249" s="73" t="s">
        <v>1389</v>
      </c>
      <c r="K2249" s="73" t="s">
        <v>1485</v>
      </c>
      <c r="L2249" s="73" t="s">
        <v>195</v>
      </c>
      <c r="M2249" s="73" t="s">
        <v>1483</v>
      </c>
      <c r="N2249" s="73" t="s">
        <v>1483</v>
      </c>
      <c r="O2249" s="73" t="s">
        <v>2655</v>
      </c>
      <c r="P2249" s="73" t="s">
        <v>2655</v>
      </c>
      <c r="Q2249" s="73" t="s">
        <v>2655</v>
      </c>
      <c r="R2249" s="73" t="s">
        <v>2655</v>
      </c>
      <c r="S2249" s="73" t="s">
        <v>1484</v>
      </c>
      <c r="T2249" s="73" t="s">
        <v>1484</v>
      </c>
      <c r="U2249" s="73" t="s">
        <v>1484</v>
      </c>
      <c r="V2249" s="73" t="s">
        <v>1484</v>
      </c>
      <c r="W2249" s="73" t="s">
        <v>1485</v>
      </c>
      <c r="X2249" s="73" t="s">
        <v>1484</v>
      </c>
      <c r="Y2249" s="73" t="s">
        <v>1484</v>
      </c>
      <c r="Z2249" s="73" t="s">
        <v>1484</v>
      </c>
      <c r="AA2249" s="73" t="s">
        <v>1485</v>
      </c>
      <c r="AB2249" s="73" t="s">
        <v>1484</v>
      </c>
      <c r="AC2249" s="73" t="s">
        <v>1486</v>
      </c>
      <c r="AD2249" s="73" t="s">
        <v>1487</v>
      </c>
      <c r="AE2249" s="75" t="s">
        <v>1579</v>
      </c>
    </row>
    <row r="2250" spans="1:31" x14ac:dyDescent="0.3">
      <c r="A2250" s="76"/>
      <c r="B2250" s="77"/>
      <c r="C2250" s="78" t="s">
        <v>1496</v>
      </c>
      <c r="D2250" s="78" t="s">
        <v>760</v>
      </c>
      <c r="E2250" s="78" t="s">
        <v>1500</v>
      </c>
      <c r="F2250" s="78" t="s">
        <v>1501</v>
      </c>
      <c r="G2250" s="78" t="s">
        <v>1492</v>
      </c>
      <c r="H2250" s="77"/>
      <c r="I2250" s="226"/>
      <c r="J2250" s="77"/>
      <c r="K2250" s="77"/>
      <c r="L2250" s="77"/>
      <c r="M2250" s="77"/>
      <c r="N2250" s="77"/>
      <c r="O2250" s="77"/>
      <c r="P2250" s="77"/>
      <c r="Q2250" s="77"/>
      <c r="R2250" s="77"/>
      <c r="S2250" s="77"/>
      <c r="T2250" s="77"/>
      <c r="U2250" s="77"/>
      <c r="V2250" s="77"/>
      <c r="W2250" s="77"/>
      <c r="X2250" s="77"/>
      <c r="Y2250" s="77"/>
      <c r="Z2250" s="77"/>
      <c r="AA2250" s="77"/>
      <c r="AB2250" s="77"/>
      <c r="AC2250" s="77"/>
      <c r="AD2250" s="77"/>
      <c r="AE2250" s="79"/>
    </row>
    <row r="2251" spans="1:31" x14ac:dyDescent="0.3">
      <c r="A2251" s="76"/>
      <c r="B2251" s="80"/>
      <c r="C2251" s="78" t="s">
        <v>1507</v>
      </c>
      <c r="D2251" s="78" t="s">
        <v>1392</v>
      </c>
      <c r="E2251" s="78" t="s">
        <v>1961</v>
      </c>
      <c r="F2251" s="78" t="s">
        <v>2097</v>
      </c>
      <c r="G2251" s="78" t="s">
        <v>1492</v>
      </c>
      <c r="H2251" s="77"/>
      <c r="I2251" s="226"/>
      <c r="J2251" s="77"/>
      <c r="K2251" s="77"/>
      <c r="L2251" s="77"/>
      <c r="M2251" s="77"/>
      <c r="N2251" s="77"/>
      <c r="O2251" s="77"/>
      <c r="P2251" s="77"/>
      <c r="Q2251" s="77"/>
      <c r="R2251" s="77"/>
      <c r="S2251" s="77"/>
      <c r="T2251" s="77"/>
      <c r="U2251" s="77"/>
      <c r="V2251" s="77"/>
      <c r="W2251" s="77"/>
      <c r="X2251" s="77"/>
      <c r="Y2251" s="77"/>
      <c r="Z2251" s="77"/>
      <c r="AA2251" s="77"/>
      <c r="AB2251" s="77"/>
      <c r="AC2251" s="77"/>
      <c r="AD2251" s="77"/>
      <c r="AE2251" s="79"/>
    </row>
    <row r="2252" spans="1:31" ht="15" thickBot="1" x14ac:dyDescent="0.35">
      <c r="A2252" s="81"/>
      <c r="B2252" s="82" t="s">
        <v>1879</v>
      </c>
      <c r="C2252" s="82" t="s">
        <v>1496</v>
      </c>
      <c r="D2252" s="82" t="s">
        <v>760</v>
      </c>
      <c r="E2252" s="82" t="s">
        <v>1500</v>
      </c>
      <c r="F2252" s="82" t="s">
        <v>1501</v>
      </c>
      <c r="G2252" s="82" t="s">
        <v>1513</v>
      </c>
      <c r="H2252" s="83"/>
      <c r="I2252" s="227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83"/>
      <c r="V2252" s="83"/>
      <c r="W2252" s="83"/>
      <c r="X2252" s="83"/>
      <c r="Y2252" s="83"/>
      <c r="Z2252" s="83"/>
      <c r="AA2252" s="83"/>
      <c r="AB2252" s="83"/>
      <c r="AC2252" s="83"/>
      <c r="AD2252" s="83"/>
      <c r="AE2252" s="84"/>
    </row>
    <row r="2253" spans="1:31" x14ac:dyDescent="0.3">
      <c r="A2253" s="72" t="s">
        <v>1395</v>
      </c>
      <c r="B2253" s="73" t="s">
        <v>2265</v>
      </c>
      <c r="C2253" s="74" t="s">
        <v>1479</v>
      </c>
      <c r="D2253" s="74" t="s">
        <v>1396</v>
      </c>
      <c r="E2253" s="74" t="s">
        <v>1480</v>
      </c>
      <c r="F2253" s="74"/>
      <c r="G2253" s="74" t="s">
        <v>1481</v>
      </c>
      <c r="H2253" s="73" t="s">
        <v>1575</v>
      </c>
      <c r="I2253" s="225" t="s">
        <v>1485</v>
      </c>
      <c r="J2253" s="73" t="s">
        <v>1394</v>
      </c>
      <c r="K2253" s="73" t="s">
        <v>1485</v>
      </c>
      <c r="L2253" s="73" t="s">
        <v>195</v>
      </c>
      <c r="M2253" s="73" t="s">
        <v>1483</v>
      </c>
      <c r="N2253" s="73" t="s">
        <v>1483</v>
      </c>
      <c r="O2253" s="73" t="s">
        <v>2655</v>
      </c>
      <c r="P2253" s="73" t="s">
        <v>2655</v>
      </c>
      <c r="Q2253" s="73" t="s">
        <v>2655</v>
      </c>
      <c r="R2253" s="73" t="s">
        <v>2655</v>
      </c>
      <c r="S2253" s="73" t="s">
        <v>1484</v>
      </c>
      <c r="T2253" s="73" t="s">
        <v>1484</v>
      </c>
      <c r="U2253" s="73" t="s">
        <v>1484</v>
      </c>
      <c r="V2253" s="73" t="s">
        <v>1484</v>
      </c>
      <c r="W2253" s="73" t="s">
        <v>1485</v>
      </c>
      <c r="X2253" s="73" t="s">
        <v>1484</v>
      </c>
      <c r="Y2253" s="73" t="s">
        <v>1484</v>
      </c>
      <c r="Z2253" s="73" t="s">
        <v>1484</v>
      </c>
      <c r="AA2253" s="73" t="s">
        <v>1485</v>
      </c>
      <c r="AB2253" s="73" t="s">
        <v>1484</v>
      </c>
      <c r="AC2253" s="73" t="s">
        <v>1486</v>
      </c>
      <c r="AD2253" s="73" t="s">
        <v>1487</v>
      </c>
      <c r="AE2253" s="75" t="s">
        <v>1579</v>
      </c>
    </row>
    <row r="2254" spans="1:31" x14ac:dyDescent="0.3">
      <c r="A2254" s="76"/>
      <c r="B2254" s="77"/>
      <c r="C2254" s="78" t="s">
        <v>1496</v>
      </c>
      <c r="D2254" s="78" t="s">
        <v>771</v>
      </c>
      <c r="E2254" s="78" t="s">
        <v>1500</v>
      </c>
      <c r="F2254" s="78" t="s">
        <v>1501</v>
      </c>
      <c r="G2254" s="78" t="s">
        <v>1492</v>
      </c>
      <c r="H2254" s="77"/>
      <c r="I2254" s="226"/>
      <c r="J2254" s="77"/>
      <c r="K2254" s="77"/>
      <c r="L2254" s="77"/>
      <c r="M2254" s="77"/>
      <c r="N2254" s="77"/>
      <c r="O2254" s="77"/>
      <c r="P2254" s="77"/>
      <c r="Q2254" s="77"/>
      <c r="R2254" s="77"/>
      <c r="S2254" s="77"/>
      <c r="T2254" s="77"/>
      <c r="U2254" s="77"/>
      <c r="V2254" s="77"/>
      <c r="W2254" s="77"/>
      <c r="X2254" s="77"/>
      <c r="Y2254" s="77"/>
      <c r="Z2254" s="77"/>
      <c r="AA2254" s="77"/>
      <c r="AB2254" s="77"/>
      <c r="AC2254" s="77"/>
      <c r="AD2254" s="77"/>
      <c r="AE2254" s="79"/>
    </row>
    <row r="2255" spans="1:31" x14ac:dyDescent="0.3">
      <c r="A2255" s="76"/>
      <c r="B2255" s="80"/>
      <c r="C2255" s="78" t="s">
        <v>1507</v>
      </c>
      <c r="D2255" s="78" t="s">
        <v>1397</v>
      </c>
      <c r="E2255" s="78" t="s">
        <v>1961</v>
      </c>
      <c r="F2255" s="78" t="s">
        <v>2097</v>
      </c>
      <c r="G2255" s="78" t="s">
        <v>1492</v>
      </c>
      <c r="H2255" s="77"/>
      <c r="I2255" s="226"/>
      <c r="J2255" s="77"/>
      <c r="K2255" s="77"/>
      <c r="L2255" s="77"/>
      <c r="M2255" s="77"/>
      <c r="N2255" s="77"/>
      <c r="O2255" s="77"/>
      <c r="P2255" s="77"/>
      <c r="Q2255" s="77"/>
      <c r="R2255" s="77"/>
      <c r="S2255" s="77"/>
      <c r="T2255" s="77"/>
      <c r="U2255" s="77"/>
      <c r="V2255" s="77"/>
      <c r="W2255" s="77"/>
      <c r="X2255" s="77"/>
      <c r="Y2255" s="77"/>
      <c r="Z2255" s="77"/>
      <c r="AA2255" s="77"/>
      <c r="AB2255" s="77"/>
      <c r="AC2255" s="77"/>
      <c r="AD2255" s="77"/>
      <c r="AE2255" s="79"/>
    </row>
    <row r="2256" spans="1:31" ht="15" thickBot="1" x14ac:dyDescent="0.35">
      <c r="A2256" s="81"/>
      <c r="B2256" s="82" t="s">
        <v>1872</v>
      </c>
      <c r="C2256" s="82" t="s">
        <v>1496</v>
      </c>
      <c r="D2256" s="82" t="s">
        <v>771</v>
      </c>
      <c r="E2256" s="82" t="s">
        <v>1500</v>
      </c>
      <c r="F2256" s="82" t="s">
        <v>1501</v>
      </c>
      <c r="G2256" s="82" t="s">
        <v>1513</v>
      </c>
      <c r="H2256" s="83"/>
      <c r="I2256" s="226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83"/>
      <c r="V2256" s="83"/>
      <c r="W2256" s="83"/>
      <c r="X2256" s="83"/>
      <c r="Y2256" s="83"/>
      <c r="Z2256" s="83"/>
      <c r="AA2256" s="83"/>
      <c r="AB2256" s="83"/>
      <c r="AC2256" s="83"/>
      <c r="AD2256" s="83"/>
      <c r="AE2256" s="84"/>
    </row>
    <row r="2257" spans="1:31" x14ac:dyDescent="0.3">
      <c r="A2257" s="72" t="s">
        <v>1400</v>
      </c>
      <c r="B2257" s="73" t="s">
        <v>2266</v>
      </c>
      <c r="C2257" s="74" t="s">
        <v>1479</v>
      </c>
      <c r="D2257" s="74" t="s">
        <v>1401</v>
      </c>
      <c r="E2257" s="74" t="s">
        <v>1480</v>
      </c>
      <c r="F2257" s="74"/>
      <c r="G2257" s="74" t="s">
        <v>1481</v>
      </c>
      <c r="H2257" s="73" t="s">
        <v>1575</v>
      </c>
      <c r="I2257" s="226"/>
      <c r="J2257" s="73" t="s">
        <v>1399</v>
      </c>
      <c r="K2257" s="73" t="s">
        <v>1485</v>
      </c>
      <c r="L2257" s="73" t="s">
        <v>195</v>
      </c>
      <c r="M2257" s="73" t="s">
        <v>1483</v>
      </c>
      <c r="N2257" s="73" t="s">
        <v>1483</v>
      </c>
      <c r="O2257" s="73" t="s">
        <v>2655</v>
      </c>
      <c r="P2257" s="73" t="s">
        <v>2655</v>
      </c>
      <c r="Q2257" s="73" t="s">
        <v>2655</v>
      </c>
      <c r="R2257" s="73" t="s">
        <v>2655</v>
      </c>
      <c r="S2257" s="73" t="s">
        <v>1484</v>
      </c>
      <c r="T2257" s="73" t="s">
        <v>1484</v>
      </c>
      <c r="U2257" s="73" t="s">
        <v>1484</v>
      </c>
      <c r="V2257" s="73" t="s">
        <v>1484</v>
      </c>
      <c r="W2257" s="73" t="s">
        <v>1485</v>
      </c>
      <c r="X2257" s="73" t="s">
        <v>1484</v>
      </c>
      <c r="Y2257" s="73" t="s">
        <v>1484</v>
      </c>
      <c r="Z2257" s="73" t="s">
        <v>1484</v>
      </c>
      <c r="AA2257" s="73" t="s">
        <v>1485</v>
      </c>
      <c r="AB2257" s="73" t="s">
        <v>1484</v>
      </c>
      <c r="AC2257" s="73" t="s">
        <v>1486</v>
      </c>
      <c r="AD2257" s="73" t="s">
        <v>1487</v>
      </c>
      <c r="AE2257" s="75" t="s">
        <v>1579</v>
      </c>
    </row>
    <row r="2258" spans="1:31" ht="15" thickBot="1" x14ac:dyDescent="0.35">
      <c r="A2258" s="76"/>
      <c r="B2258" s="77"/>
      <c r="C2258" s="78" t="s">
        <v>1496</v>
      </c>
      <c r="D2258" s="78" t="s">
        <v>796</v>
      </c>
      <c r="E2258" s="78" t="s">
        <v>1500</v>
      </c>
      <c r="F2258" s="78" t="s">
        <v>1501</v>
      </c>
      <c r="G2258" s="78" t="s">
        <v>1492</v>
      </c>
      <c r="H2258" s="77"/>
      <c r="I2258" s="227"/>
      <c r="J2258" s="77"/>
      <c r="K2258" s="77"/>
      <c r="L2258" s="77"/>
      <c r="M2258" s="77"/>
      <c r="N2258" s="77"/>
      <c r="O2258" s="77"/>
      <c r="P2258" s="77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  <c r="AA2258" s="77"/>
      <c r="AB2258" s="77"/>
      <c r="AC2258" s="77"/>
      <c r="AD2258" s="77"/>
      <c r="AE2258" s="79"/>
    </row>
    <row r="2259" spans="1:31" x14ac:dyDescent="0.3">
      <c r="A2259" s="76"/>
      <c r="B2259" s="80"/>
      <c r="C2259" s="78" t="s">
        <v>1507</v>
      </c>
      <c r="D2259" s="78" t="s">
        <v>1402</v>
      </c>
      <c r="E2259" s="78" t="s">
        <v>1961</v>
      </c>
      <c r="F2259" s="78" t="s">
        <v>2097</v>
      </c>
      <c r="G2259" s="78" t="s">
        <v>1492</v>
      </c>
      <c r="H2259" s="77"/>
      <c r="I2259" s="225" t="s">
        <v>1485</v>
      </c>
      <c r="J2259" s="77"/>
      <c r="K2259" s="77"/>
      <c r="L2259" s="77"/>
      <c r="M2259" s="77"/>
      <c r="N2259" s="77"/>
      <c r="O2259" s="77"/>
      <c r="P2259" s="77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  <c r="AA2259" s="77"/>
      <c r="AB2259" s="77"/>
      <c r="AC2259" s="77"/>
      <c r="AD2259" s="77"/>
      <c r="AE2259" s="79"/>
    </row>
    <row r="2260" spans="1:31" ht="15" thickBot="1" x14ac:dyDescent="0.35">
      <c r="A2260" s="81"/>
      <c r="B2260" s="82" t="s">
        <v>1862</v>
      </c>
      <c r="C2260" s="82" t="s">
        <v>1496</v>
      </c>
      <c r="D2260" s="82" t="s">
        <v>796</v>
      </c>
      <c r="E2260" s="82" t="s">
        <v>1500</v>
      </c>
      <c r="F2260" s="82" t="s">
        <v>1501</v>
      </c>
      <c r="G2260" s="82" t="s">
        <v>1513</v>
      </c>
      <c r="H2260" s="83"/>
      <c r="I2260" s="226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83"/>
      <c r="V2260" s="83"/>
      <c r="W2260" s="83"/>
      <c r="X2260" s="83"/>
      <c r="Y2260" s="83"/>
      <c r="Z2260" s="83"/>
      <c r="AA2260" s="83"/>
      <c r="AB2260" s="83"/>
      <c r="AC2260" s="83"/>
      <c r="AD2260" s="83"/>
      <c r="AE2260" s="84"/>
    </row>
    <row r="2261" spans="1:31" x14ac:dyDescent="0.3">
      <c r="A2261" s="72" t="s">
        <v>1405</v>
      </c>
      <c r="B2261" s="73" t="s">
        <v>2267</v>
      </c>
      <c r="C2261" s="74" t="s">
        <v>1479</v>
      </c>
      <c r="D2261" s="74" t="s">
        <v>1406</v>
      </c>
      <c r="E2261" s="74" t="s">
        <v>1480</v>
      </c>
      <c r="F2261" s="74"/>
      <c r="G2261" s="74" t="s">
        <v>1481</v>
      </c>
      <c r="H2261" s="73" t="s">
        <v>1575</v>
      </c>
      <c r="I2261" s="226"/>
      <c r="J2261" s="73" t="s">
        <v>1404</v>
      </c>
      <c r="K2261" s="73" t="s">
        <v>1485</v>
      </c>
      <c r="L2261" s="73" t="s">
        <v>195</v>
      </c>
      <c r="M2261" s="73" t="s">
        <v>1483</v>
      </c>
      <c r="N2261" s="73" t="s">
        <v>1483</v>
      </c>
      <c r="O2261" s="73" t="s">
        <v>2655</v>
      </c>
      <c r="P2261" s="73" t="s">
        <v>2655</v>
      </c>
      <c r="Q2261" s="73" t="s">
        <v>2655</v>
      </c>
      <c r="R2261" s="73" t="s">
        <v>2655</v>
      </c>
      <c r="S2261" s="73" t="s">
        <v>1484</v>
      </c>
      <c r="T2261" s="73" t="s">
        <v>1484</v>
      </c>
      <c r="U2261" s="73" t="s">
        <v>1484</v>
      </c>
      <c r="V2261" s="73" t="s">
        <v>1484</v>
      </c>
      <c r="W2261" s="73" t="s">
        <v>1485</v>
      </c>
      <c r="X2261" s="73" t="s">
        <v>1484</v>
      </c>
      <c r="Y2261" s="73" t="s">
        <v>1484</v>
      </c>
      <c r="Z2261" s="73" t="s">
        <v>1484</v>
      </c>
      <c r="AA2261" s="73" t="s">
        <v>1485</v>
      </c>
      <c r="AB2261" s="73" t="s">
        <v>1484</v>
      </c>
      <c r="AC2261" s="73" t="s">
        <v>1486</v>
      </c>
      <c r="AD2261" s="73" t="s">
        <v>1487</v>
      </c>
      <c r="AE2261" s="75" t="s">
        <v>1579</v>
      </c>
    </row>
    <row r="2262" spans="1:31" x14ac:dyDescent="0.3">
      <c r="A2262" s="76"/>
      <c r="B2262" s="77"/>
      <c r="C2262" s="78" t="s">
        <v>1496</v>
      </c>
      <c r="D2262" s="78" t="s">
        <v>819</v>
      </c>
      <c r="E2262" s="78" t="s">
        <v>1500</v>
      </c>
      <c r="F2262" s="78" t="s">
        <v>1501</v>
      </c>
      <c r="G2262" s="78" t="s">
        <v>1492</v>
      </c>
      <c r="H2262" s="77"/>
      <c r="I2262" s="226"/>
      <c r="J2262" s="77"/>
      <c r="K2262" s="77"/>
      <c r="L2262" s="77"/>
      <c r="M2262" s="77"/>
      <c r="N2262" s="77"/>
      <c r="O2262" s="77"/>
      <c r="P2262" s="77"/>
      <c r="Q2262" s="77"/>
      <c r="R2262" s="77"/>
      <c r="S2262" s="77"/>
      <c r="T2262" s="77"/>
      <c r="U2262" s="77"/>
      <c r="V2262" s="77"/>
      <c r="W2262" s="77"/>
      <c r="X2262" s="77"/>
      <c r="Y2262" s="77"/>
      <c r="Z2262" s="77"/>
      <c r="AA2262" s="77"/>
      <c r="AB2262" s="77"/>
      <c r="AC2262" s="77"/>
      <c r="AD2262" s="77"/>
      <c r="AE2262" s="79"/>
    </row>
    <row r="2263" spans="1:31" x14ac:dyDescent="0.3">
      <c r="A2263" s="76"/>
      <c r="B2263" s="80"/>
      <c r="C2263" s="78" t="s">
        <v>1507</v>
      </c>
      <c r="D2263" s="78" t="s">
        <v>1407</v>
      </c>
      <c r="E2263" s="78" t="s">
        <v>1961</v>
      </c>
      <c r="F2263" s="78" t="s">
        <v>2097</v>
      </c>
      <c r="G2263" s="78" t="s">
        <v>1492</v>
      </c>
      <c r="H2263" s="77"/>
      <c r="I2263" s="226"/>
      <c r="J2263" s="77"/>
      <c r="K2263" s="77"/>
      <c r="L2263" s="77"/>
      <c r="M2263" s="77"/>
      <c r="N2263" s="77"/>
      <c r="O2263" s="77"/>
      <c r="P2263" s="77"/>
      <c r="Q2263" s="77"/>
      <c r="R2263" s="77"/>
      <c r="S2263" s="77"/>
      <c r="T2263" s="77"/>
      <c r="U2263" s="77"/>
      <c r="V2263" s="77"/>
      <c r="W2263" s="77"/>
      <c r="X2263" s="77"/>
      <c r="Y2263" s="77"/>
      <c r="Z2263" s="77"/>
      <c r="AA2263" s="77"/>
      <c r="AB2263" s="77"/>
      <c r="AC2263" s="77"/>
      <c r="AD2263" s="77"/>
      <c r="AE2263" s="79"/>
    </row>
    <row r="2264" spans="1:31" ht="15" thickBot="1" x14ac:dyDescent="0.35">
      <c r="A2264" s="86"/>
      <c r="B2264" s="87" t="s">
        <v>1853</v>
      </c>
      <c r="C2264" s="87" t="s">
        <v>1496</v>
      </c>
      <c r="D2264" s="87" t="s">
        <v>819</v>
      </c>
      <c r="E2264" s="87" t="s">
        <v>1500</v>
      </c>
      <c r="F2264" s="87" t="s">
        <v>1501</v>
      </c>
      <c r="G2264" s="87" t="s">
        <v>1513</v>
      </c>
      <c r="H2264" s="88"/>
      <c r="I2264" s="227"/>
      <c r="J2264" s="88"/>
      <c r="K2264" s="88"/>
      <c r="L2264" s="88"/>
      <c r="M2264" s="88"/>
      <c r="N2264" s="88"/>
      <c r="O2264" s="88"/>
      <c r="P2264" s="88"/>
      <c r="Q2264" s="88"/>
      <c r="R2264" s="88"/>
      <c r="S2264" s="88"/>
      <c r="T2264" s="88"/>
      <c r="U2264" s="88"/>
      <c r="V2264" s="88"/>
      <c r="W2264" s="88"/>
      <c r="X2264" s="88"/>
      <c r="Y2264" s="88"/>
      <c r="Z2264" s="88"/>
      <c r="AA2264" s="88"/>
      <c r="AB2264" s="88"/>
      <c r="AC2264" s="88"/>
      <c r="AD2264" s="88"/>
      <c r="AE2264" s="89"/>
    </row>
    <row r="2265" spans="1:31" ht="15" thickTop="1" x14ac:dyDescent="0.3">
      <c r="I2265" s="225" t="s">
        <v>1485</v>
      </c>
    </row>
    <row r="2266" spans="1:31" x14ac:dyDescent="0.3">
      <c r="I2266" s="226"/>
    </row>
    <row r="2267" spans="1:31" x14ac:dyDescent="0.3">
      <c r="A2267" s="212" t="s">
        <v>2656</v>
      </c>
      <c r="I2267" s="226"/>
    </row>
    <row r="2268" spans="1:31" x14ac:dyDescent="0.3">
      <c r="I2268" s="226"/>
    </row>
    <row r="2269" spans="1:31" x14ac:dyDescent="0.3">
      <c r="I2269" s="226"/>
    </row>
    <row r="2270" spans="1:31" ht="15" thickBot="1" x14ac:dyDescent="0.35">
      <c r="I2270" s="227"/>
    </row>
    <row r="2271" spans="1:31" x14ac:dyDescent="0.3">
      <c r="I2271" s="225" t="s">
        <v>1485</v>
      </c>
    </row>
    <row r="2272" spans="1:31" x14ac:dyDescent="0.3">
      <c r="I2272" s="226"/>
    </row>
    <row r="2273" spans="9:9" x14ac:dyDescent="0.3">
      <c r="I2273" s="226"/>
    </row>
    <row r="2274" spans="9:9" ht="15" thickBot="1" x14ac:dyDescent="0.35">
      <c r="I2274" s="227"/>
    </row>
    <row r="2275" spans="9:9" x14ac:dyDescent="0.3">
      <c r="I2275" s="225" t="s">
        <v>1485</v>
      </c>
    </row>
    <row r="2276" spans="9:9" x14ac:dyDescent="0.3">
      <c r="I2276" s="226"/>
    </row>
    <row r="2277" spans="9:9" x14ac:dyDescent="0.3">
      <c r="I2277" s="226"/>
    </row>
    <row r="2278" spans="9:9" ht="15" thickBot="1" x14ac:dyDescent="0.35">
      <c r="I2278" s="227"/>
    </row>
    <row r="2279" spans="9:9" x14ac:dyDescent="0.3">
      <c r="I2279" s="225" t="s">
        <v>1485</v>
      </c>
    </row>
    <row r="2280" spans="9:9" x14ac:dyDescent="0.3">
      <c r="I2280" s="226"/>
    </row>
    <row r="2281" spans="9:9" x14ac:dyDescent="0.3">
      <c r="I2281" s="226"/>
    </row>
    <row r="2282" spans="9:9" ht="15" thickBot="1" x14ac:dyDescent="0.35">
      <c r="I2282" s="227"/>
    </row>
    <row r="2283" spans="9:9" x14ac:dyDescent="0.3">
      <c r="I2283" s="225" t="s">
        <v>1485</v>
      </c>
    </row>
    <row r="2284" spans="9:9" x14ac:dyDescent="0.3">
      <c r="I2284" s="226"/>
    </row>
    <row r="2285" spans="9:9" x14ac:dyDescent="0.3">
      <c r="I2285" s="226"/>
    </row>
    <row r="2286" spans="9:9" ht="15" thickBot="1" x14ac:dyDescent="0.35">
      <c r="I2286" s="228"/>
    </row>
  </sheetData>
  <sheetProtection formatCells="0" formatColumns="0" formatRows="0" insertColumns="0" insertRows="0" insertHyperlinks="0" deleteColumns="0" deleteRows="0" sort="0" autoFilter="0" pivotTables="0"/>
  <autoFilter ref="A2:AE2264" xr:uid="{F65B3CED-98A5-4451-9FBB-55E885917DF8}"/>
  <mergeCells count="1">
    <mergeCell ref="S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CB25-A799-4009-901C-1D1DBE51358C}">
  <sheetPr>
    <tabColor rgb="FF00B050"/>
  </sheetPr>
  <dimension ref="A1:J1332"/>
  <sheetViews>
    <sheetView workbookViewId="0">
      <selection activeCell="H5" sqref="H5"/>
    </sheetView>
  </sheetViews>
  <sheetFormatPr defaultColWidth="8.6640625" defaultRowHeight="14.4" x14ac:dyDescent="0.3"/>
  <cols>
    <col min="1" max="2" width="24.6640625" style="71" customWidth="1"/>
    <col min="3" max="3" width="14" style="71" customWidth="1"/>
    <col min="4" max="4" width="15.33203125" style="71" customWidth="1"/>
    <col min="5" max="5" width="11.6640625" style="71" customWidth="1"/>
    <col min="6" max="6" width="18.6640625" style="71" customWidth="1"/>
    <col min="7" max="7" width="20" style="71" customWidth="1"/>
    <col min="8" max="8" width="17.5546875" style="71" customWidth="1"/>
    <col min="9" max="9" width="22.33203125" style="71" customWidth="1"/>
    <col min="10" max="10" width="18.6640625" customWidth="1"/>
    <col min="11" max="16384" width="8.6640625" style="71"/>
  </cols>
  <sheetData>
    <row r="1" spans="1:10" ht="15.6" thickTop="1" thickBot="1" x14ac:dyDescent="0.35">
      <c r="A1" s="193" t="s">
        <v>2268</v>
      </c>
      <c r="B1" s="163" t="s">
        <v>2269</v>
      </c>
      <c r="C1" s="163" t="s">
        <v>2270</v>
      </c>
      <c r="D1" s="163" t="s">
        <v>2271</v>
      </c>
      <c r="E1" s="163" t="s">
        <v>2272</v>
      </c>
      <c r="F1" s="163" t="s">
        <v>2273</v>
      </c>
      <c r="G1" s="163" t="s">
        <v>2274</v>
      </c>
      <c r="H1" s="163" t="s">
        <v>4</v>
      </c>
      <c r="I1" s="163" t="s">
        <v>3</v>
      </c>
      <c r="J1" s="229" t="s">
        <v>2657</v>
      </c>
    </row>
    <row r="2" spans="1:10" x14ac:dyDescent="0.3">
      <c r="A2" s="72" t="s">
        <v>1599</v>
      </c>
      <c r="B2" s="73" t="s">
        <v>254</v>
      </c>
      <c r="C2" s="95" t="s">
        <v>1480</v>
      </c>
      <c r="D2" s="73" t="s">
        <v>1598</v>
      </c>
      <c r="E2" s="74" t="s">
        <v>1479</v>
      </c>
      <c r="F2" s="74" t="s">
        <v>1485</v>
      </c>
      <c r="G2" s="74" t="s">
        <v>2275</v>
      </c>
      <c r="H2" s="74"/>
      <c r="I2" s="74"/>
      <c r="J2" s="230"/>
    </row>
    <row r="3" spans="1:10" x14ac:dyDescent="0.3">
      <c r="A3" s="76"/>
      <c r="B3" s="77"/>
      <c r="C3" s="93"/>
      <c r="D3" s="77"/>
      <c r="E3" s="78" t="s">
        <v>1489</v>
      </c>
      <c r="F3" s="78" t="s">
        <v>2276</v>
      </c>
      <c r="G3" s="78" t="s">
        <v>409</v>
      </c>
      <c r="H3" s="78" t="s">
        <v>408</v>
      </c>
      <c r="I3" s="78">
        <v>50</v>
      </c>
      <c r="J3" s="231">
        <v>30</v>
      </c>
    </row>
    <row r="4" spans="1:10" x14ac:dyDescent="0.3">
      <c r="A4" s="76"/>
      <c r="B4" s="77"/>
      <c r="C4" s="93"/>
      <c r="D4" s="77"/>
      <c r="E4" s="78" t="s">
        <v>1493</v>
      </c>
      <c r="F4" s="78" t="s">
        <v>2276</v>
      </c>
      <c r="G4" s="78" t="s">
        <v>763</v>
      </c>
      <c r="H4" s="78" t="s">
        <v>762</v>
      </c>
      <c r="I4" s="78">
        <v>102</v>
      </c>
      <c r="J4" s="231">
        <v>58</v>
      </c>
    </row>
    <row r="5" spans="1:10" x14ac:dyDescent="0.3">
      <c r="A5" s="76"/>
      <c r="B5" s="77"/>
      <c r="C5" s="93"/>
      <c r="D5" s="77"/>
      <c r="E5" s="78" t="s">
        <v>1496</v>
      </c>
      <c r="F5" s="78" t="s">
        <v>2276</v>
      </c>
      <c r="G5" s="78" t="s">
        <v>720</v>
      </c>
      <c r="H5" s="78" t="s">
        <v>719</v>
      </c>
      <c r="I5" s="78">
        <v>95</v>
      </c>
      <c r="J5" s="231">
        <v>54</v>
      </c>
    </row>
    <row r="6" spans="1:10" x14ac:dyDescent="0.3">
      <c r="A6" s="76"/>
      <c r="B6" s="77"/>
      <c r="C6" s="93"/>
      <c r="D6" s="77"/>
      <c r="E6" s="78" t="s">
        <v>1499</v>
      </c>
      <c r="F6" s="78" t="s">
        <v>2276</v>
      </c>
      <c r="G6" s="78" t="s">
        <v>250</v>
      </c>
      <c r="H6" s="78" t="s">
        <v>249</v>
      </c>
      <c r="I6" s="78">
        <v>30</v>
      </c>
      <c r="J6" s="231"/>
    </row>
    <row r="7" spans="1:10" ht="15" thickBot="1" x14ac:dyDescent="0.35">
      <c r="A7" s="81"/>
      <c r="B7" s="83"/>
      <c r="C7" s="96"/>
      <c r="D7" s="83"/>
      <c r="E7" s="82" t="s">
        <v>1502</v>
      </c>
      <c r="F7" s="82" t="s">
        <v>2276</v>
      </c>
      <c r="G7" s="82" t="s">
        <v>1242</v>
      </c>
      <c r="H7" s="82" t="s">
        <v>1241</v>
      </c>
      <c r="I7" s="82"/>
      <c r="J7" s="232"/>
    </row>
    <row r="8" spans="1:10" x14ac:dyDescent="0.3">
      <c r="A8" s="72" t="s">
        <v>1651</v>
      </c>
      <c r="B8" s="73" t="s">
        <v>541</v>
      </c>
      <c r="C8" s="95" t="s">
        <v>1480</v>
      </c>
      <c r="D8" s="73" t="s">
        <v>1662</v>
      </c>
      <c r="E8" s="74" t="s">
        <v>1479</v>
      </c>
      <c r="F8" s="74" t="s">
        <v>1485</v>
      </c>
      <c r="G8" s="74" t="s">
        <v>2275</v>
      </c>
      <c r="H8" s="74"/>
      <c r="I8" s="74"/>
      <c r="J8" s="230"/>
    </row>
    <row r="9" spans="1:10" x14ac:dyDescent="0.3">
      <c r="A9" s="76"/>
      <c r="B9" s="77"/>
      <c r="C9" s="93"/>
      <c r="D9" s="77"/>
      <c r="E9" s="78" t="s">
        <v>1489</v>
      </c>
      <c r="F9" s="78" t="s">
        <v>2276</v>
      </c>
      <c r="G9" s="78" t="s">
        <v>733</v>
      </c>
      <c r="H9" s="78" t="s">
        <v>732</v>
      </c>
      <c r="I9" s="78">
        <v>97</v>
      </c>
      <c r="J9" s="231">
        <v>55</v>
      </c>
    </row>
    <row r="10" spans="1:10" x14ac:dyDescent="0.3">
      <c r="A10" s="76"/>
      <c r="B10" s="77"/>
      <c r="C10" s="93"/>
      <c r="D10" s="77"/>
      <c r="E10" s="78" t="s">
        <v>1493</v>
      </c>
      <c r="F10" s="78" t="s">
        <v>2276</v>
      </c>
      <c r="G10" s="78" t="s">
        <v>1049</v>
      </c>
      <c r="H10" s="78" t="s">
        <v>1048</v>
      </c>
      <c r="I10" s="78">
        <v>159</v>
      </c>
      <c r="J10" s="231">
        <v>90</v>
      </c>
    </row>
    <row r="11" spans="1:10" x14ac:dyDescent="0.3">
      <c r="A11" s="76"/>
      <c r="B11" s="77"/>
      <c r="C11" s="93"/>
      <c r="D11" s="77"/>
      <c r="E11" s="78" t="s">
        <v>1496</v>
      </c>
      <c r="F11" s="78" t="s">
        <v>2276</v>
      </c>
      <c r="G11" s="78" t="s">
        <v>1410</v>
      </c>
      <c r="H11" s="78" t="s">
        <v>1409</v>
      </c>
      <c r="I11" s="78"/>
      <c r="J11" s="231"/>
    </row>
    <row r="12" spans="1:10" x14ac:dyDescent="0.3">
      <c r="A12" s="76"/>
      <c r="B12" s="77"/>
      <c r="C12" s="93"/>
      <c r="D12" s="77"/>
      <c r="E12" s="78" t="s">
        <v>1499</v>
      </c>
      <c r="F12" s="78" t="s">
        <v>2276</v>
      </c>
      <c r="G12" s="78" t="s">
        <v>534</v>
      </c>
      <c r="H12" s="78" t="s">
        <v>533</v>
      </c>
      <c r="I12" s="78">
        <v>69</v>
      </c>
      <c r="J12" s="231"/>
    </row>
    <row r="13" spans="1:10" ht="15" thickBot="1" x14ac:dyDescent="0.35">
      <c r="A13" s="81"/>
      <c r="B13" s="83"/>
      <c r="C13" s="96"/>
      <c r="D13" s="83"/>
      <c r="E13" s="82" t="s">
        <v>1502</v>
      </c>
      <c r="F13" s="82" t="s">
        <v>2276</v>
      </c>
      <c r="G13" s="82" t="s">
        <v>1218</v>
      </c>
      <c r="H13" s="82" t="s">
        <v>1217</v>
      </c>
      <c r="I13" s="82"/>
      <c r="J13" s="232"/>
    </row>
    <row r="14" spans="1:10" x14ac:dyDescent="0.3">
      <c r="A14" s="72" t="s">
        <v>1986</v>
      </c>
      <c r="B14" s="73" t="s">
        <v>512</v>
      </c>
      <c r="C14" s="95" t="s">
        <v>1480</v>
      </c>
      <c r="D14" s="73" t="s">
        <v>1985</v>
      </c>
      <c r="E14" s="74" t="s">
        <v>1479</v>
      </c>
      <c r="F14" s="74" t="s">
        <v>1485</v>
      </c>
      <c r="G14" s="74" t="s">
        <v>2275</v>
      </c>
      <c r="H14" s="74"/>
      <c r="I14" s="74"/>
      <c r="J14" s="230"/>
    </row>
    <row r="15" spans="1:10" x14ac:dyDescent="0.3">
      <c r="A15" s="76"/>
      <c r="B15" s="77"/>
      <c r="C15" s="93"/>
      <c r="D15" s="77"/>
      <c r="E15" s="78" t="s">
        <v>1489</v>
      </c>
      <c r="F15" s="78" t="s">
        <v>2276</v>
      </c>
      <c r="G15" s="78" t="s">
        <v>507</v>
      </c>
      <c r="H15" s="78" t="s">
        <v>506</v>
      </c>
      <c r="I15" s="78">
        <v>66</v>
      </c>
      <c r="J15" s="231">
        <v>44</v>
      </c>
    </row>
    <row r="16" spans="1:10" x14ac:dyDescent="0.3">
      <c r="A16" s="76"/>
      <c r="B16" s="77"/>
      <c r="C16" s="93"/>
      <c r="D16" s="77"/>
      <c r="E16" s="78" t="s">
        <v>1493</v>
      </c>
      <c r="F16" s="78" t="s">
        <v>2276</v>
      </c>
      <c r="G16" s="78" t="s">
        <v>552</v>
      </c>
      <c r="H16" s="78" t="s">
        <v>551</v>
      </c>
      <c r="I16" s="78">
        <v>71</v>
      </c>
      <c r="J16" s="231">
        <v>46</v>
      </c>
    </row>
    <row r="17" spans="1:10" x14ac:dyDescent="0.3">
      <c r="A17" s="76"/>
      <c r="B17" s="77"/>
      <c r="C17" s="93"/>
      <c r="D17" s="77"/>
      <c r="E17" s="78" t="s">
        <v>1496</v>
      </c>
      <c r="F17" s="78" t="s">
        <v>2276</v>
      </c>
      <c r="G17" s="78" t="s">
        <v>1044</v>
      </c>
      <c r="H17" s="78" t="s">
        <v>1043</v>
      </c>
      <c r="I17" s="78">
        <v>158</v>
      </c>
      <c r="J17" s="231"/>
    </row>
    <row r="18" spans="1:10" x14ac:dyDescent="0.3">
      <c r="A18" s="76"/>
      <c r="B18" s="77"/>
      <c r="C18" s="93"/>
      <c r="D18" s="77"/>
      <c r="E18" s="78" t="s">
        <v>1499</v>
      </c>
      <c r="F18" s="78" t="s">
        <v>2276</v>
      </c>
      <c r="G18" s="78" t="s">
        <v>1122</v>
      </c>
      <c r="H18" s="78" t="s">
        <v>1121</v>
      </c>
      <c r="I18" s="78"/>
      <c r="J18" s="231"/>
    </row>
    <row r="19" spans="1:10" x14ac:dyDescent="0.3">
      <c r="A19" s="76"/>
      <c r="B19" s="77"/>
      <c r="C19" s="93"/>
      <c r="D19" s="77"/>
      <c r="E19" s="78" t="s">
        <v>1502</v>
      </c>
      <c r="F19" s="78" t="s">
        <v>2276</v>
      </c>
      <c r="G19" s="78" t="s">
        <v>1262</v>
      </c>
      <c r="H19" s="78" t="s">
        <v>1261</v>
      </c>
      <c r="I19" s="78"/>
      <c r="J19" s="231"/>
    </row>
    <row r="20" spans="1:10" ht="15" thickBot="1" x14ac:dyDescent="0.35">
      <c r="A20" s="81"/>
      <c r="B20" s="83"/>
      <c r="C20" s="96"/>
      <c r="D20" s="83"/>
      <c r="E20" s="82" t="s">
        <v>1504</v>
      </c>
      <c r="F20" s="82" t="s">
        <v>2276</v>
      </c>
      <c r="G20" s="82" t="s">
        <v>971</v>
      </c>
      <c r="H20" s="82" t="s">
        <v>970</v>
      </c>
      <c r="I20" s="82">
        <v>141</v>
      </c>
      <c r="J20" s="232">
        <v>81</v>
      </c>
    </row>
    <row r="21" spans="1:10" x14ac:dyDescent="0.3">
      <c r="A21" s="72" t="s">
        <v>1948</v>
      </c>
      <c r="B21" s="73" t="s">
        <v>303</v>
      </c>
      <c r="C21" s="95" t="s">
        <v>1480</v>
      </c>
      <c r="D21" s="73" t="s">
        <v>1955</v>
      </c>
      <c r="E21" s="74" t="s">
        <v>1479</v>
      </c>
      <c r="F21" s="74" t="s">
        <v>1485</v>
      </c>
      <c r="G21" s="74" t="s">
        <v>2275</v>
      </c>
      <c r="H21" s="74"/>
      <c r="I21" s="74"/>
      <c r="J21" s="230"/>
    </row>
    <row r="22" spans="1:10" x14ac:dyDescent="0.3">
      <c r="A22" s="76"/>
      <c r="B22" s="77"/>
      <c r="C22" s="93"/>
      <c r="D22" s="77"/>
      <c r="E22" s="78" t="s">
        <v>1489</v>
      </c>
      <c r="F22" s="78" t="s">
        <v>2276</v>
      </c>
      <c r="G22" s="78" t="s">
        <v>295</v>
      </c>
      <c r="H22" s="78" t="s">
        <v>294</v>
      </c>
      <c r="I22" s="78">
        <v>35</v>
      </c>
      <c r="J22" s="231">
        <v>22</v>
      </c>
    </row>
    <row r="23" spans="1:10" x14ac:dyDescent="0.3">
      <c r="A23" s="76"/>
      <c r="B23" s="77"/>
      <c r="C23" s="93"/>
      <c r="D23" s="77"/>
      <c r="E23" s="78" t="s">
        <v>1493</v>
      </c>
      <c r="F23" s="78" t="s">
        <v>2276</v>
      </c>
      <c r="G23" s="78" t="s">
        <v>470</v>
      </c>
      <c r="H23" s="78" t="s">
        <v>469</v>
      </c>
      <c r="I23" s="78">
        <v>61</v>
      </c>
      <c r="J23" s="231">
        <v>39</v>
      </c>
    </row>
    <row r="24" spans="1:10" x14ac:dyDescent="0.3">
      <c r="A24" s="76"/>
      <c r="B24" s="77"/>
      <c r="C24" s="93"/>
      <c r="D24" s="77"/>
      <c r="E24" s="78" t="s">
        <v>1496</v>
      </c>
      <c r="F24" s="78" t="s">
        <v>2276</v>
      </c>
      <c r="G24" s="78" t="s">
        <v>745</v>
      </c>
      <c r="H24" s="78" t="s">
        <v>744</v>
      </c>
      <c r="I24" s="78">
        <v>99</v>
      </c>
      <c r="J24" s="231"/>
    </row>
    <row r="25" spans="1:10" x14ac:dyDescent="0.3">
      <c r="A25" s="76"/>
      <c r="B25" s="77"/>
      <c r="C25" s="93"/>
      <c r="D25" s="77"/>
      <c r="E25" s="78" t="s">
        <v>1499</v>
      </c>
      <c r="F25" s="78" t="s">
        <v>2276</v>
      </c>
      <c r="G25" s="78" t="s">
        <v>1146</v>
      </c>
      <c r="H25" s="78" t="s">
        <v>1145</v>
      </c>
      <c r="I25" s="78"/>
      <c r="J25" s="231"/>
    </row>
    <row r="26" spans="1:10" ht="15" thickBot="1" x14ac:dyDescent="0.35">
      <c r="A26" s="81"/>
      <c r="B26" s="83"/>
      <c r="C26" s="96"/>
      <c r="D26" s="83"/>
      <c r="E26" s="82" t="s">
        <v>1502</v>
      </c>
      <c r="F26" s="82" t="s">
        <v>2276</v>
      </c>
      <c r="G26" s="82" t="s">
        <v>1279</v>
      </c>
      <c r="H26" s="82" t="s">
        <v>1278</v>
      </c>
      <c r="I26" s="82"/>
      <c r="J26" s="232"/>
    </row>
    <row r="27" spans="1:10" x14ac:dyDescent="0.3">
      <c r="A27" s="72" t="s">
        <v>1795</v>
      </c>
      <c r="B27" s="73" t="s">
        <v>219</v>
      </c>
      <c r="C27" s="95" t="s">
        <v>1480</v>
      </c>
      <c r="D27" s="73" t="s">
        <v>1794</v>
      </c>
      <c r="E27" s="74" t="s">
        <v>1479</v>
      </c>
      <c r="F27" s="74" t="s">
        <v>1485</v>
      </c>
      <c r="G27" s="74" t="s">
        <v>2275</v>
      </c>
      <c r="H27" s="74"/>
      <c r="I27" s="74"/>
      <c r="J27" s="230"/>
    </row>
    <row r="28" spans="1:10" x14ac:dyDescent="0.3">
      <c r="A28" s="76"/>
      <c r="B28" s="77"/>
      <c r="C28" s="93"/>
      <c r="D28" s="77"/>
      <c r="E28" s="78" t="s">
        <v>1489</v>
      </c>
      <c r="F28" s="78" t="s">
        <v>2276</v>
      </c>
      <c r="G28" s="78" t="s">
        <v>215</v>
      </c>
      <c r="H28" s="78" t="s">
        <v>214</v>
      </c>
      <c r="I28" s="78">
        <v>26</v>
      </c>
      <c r="J28" s="231"/>
    </row>
    <row r="29" spans="1:10" x14ac:dyDescent="0.3">
      <c r="A29" s="76"/>
      <c r="B29" s="77"/>
      <c r="C29" s="93"/>
      <c r="D29" s="77"/>
      <c r="E29" s="78" t="s">
        <v>1493</v>
      </c>
      <c r="F29" s="78" t="s">
        <v>2276</v>
      </c>
      <c r="G29" s="78" t="s">
        <v>604</v>
      </c>
      <c r="H29" s="78" t="s">
        <v>603</v>
      </c>
      <c r="I29" s="78">
        <v>79</v>
      </c>
      <c r="J29" s="231">
        <v>48</v>
      </c>
    </row>
    <row r="30" spans="1:10" x14ac:dyDescent="0.3">
      <c r="A30" s="76"/>
      <c r="B30" s="77"/>
      <c r="C30" s="93"/>
      <c r="D30" s="77"/>
      <c r="E30" s="78" t="s">
        <v>1496</v>
      </c>
      <c r="F30" s="78" t="s">
        <v>2276</v>
      </c>
      <c r="G30" s="78" t="s">
        <v>768</v>
      </c>
      <c r="H30" s="78" t="s">
        <v>767</v>
      </c>
      <c r="I30" s="78">
        <v>103</v>
      </c>
      <c r="J30" s="231"/>
    </row>
    <row r="31" spans="1:10" x14ac:dyDescent="0.3">
      <c r="A31" s="76"/>
      <c r="B31" s="77"/>
      <c r="C31" s="93"/>
      <c r="D31" s="77"/>
      <c r="E31" s="78" t="s">
        <v>1499</v>
      </c>
      <c r="F31" s="78" t="s">
        <v>2276</v>
      </c>
      <c r="G31" s="78" t="s">
        <v>1154</v>
      </c>
      <c r="H31" s="78" t="s">
        <v>1153</v>
      </c>
      <c r="I31" s="78"/>
      <c r="J31" s="231"/>
    </row>
    <row r="32" spans="1:10" ht="15" thickBot="1" x14ac:dyDescent="0.35">
      <c r="A32" s="81"/>
      <c r="B32" s="83"/>
      <c r="C32" s="96"/>
      <c r="D32" s="83"/>
      <c r="E32" s="82" t="s">
        <v>1502</v>
      </c>
      <c r="F32" s="82" t="s">
        <v>2276</v>
      </c>
      <c r="G32" s="82" t="s">
        <v>1323</v>
      </c>
      <c r="H32" s="82" t="s">
        <v>1322</v>
      </c>
      <c r="I32" s="82"/>
      <c r="J32" s="232"/>
    </row>
    <row r="33" spans="1:10" x14ac:dyDescent="0.3">
      <c r="A33" s="72" t="s">
        <v>2004</v>
      </c>
      <c r="B33" s="73" t="s">
        <v>266</v>
      </c>
      <c r="C33" s="95" t="s">
        <v>1480</v>
      </c>
      <c r="D33" s="73" t="s">
        <v>2010</v>
      </c>
      <c r="E33" s="74" t="s">
        <v>1479</v>
      </c>
      <c r="F33" s="74" t="s">
        <v>1485</v>
      </c>
      <c r="G33" s="74" t="s">
        <v>2275</v>
      </c>
      <c r="H33" s="74"/>
      <c r="I33" s="74"/>
      <c r="J33" s="230"/>
    </row>
    <row r="34" spans="1:10" x14ac:dyDescent="0.3">
      <c r="A34" s="76"/>
      <c r="B34" s="77"/>
      <c r="C34" s="93"/>
      <c r="D34" s="77"/>
      <c r="E34" s="78" t="s">
        <v>1489</v>
      </c>
      <c r="F34" s="78" t="s">
        <v>2276</v>
      </c>
      <c r="G34" s="78" t="s">
        <v>259</v>
      </c>
      <c r="H34" s="78" t="s">
        <v>258</v>
      </c>
      <c r="I34" s="78">
        <v>31</v>
      </c>
      <c r="J34" s="231">
        <v>20</v>
      </c>
    </row>
    <row r="35" spans="1:10" x14ac:dyDescent="0.3">
      <c r="A35" s="76"/>
      <c r="B35" s="77"/>
      <c r="C35" s="93"/>
      <c r="D35" s="77"/>
      <c r="E35" s="78" t="s">
        <v>1493</v>
      </c>
      <c r="F35" s="78" t="s">
        <v>2276</v>
      </c>
      <c r="G35" s="78" t="s">
        <v>685</v>
      </c>
      <c r="H35" s="78" t="s">
        <v>684</v>
      </c>
      <c r="I35" s="78">
        <v>90</v>
      </c>
      <c r="J35" s="231">
        <v>51</v>
      </c>
    </row>
    <row r="36" spans="1:10" x14ac:dyDescent="0.3">
      <c r="A36" s="76"/>
      <c r="B36" s="77"/>
      <c r="C36" s="93"/>
      <c r="D36" s="77"/>
      <c r="E36" s="78" t="s">
        <v>1496</v>
      </c>
      <c r="F36" s="78" t="s">
        <v>2276</v>
      </c>
      <c r="G36" s="78" t="s">
        <v>1178</v>
      </c>
      <c r="H36" s="78" t="s">
        <v>1177</v>
      </c>
      <c r="I36" s="78"/>
      <c r="J36" s="231"/>
    </row>
    <row r="37" spans="1:10" x14ac:dyDescent="0.3">
      <c r="A37" s="76"/>
      <c r="B37" s="77"/>
      <c r="C37" s="93"/>
      <c r="D37" s="77"/>
      <c r="E37" s="78" t="s">
        <v>1499</v>
      </c>
      <c r="F37" s="78" t="s">
        <v>2276</v>
      </c>
      <c r="G37" s="78" t="s">
        <v>1343</v>
      </c>
      <c r="H37" s="78" t="s">
        <v>1342</v>
      </c>
      <c r="I37" s="78"/>
      <c r="J37" s="231"/>
    </row>
    <row r="38" spans="1:10" ht="15" thickBot="1" x14ac:dyDescent="0.35">
      <c r="A38" s="81"/>
      <c r="B38" s="83"/>
      <c r="C38" s="96"/>
      <c r="D38" s="83"/>
      <c r="E38" s="82" t="s">
        <v>1502</v>
      </c>
      <c r="F38" s="82" t="s">
        <v>2276</v>
      </c>
      <c r="G38" s="82" t="s">
        <v>693</v>
      </c>
      <c r="H38" s="82" t="s">
        <v>692</v>
      </c>
      <c r="I38" s="82">
        <v>91</v>
      </c>
      <c r="J38" s="232"/>
    </row>
    <row r="39" spans="1:10" x14ac:dyDescent="0.3">
      <c r="A39" s="72" t="s">
        <v>1749</v>
      </c>
      <c r="B39" s="73" t="s">
        <v>542</v>
      </c>
      <c r="C39" s="95" t="s">
        <v>1480</v>
      </c>
      <c r="D39" s="73" t="s">
        <v>1919</v>
      </c>
      <c r="E39" s="74" t="s">
        <v>1479</v>
      </c>
      <c r="F39" s="74" t="s">
        <v>1485</v>
      </c>
      <c r="G39" s="74" t="s">
        <v>2275</v>
      </c>
      <c r="H39" s="74"/>
      <c r="I39" s="74"/>
      <c r="J39" s="230"/>
    </row>
    <row r="40" spans="1:10" x14ac:dyDescent="0.3">
      <c r="A40" s="76"/>
      <c r="B40" s="77"/>
      <c r="C40" s="93"/>
      <c r="D40" s="77"/>
      <c r="E40" s="78" t="s">
        <v>1489</v>
      </c>
      <c r="F40" s="78" t="s">
        <v>2276</v>
      </c>
      <c r="G40" s="78" t="s">
        <v>534</v>
      </c>
      <c r="H40" s="78" t="s">
        <v>533</v>
      </c>
      <c r="I40" s="78">
        <v>69</v>
      </c>
      <c r="J40" s="231"/>
    </row>
    <row r="41" spans="1:10" ht="15" thickBot="1" x14ac:dyDescent="0.35">
      <c r="A41" s="81"/>
      <c r="B41" s="83"/>
      <c r="C41" s="96"/>
      <c r="D41" s="83"/>
      <c r="E41" s="82" t="s">
        <v>1493</v>
      </c>
      <c r="F41" s="82" t="s">
        <v>2276</v>
      </c>
      <c r="G41" s="82" t="s">
        <v>552</v>
      </c>
      <c r="H41" s="82" t="s">
        <v>551</v>
      </c>
      <c r="I41" s="82">
        <v>71</v>
      </c>
      <c r="J41" s="232">
        <v>46</v>
      </c>
    </row>
    <row r="42" spans="1:10" x14ac:dyDescent="0.3">
      <c r="A42" s="72" t="s">
        <v>1749</v>
      </c>
      <c r="B42" s="73" t="s">
        <v>522</v>
      </c>
      <c r="C42" s="95" t="s">
        <v>1480</v>
      </c>
      <c r="D42" s="73" t="s">
        <v>1915</v>
      </c>
      <c r="E42" s="74" t="s">
        <v>1479</v>
      </c>
      <c r="F42" s="74" t="s">
        <v>1485</v>
      </c>
      <c r="G42" s="74" t="s">
        <v>2275</v>
      </c>
      <c r="H42" s="74"/>
      <c r="I42" s="74"/>
      <c r="J42" s="230"/>
    </row>
    <row r="43" spans="1:10" x14ac:dyDescent="0.3">
      <c r="A43" s="76"/>
      <c r="B43" s="77"/>
      <c r="C43" s="93"/>
      <c r="D43" s="77"/>
      <c r="E43" s="78" t="s">
        <v>1489</v>
      </c>
      <c r="F43" s="78" t="s">
        <v>2276</v>
      </c>
      <c r="G43" s="78" t="s">
        <v>516</v>
      </c>
      <c r="H43" s="78" t="s">
        <v>515</v>
      </c>
      <c r="I43" s="78">
        <v>67</v>
      </c>
      <c r="J43" s="231"/>
    </row>
    <row r="44" spans="1:10" ht="15" thickBot="1" x14ac:dyDescent="0.35">
      <c r="A44" s="81"/>
      <c r="B44" s="83"/>
      <c r="C44" s="96"/>
      <c r="D44" s="83"/>
      <c r="E44" s="82" t="s">
        <v>1493</v>
      </c>
      <c r="F44" s="82" t="s">
        <v>2276</v>
      </c>
      <c r="G44" s="82" t="s">
        <v>525</v>
      </c>
      <c r="H44" s="82" t="s">
        <v>524</v>
      </c>
      <c r="I44" s="82">
        <v>68</v>
      </c>
      <c r="J44" s="232">
        <v>45</v>
      </c>
    </row>
    <row r="45" spans="1:10" x14ac:dyDescent="0.3">
      <c r="A45" s="72" t="s">
        <v>1749</v>
      </c>
      <c r="B45" s="73" t="s">
        <v>288</v>
      </c>
      <c r="C45" s="95" t="s">
        <v>1480</v>
      </c>
      <c r="D45" s="73" t="s">
        <v>1816</v>
      </c>
      <c r="E45" s="74" t="s">
        <v>1479</v>
      </c>
      <c r="F45" s="74" t="s">
        <v>1485</v>
      </c>
      <c r="G45" s="74" t="s">
        <v>2275</v>
      </c>
      <c r="H45" s="74"/>
      <c r="I45" s="74"/>
      <c r="J45" s="230"/>
    </row>
    <row r="46" spans="1:10" x14ac:dyDescent="0.3">
      <c r="A46" s="76"/>
      <c r="B46" s="77"/>
      <c r="C46" s="93"/>
      <c r="D46" s="77"/>
      <c r="E46" s="78" t="s">
        <v>1489</v>
      </c>
      <c r="F46" s="78" t="s">
        <v>2276</v>
      </c>
      <c r="G46" s="78" t="s">
        <v>396</v>
      </c>
      <c r="H46" s="78" t="s">
        <v>395</v>
      </c>
      <c r="I46" s="78">
        <v>48</v>
      </c>
      <c r="J46" s="231">
        <v>28</v>
      </c>
    </row>
    <row r="47" spans="1:10" ht="15" thickBot="1" x14ac:dyDescent="0.35">
      <c r="A47" s="81"/>
      <c r="B47" s="83"/>
      <c r="C47" s="96"/>
      <c r="D47" s="83"/>
      <c r="E47" s="82" t="s">
        <v>1493</v>
      </c>
      <c r="F47" s="82" t="s">
        <v>2276</v>
      </c>
      <c r="G47" s="82" t="s">
        <v>286</v>
      </c>
      <c r="H47" s="82" t="s">
        <v>285</v>
      </c>
      <c r="I47" s="82">
        <v>34</v>
      </c>
      <c r="J47" s="232">
        <v>21</v>
      </c>
    </row>
    <row r="48" spans="1:10" x14ac:dyDescent="0.3">
      <c r="A48" s="72" t="s">
        <v>1749</v>
      </c>
      <c r="B48" s="73" t="s">
        <v>474</v>
      </c>
      <c r="C48" s="95" t="s">
        <v>1480</v>
      </c>
      <c r="D48" s="73" t="s">
        <v>1949</v>
      </c>
      <c r="E48" s="74" t="s">
        <v>1479</v>
      </c>
      <c r="F48" s="74" t="s">
        <v>1485</v>
      </c>
      <c r="G48" s="74" t="s">
        <v>2275</v>
      </c>
      <c r="H48" s="74"/>
      <c r="I48" s="74"/>
      <c r="J48" s="230"/>
    </row>
    <row r="49" spans="1:10" x14ac:dyDescent="0.3">
      <c r="A49" s="76"/>
      <c r="B49" s="77"/>
      <c r="C49" s="93"/>
      <c r="D49" s="77"/>
      <c r="E49" s="78" t="s">
        <v>1489</v>
      </c>
      <c r="F49" s="78" t="s">
        <v>2276</v>
      </c>
      <c r="G49" s="78" t="s">
        <v>470</v>
      </c>
      <c r="H49" s="78" t="s">
        <v>469</v>
      </c>
      <c r="I49" s="78">
        <v>61</v>
      </c>
      <c r="J49" s="231">
        <v>39</v>
      </c>
    </row>
    <row r="50" spans="1:10" x14ac:dyDescent="0.3">
      <c r="A50" s="76"/>
      <c r="B50" s="77"/>
      <c r="C50" s="93"/>
      <c r="D50" s="77"/>
      <c r="E50" s="78" t="s">
        <v>1493</v>
      </c>
      <c r="F50" s="78" t="s">
        <v>2276</v>
      </c>
      <c r="G50" s="78" t="s">
        <v>477</v>
      </c>
      <c r="H50" s="78" t="s">
        <v>476</v>
      </c>
      <c r="I50" s="78">
        <v>62</v>
      </c>
      <c r="J50" s="231">
        <v>40</v>
      </c>
    </row>
    <row r="51" spans="1:10" ht="15" thickBot="1" x14ac:dyDescent="0.35">
      <c r="A51" s="81"/>
      <c r="B51" s="83"/>
      <c r="C51" s="96"/>
      <c r="D51" s="83"/>
      <c r="E51" s="82" t="s">
        <v>1496</v>
      </c>
      <c r="F51" s="82" t="s">
        <v>2276</v>
      </c>
      <c r="G51" s="82" t="s">
        <v>482</v>
      </c>
      <c r="H51" s="82" t="s">
        <v>481</v>
      </c>
      <c r="I51" s="82">
        <v>63</v>
      </c>
      <c r="J51" s="232">
        <v>41</v>
      </c>
    </row>
    <row r="52" spans="1:10" x14ac:dyDescent="0.3">
      <c r="A52" s="72" t="s">
        <v>1749</v>
      </c>
      <c r="B52" s="73" t="s">
        <v>473</v>
      </c>
      <c r="C52" s="95" t="s">
        <v>1480</v>
      </c>
      <c r="D52" s="73" t="s">
        <v>1951</v>
      </c>
      <c r="E52" s="74" t="s">
        <v>1479</v>
      </c>
      <c r="F52" s="74" t="s">
        <v>1485</v>
      </c>
      <c r="G52" s="74" t="s">
        <v>2275</v>
      </c>
      <c r="H52" s="74"/>
      <c r="I52" s="74"/>
      <c r="J52" s="230"/>
    </row>
    <row r="53" spans="1:10" x14ac:dyDescent="0.3">
      <c r="A53" s="76"/>
      <c r="B53" s="77"/>
      <c r="C53" s="93"/>
      <c r="D53" s="77"/>
      <c r="E53" s="78" t="s">
        <v>1489</v>
      </c>
      <c r="F53" s="78" t="s">
        <v>2276</v>
      </c>
      <c r="G53" s="78" t="s">
        <v>477</v>
      </c>
      <c r="H53" s="78" t="s">
        <v>476</v>
      </c>
      <c r="I53" s="78">
        <v>62</v>
      </c>
      <c r="J53" s="231">
        <v>40</v>
      </c>
    </row>
    <row r="54" spans="1:10" x14ac:dyDescent="0.3">
      <c r="A54" s="76"/>
      <c r="B54" s="77"/>
      <c r="C54" s="93"/>
      <c r="D54" s="77"/>
      <c r="E54" s="78" t="s">
        <v>1493</v>
      </c>
      <c r="F54" s="78" t="s">
        <v>2276</v>
      </c>
      <c r="G54" s="78" t="s">
        <v>470</v>
      </c>
      <c r="H54" s="78" t="s">
        <v>469</v>
      </c>
      <c r="I54" s="78">
        <v>61</v>
      </c>
      <c r="J54" s="231">
        <v>39</v>
      </c>
    </row>
    <row r="55" spans="1:10" ht="15" thickBot="1" x14ac:dyDescent="0.35">
      <c r="A55" s="81"/>
      <c r="B55" s="83"/>
      <c r="C55" s="96"/>
      <c r="D55" s="83"/>
      <c r="E55" s="82" t="s">
        <v>1496</v>
      </c>
      <c r="F55" s="82" t="s">
        <v>2276</v>
      </c>
      <c r="G55" s="82" t="s">
        <v>491</v>
      </c>
      <c r="H55" s="82" t="s">
        <v>490</v>
      </c>
      <c r="I55" s="82">
        <v>64</v>
      </c>
      <c r="J55" s="232">
        <v>42</v>
      </c>
    </row>
    <row r="56" spans="1:10" x14ac:dyDescent="0.3">
      <c r="A56" s="72" t="s">
        <v>1749</v>
      </c>
      <c r="B56" s="73" t="s">
        <v>504</v>
      </c>
      <c r="C56" s="95" t="s">
        <v>1480</v>
      </c>
      <c r="D56" s="73" t="s">
        <v>2031</v>
      </c>
      <c r="E56" s="74" t="s">
        <v>1479</v>
      </c>
      <c r="F56" s="74" t="s">
        <v>1485</v>
      </c>
      <c r="G56" s="74" t="s">
        <v>2275</v>
      </c>
      <c r="H56" s="74"/>
      <c r="I56" s="74"/>
      <c r="J56" s="230"/>
    </row>
    <row r="57" spans="1:10" x14ac:dyDescent="0.3">
      <c r="A57" s="76"/>
      <c r="B57" s="77"/>
      <c r="C57" s="93"/>
      <c r="D57" s="77"/>
      <c r="E57" s="78" t="s">
        <v>1489</v>
      </c>
      <c r="F57" s="78" t="s">
        <v>2276</v>
      </c>
      <c r="G57" s="78" t="s">
        <v>499</v>
      </c>
      <c r="H57" s="78" t="s">
        <v>498</v>
      </c>
      <c r="I57" s="78">
        <v>65</v>
      </c>
      <c r="J57" s="231">
        <v>43</v>
      </c>
    </row>
    <row r="58" spans="1:10" ht="15" thickBot="1" x14ac:dyDescent="0.35">
      <c r="A58" s="81"/>
      <c r="B58" s="83"/>
      <c r="C58" s="96"/>
      <c r="D58" s="83"/>
      <c r="E58" s="82" t="s">
        <v>1493</v>
      </c>
      <c r="F58" s="82" t="s">
        <v>2276</v>
      </c>
      <c r="G58" s="82" t="s">
        <v>525</v>
      </c>
      <c r="H58" s="82" t="s">
        <v>524</v>
      </c>
      <c r="I58" s="82">
        <v>68</v>
      </c>
      <c r="J58" s="232">
        <v>45</v>
      </c>
    </row>
    <row r="59" spans="1:10" x14ac:dyDescent="0.3">
      <c r="A59" s="72" t="s">
        <v>1749</v>
      </c>
      <c r="B59" s="73" t="s">
        <v>513</v>
      </c>
      <c r="C59" s="95" t="s">
        <v>1480</v>
      </c>
      <c r="D59" s="73" t="s">
        <v>2025</v>
      </c>
      <c r="E59" s="74" t="s">
        <v>1479</v>
      </c>
      <c r="F59" s="74" t="s">
        <v>1485</v>
      </c>
      <c r="G59" s="74" t="s">
        <v>2275</v>
      </c>
      <c r="H59" s="74"/>
      <c r="I59" s="74"/>
      <c r="J59" s="230"/>
    </row>
    <row r="60" spans="1:10" x14ac:dyDescent="0.3">
      <c r="A60" s="76"/>
      <c r="B60" s="77"/>
      <c r="C60" s="93"/>
      <c r="D60" s="77"/>
      <c r="E60" s="78" t="s">
        <v>1489</v>
      </c>
      <c r="F60" s="78" t="s">
        <v>2276</v>
      </c>
      <c r="G60" s="78" t="s">
        <v>507</v>
      </c>
      <c r="H60" s="78" t="s">
        <v>506</v>
      </c>
      <c r="I60" s="78">
        <v>66</v>
      </c>
      <c r="J60" s="231">
        <v>44</v>
      </c>
    </row>
    <row r="61" spans="1:10" ht="15" thickBot="1" x14ac:dyDescent="0.35">
      <c r="A61" s="81"/>
      <c r="B61" s="83"/>
      <c r="C61" s="96"/>
      <c r="D61" s="83"/>
      <c r="E61" s="82" t="s">
        <v>1493</v>
      </c>
      <c r="F61" s="82" t="s">
        <v>2276</v>
      </c>
      <c r="G61" s="82" t="s">
        <v>552</v>
      </c>
      <c r="H61" s="82" t="s">
        <v>551</v>
      </c>
      <c r="I61" s="82">
        <v>71</v>
      </c>
      <c r="J61" s="232">
        <v>46</v>
      </c>
    </row>
    <row r="62" spans="1:10" x14ac:dyDescent="0.3">
      <c r="A62" s="72" t="s">
        <v>1749</v>
      </c>
      <c r="B62" s="73" t="s">
        <v>434</v>
      </c>
      <c r="C62" s="95" t="s">
        <v>1480</v>
      </c>
      <c r="D62" s="73" t="s">
        <v>1952</v>
      </c>
      <c r="E62" s="74" t="s">
        <v>1479</v>
      </c>
      <c r="F62" s="74" t="s">
        <v>1485</v>
      </c>
      <c r="G62" s="74" t="s">
        <v>2275</v>
      </c>
      <c r="H62" s="74"/>
      <c r="I62" s="74"/>
      <c r="J62" s="230"/>
    </row>
    <row r="63" spans="1:10" x14ac:dyDescent="0.3">
      <c r="A63" s="76"/>
      <c r="B63" s="77"/>
      <c r="C63" s="93"/>
      <c r="D63" s="77"/>
      <c r="E63" s="78" t="s">
        <v>1489</v>
      </c>
      <c r="F63" s="78" t="s">
        <v>2276</v>
      </c>
      <c r="G63" s="78" t="s">
        <v>452</v>
      </c>
      <c r="H63" s="78" t="s">
        <v>451</v>
      </c>
      <c r="I63" s="78">
        <v>55</v>
      </c>
      <c r="J63" s="231">
        <v>30</v>
      </c>
    </row>
    <row r="64" spans="1:10" ht="15" thickBot="1" x14ac:dyDescent="0.35">
      <c r="A64" s="76"/>
      <c r="B64" s="77"/>
      <c r="C64" s="93"/>
      <c r="D64" s="77"/>
      <c r="E64" s="78" t="s">
        <v>1493</v>
      </c>
      <c r="F64" s="78" t="s">
        <v>2276</v>
      </c>
      <c r="G64" s="78" t="s">
        <v>428</v>
      </c>
      <c r="H64" s="78" t="s">
        <v>427</v>
      </c>
      <c r="I64" s="78">
        <v>52</v>
      </c>
      <c r="J64" s="232">
        <v>31</v>
      </c>
    </row>
    <row r="65" spans="1:10" x14ac:dyDescent="0.3">
      <c r="A65" s="76"/>
      <c r="B65" s="77"/>
      <c r="C65" s="93"/>
      <c r="D65" s="77"/>
      <c r="E65" s="78" t="s">
        <v>1496</v>
      </c>
      <c r="F65" s="78" t="s">
        <v>2276</v>
      </c>
      <c r="G65" s="78" t="s">
        <v>444</v>
      </c>
      <c r="H65" s="78" t="s">
        <v>443</v>
      </c>
      <c r="I65" s="78">
        <v>54</v>
      </c>
      <c r="J65" s="230"/>
    </row>
    <row r="66" spans="1:10" ht="15" thickBot="1" x14ac:dyDescent="0.35">
      <c r="A66" s="81"/>
      <c r="B66" s="83"/>
      <c r="C66" s="96"/>
      <c r="D66" s="83"/>
      <c r="E66" s="82" t="s">
        <v>1499</v>
      </c>
      <c r="F66" s="82" t="s">
        <v>2276</v>
      </c>
      <c r="G66" s="82" t="s">
        <v>477</v>
      </c>
      <c r="H66" s="82" t="s">
        <v>476</v>
      </c>
      <c r="I66" s="82">
        <v>62</v>
      </c>
      <c r="J66" s="231">
        <v>31</v>
      </c>
    </row>
    <row r="67" spans="1:10" ht="15" thickBot="1" x14ac:dyDescent="0.35">
      <c r="A67" s="72" t="s">
        <v>1749</v>
      </c>
      <c r="B67" s="73" t="s">
        <v>487</v>
      </c>
      <c r="C67" s="95" t="s">
        <v>1480</v>
      </c>
      <c r="D67" s="73" t="s">
        <v>2033</v>
      </c>
      <c r="E67" s="74" t="s">
        <v>1479</v>
      </c>
      <c r="F67" s="74" t="s">
        <v>1485</v>
      </c>
      <c r="G67" s="74" t="s">
        <v>2275</v>
      </c>
      <c r="H67" s="74"/>
      <c r="I67" s="74"/>
      <c r="J67" s="232">
        <v>30</v>
      </c>
    </row>
    <row r="68" spans="1:10" x14ac:dyDescent="0.3">
      <c r="A68" s="76"/>
      <c r="B68" s="77"/>
      <c r="C68" s="93"/>
      <c r="D68" s="77"/>
      <c r="E68" s="78" t="s">
        <v>1489</v>
      </c>
      <c r="F68" s="78" t="s">
        <v>2276</v>
      </c>
      <c r="G68" s="78" t="s">
        <v>482</v>
      </c>
      <c r="H68" s="78" t="s">
        <v>481</v>
      </c>
      <c r="I68" s="78">
        <v>63</v>
      </c>
      <c r="J68" s="230"/>
    </row>
    <row r="69" spans="1:10" ht="15" thickBot="1" x14ac:dyDescent="0.35">
      <c r="A69" s="81"/>
      <c r="B69" s="83"/>
      <c r="C69" s="96"/>
      <c r="D69" s="83"/>
      <c r="E69" s="82" t="s">
        <v>1493</v>
      </c>
      <c r="F69" s="82" t="s">
        <v>2276</v>
      </c>
      <c r="G69" s="82" t="s">
        <v>525</v>
      </c>
      <c r="H69" s="82" t="s">
        <v>524</v>
      </c>
      <c r="I69" s="82">
        <v>68</v>
      </c>
      <c r="J69" s="231">
        <v>35</v>
      </c>
    </row>
    <row r="70" spans="1:10" x14ac:dyDescent="0.3">
      <c r="A70" s="72" t="s">
        <v>1749</v>
      </c>
      <c r="B70" s="73" t="s">
        <v>495</v>
      </c>
      <c r="C70" s="95" t="s">
        <v>1480</v>
      </c>
      <c r="D70" s="73" t="s">
        <v>2027</v>
      </c>
      <c r="E70" s="74" t="s">
        <v>1479</v>
      </c>
      <c r="F70" s="74" t="s">
        <v>1485</v>
      </c>
      <c r="G70" s="74" t="s">
        <v>2275</v>
      </c>
      <c r="H70" s="74"/>
      <c r="I70" s="74"/>
      <c r="J70" s="231">
        <v>32</v>
      </c>
    </row>
    <row r="71" spans="1:10" x14ac:dyDescent="0.3">
      <c r="A71" s="76"/>
      <c r="B71" s="77"/>
      <c r="C71" s="93"/>
      <c r="D71" s="77"/>
      <c r="E71" s="78" t="s">
        <v>1489</v>
      </c>
      <c r="F71" s="78" t="s">
        <v>2276</v>
      </c>
      <c r="G71" s="78" t="s">
        <v>491</v>
      </c>
      <c r="H71" s="78" t="s">
        <v>490</v>
      </c>
      <c r="I71" s="78">
        <v>64</v>
      </c>
      <c r="J71" s="231">
        <v>34</v>
      </c>
    </row>
    <row r="72" spans="1:10" ht="15" thickBot="1" x14ac:dyDescent="0.35">
      <c r="A72" s="81"/>
      <c r="B72" s="83"/>
      <c r="C72" s="96"/>
      <c r="D72" s="83"/>
      <c r="E72" s="82" t="s">
        <v>1493</v>
      </c>
      <c r="F72" s="82" t="s">
        <v>2276</v>
      </c>
      <c r="G72" s="82" t="s">
        <v>552</v>
      </c>
      <c r="H72" s="82" t="s">
        <v>551</v>
      </c>
      <c r="I72" s="82">
        <v>71</v>
      </c>
      <c r="J72" s="232">
        <v>40</v>
      </c>
    </row>
    <row r="73" spans="1:10" x14ac:dyDescent="0.3">
      <c r="A73" s="72" t="s">
        <v>1749</v>
      </c>
      <c r="B73" s="73" t="s">
        <v>440</v>
      </c>
      <c r="C73" s="95" t="s">
        <v>1480</v>
      </c>
      <c r="D73" s="73" t="s">
        <v>1956</v>
      </c>
      <c r="E73" s="74" t="s">
        <v>1479</v>
      </c>
      <c r="F73" s="74" t="s">
        <v>1485</v>
      </c>
      <c r="G73" s="74" t="s">
        <v>2275</v>
      </c>
      <c r="H73" s="74"/>
      <c r="I73" s="74"/>
      <c r="J73" s="230"/>
    </row>
    <row r="74" spans="1:10" x14ac:dyDescent="0.3">
      <c r="A74" s="76"/>
      <c r="B74" s="77"/>
      <c r="C74" s="93"/>
      <c r="D74" s="77"/>
      <c r="E74" s="78" t="s">
        <v>1489</v>
      </c>
      <c r="F74" s="78" t="s">
        <v>2276</v>
      </c>
      <c r="G74" s="78" t="s">
        <v>459</v>
      </c>
      <c r="H74" s="78" t="s">
        <v>458</v>
      </c>
      <c r="I74" s="78">
        <v>56</v>
      </c>
      <c r="J74" s="231">
        <v>34</v>
      </c>
    </row>
    <row r="75" spans="1:10" x14ac:dyDescent="0.3">
      <c r="A75" s="76"/>
      <c r="B75" s="77"/>
      <c r="C75" s="93"/>
      <c r="D75" s="77"/>
      <c r="E75" s="78" t="s">
        <v>1493</v>
      </c>
      <c r="F75" s="78" t="s">
        <v>2276</v>
      </c>
      <c r="G75" s="78" t="s">
        <v>437</v>
      </c>
      <c r="H75" s="78" t="s">
        <v>436</v>
      </c>
      <c r="I75" s="78">
        <v>53</v>
      </c>
      <c r="J75" s="231">
        <v>35</v>
      </c>
    </row>
    <row r="76" spans="1:10" ht="15" thickBot="1" x14ac:dyDescent="0.35">
      <c r="A76" s="81"/>
      <c r="B76" s="83"/>
      <c r="C76" s="96"/>
      <c r="D76" s="83"/>
      <c r="E76" s="82" t="s">
        <v>1496</v>
      </c>
      <c r="F76" s="82" t="s">
        <v>2276</v>
      </c>
      <c r="G76" s="82" t="s">
        <v>470</v>
      </c>
      <c r="H76" s="82" t="s">
        <v>469</v>
      </c>
      <c r="I76" s="82">
        <v>61</v>
      </c>
      <c r="J76" s="232">
        <v>23</v>
      </c>
    </row>
    <row r="77" spans="1:10" x14ac:dyDescent="0.3">
      <c r="A77" s="72" t="s">
        <v>1749</v>
      </c>
      <c r="B77" s="73" t="s">
        <v>227</v>
      </c>
      <c r="C77" s="95" t="s">
        <v>1480</v>
      </c>
      <c r="D77" s="73" t="s">
        <v>1753</v>
      </c>
      <c r="E77" s="74" t="s">
        <v>1479</v>
      </c>
      <c r="F77" s="74" t="s">
        <v>1485</v>
      </c>
      <c r="G77" s="74" t="s">
        <v>2275</v>
      </c>
      <c r="H77" s="74"/>
      <c r="I77" s="74"/>
      <c r="J77" s="230"/>
    </row>
    <row r="78" spans="1:10" x14ac:dyDescent="0.3">
      <c r="A78" s="76"/>
      <c r="B78" s="77"/>
      <c r="C78" s="93"/>
      <c r="D78" s="77"/>
      <c r="E78" s="78" t="s">
        <v>1489</v>
      </c>
      <c r="F78" s="78" t="s">
        <v>2276</v>
      </c>
      <c r="G78" s="78" t="s">
        <v>223</v>
      </c>
      <c r="H78" s="78" t="s">
        <v>222</v>
      </c>
      <c r="I78" s="78">
        <v>27</v>
      </c>
      <c r="J78" s="231">
        <v>41</v>
      </c>
    </row>
    <row r="79" spans="1:10" ht="15" thickBot="1" x14ac:dyDescent="0.35">
      <c r="A79" s="76"/>
      <c r="B79" s="77"/>
      <c r="C79" s="93"/>
      <c r="D79" s="77"/>
      <c r="E79" s="78" t="s">
        <v>1493</v>
      </c>
      <c r="F79" s="78" t="s">
        <v>2276</v>
      </c>
      <c r="G79" s="78" t="s">
        <v>328</v>
      </c>
      <c r="H79" s="78" t="s">
        <v>327</v>
      </c>
      <c r="I79" s="78">
        <v>40</v>
      </c>
      <c r="J79" s="232">
        <v>45</v>
      </c>
    </row>
    <row r="80" spans="1:10" ht="15" thickBot="1" x14ac:dyDescent="0.35">
      <c r="A80" s="81"/>
      <c r="B80" s="83"/>
      <c r="C80" s="96"/>
      <c r="D80" s="83"/>
      <c r="E80" s="82" t="s">
        <v>1496</v>
      </c>
      <c r="F80" s="82" t="s">
        <v>2276</v>
      </c>
      <c r="G80" s="82" t="s">
        <v>1418</v>
      </c>
      <c r="H80" s="82" t="s">
        <v>1417</v>
      </c>
      <c r="I80" s="82"/>
      <c r="J80" s="230"/>
    </row>
    <row r="81" spans="1:10" x14ac:dyDescent="0.3">
      <c r="A81" s="72" t="s">
        <v>1749</v>
      </c>
      <c r="B81" s="73" t="s">
        <v>217</v>
      </c>
      <c r="C81" s="95" t="s">
        <v>1480</v>
      </c>
      <c r="D81" s="73" t="s">
        <v>1758</v>
      </c>
      <c r="E81" s="74" t="s">
        <v>1479</v>
      </c>
      <c r="F81" s="74" t="s">
        <v>1485</v>
      </c>
      <c r="G81" s="74" t="s">
        <v>2275</v>
      </c>
      <c r="H81" s="74"/>
      <c r="I81" s="74"/>
      <c r="J81" s="231">
        <v>42</v>
      </c>
    </row>
    <row r="82" spans="1:10" ht="15" thickBot="1" x14ac:dyDescent="0.35">
      <c r="A82" s="76"/>
      <c r="B82" s="77"/>
      <c r="C82" s="93"/>
      <c r="D82" s="77"/>
      <c r="E82" s="78" t="s">
        <v>1489</v>
      </c>
      <c r="F82" s="78" t="s">
        <v>2276</v>
      </c>
      <c r="G82" s="78" t="s">
        <v>215</v>
      </c>
      <c r="H82" s="78" t="s">
        <v>214</v>
      </c>
      <c r="I82" s="78">
        <v>26</v>
      </c>
      <c r="J82" s="232">
        <v>46</v>
      </c>
    </row>
    <row r="83" spans="1:10" x14ac:dyDescent="0.3">
      <c r="A83" s="76"/>
      <c r="B83" s="77"/>
      <c r="C83" s="93"/>
      <c r="D83" s="77"/>
      <c r="E83" s="78" t="s">
        <v>1493</v>
      </c>
      <c r="F83" s="78" t="s">
        <v>2276</v>
      </c>
      <c r="G83" s="78" t="s">
        <v>338</v>
      </c>
      <c r="H83" s="78" t="s">
        <v>337</v>
      </c>
      <c r="I83" s="78">
        <v>41</v>
      </c>
      <c r="J83" s="230"/>
    </row>
    <row r="84" spans="1:10" ht="15" thickBot="1" x14ac:dyDescent="0.35">
      <c r="A84" s="81"/>
      <c r="B84" s="83"/>
      <c r="C84" s="96"/>
      <c r="D84" s="83"/>
      <c r="E84" s="82" t="s">
        <v>1496</v>
      </c>
      <c r="F84" s="82" t="s">
        <v>2276</v>
      </c>
      <c r="G84" s="82" t="s">
        <v>233</v>
      </c>
      <c r="H84" s="82" t="s">
        <v>232</v>
      </c>
      <c r="I84" s="82">
        <v>28</v>
      </c>
      <c r="J84" s="231">
        <v>36</v>
      </c>
    </row>
    <row r="85" spans="1:10" x14ac:dyDescent="0.3">
      <c r="A85" s="72" t="s">
        <v>1749</v>
      </c>
      <c r="B85" s="73" t="s">
        <v>265</v>
      </c>
      <c r="C85" s="95" t="s">
        <v>1480</v>
      </c>
      <c r="D85" s="73" t="s">
        <v>1764</v>
      </c>
      <c r="E85" s="74" t="s">
        <v>1479</v>
      </c>
      <c r="F85" s="74" t="s">
        <v>1485</v>
      </c>
      <c r="G85" s="74" t="s">
        <v>2275</v>
      </c>
      <c r="H85" s="74"/>
      <c r="I85" s="74"/>
      <c r="J85" s="231">
        <v>33</v>
      </c>
    </row>
    <row r="86" spans="1:10" ht="15" thickBot="1" x14ac:dyDescent="0.35">
      <c r="A86" s="76"/>
      <c r="B86" s="77"/>
      <c r="C86" s="93"/>
      <c r="D86" s="77"/>
      <c r="E86" s="78" t="s">
        <v>1489</v>
      </c>
      <c r="F86" s="78" t="s">
        <v>2276</v>
      </c>
      <c r="G86" s="78" t="s">
        <v>259</v>
      </c>
      <c r="H86" s="78" t="s">
        <v>258</v>
      </c>
      <c r="I86" s="78">
        <v>31</v>
      </c>
      <c r="J86" s="232">
        <v>39</v>
      </c>
    </row>
    <row r="87" spans="1:10" x14ac:dyDescent="0.3">
      <c r="A87" s="76"/>
      <c r="B87" s="77"/>
      <c r="C87" s="93"/>
      <c r="D87" s="77"/>
      <c r="E87" s="78" t="s">
        <v>1493</v>
      </c>
      <c r="F87" s="78" t="s">
        <v>2276</v>
      </c>
      <c r="G87" s="78" t="s">
        <v>295</v>
      </c>
      <c r="H87" s="78" t="s">
        <v>294</v>
      </c>
      <c r="I87" s="78">
        <v>35</v>
      </c>
      <c r="J87" s="230"/>
    </row>
    <row r="88" spans="1:10" ht="15" thickBot="1" x14ac:dyDescent="0.35">
      <c r="A88" s="81"/>
      <c r="B88" s="83"/>
      <c r="C88" s="96"/>
      <c r="D88" s="83"/>
      <c r="E88" s="82" t="s">
        <v>1496</v>
      </c>
      <c r="F88" s="82" t="s">
        <v>2276</v>
      </c>
      <c r="G88" s="82" t="s">
        <v>271</v>
      </c>
      <c r="H88" s="82" t="s">
        <v>270</v>
      </c>
      <c r="I88" s="82">
        <v>32</v>
      </c>
      <c r="J88" s="231">
        <v>32</v>
      </c>
    </row>
    <row r="89" spans="1:10" x14ac:dyDescent="0.3">
      <c r="A89" s="72" t="s">
        <v>1749</v>
      </c>
      <c r="B89" s="73" t="s">
        <v>245</v>
      </c>
      <c r="C89" s="95" t="s">
        <v>1480</v>
      </c>
      <c r="D89" s="73" t="s">
        <v>1938</v>
      </c>
      <c r="E89" s="74" t="s">
        <v>1479</v>
      </c>
      <c r="F89" s="74" t="s">
        <v>1485</v>
      </c>
      <c r="G89" s="74" t="s">
        <v>2275</v>
      </c>
      <c r="H89" s="74"/>
      <c r="I89" s="74"/>
      <c r="J89" s="231">
        <v>35</v>
      </c>
    </row>
    <row r="90" spans="1:10" ht="15" thickBot="1" x14ac:dyDescent="0.35">
      <c r="A90" s="76"/>
      <c r="B90" s="77"/>
      <c r="C90" s="93"/>
      <c r="D90" s="77"/>
      <c r="E90" s="78" t="s">
        <v>1489</v>
      </c>
      <c r="F90" s="78" t="s">
        <v>2276</v>
      </c>
      <c r="G90" s="78" t="s">
        <v>309</v>
      </c>
      <c r="H90" s="78" t="s">
        <v>308</v>
      </c>
      <c r="I90" s="78">
        <v>36</v>
      </c>
      <c r="J90" s="232">
        <v>33</v>
      </c>
    </row>
    <row r="91" spans="1:10" x14ac:dyDescent="0.3">
      <c r="A91" s="76"/>
      <c r="B91" s="77"/>
      <c r="C91" s="93"/>
      <c r="D91" s="77"/>
      <c r="E91" s="78" t="s">
        <v>1493</v>
      </c>
      <c r="F91" s="78" t="s">
        <v>2276</v>
      </c>
      <c r="G91" s="78" t="s">
        <v>595</v>
      </c>
      <c r="H91" s="78" t="s">
        <v>594</v>
      </c>
      <c r="I91" s="78">
        <v>76</v>
      </c>
      <c r="J91" s="230"/>
    </row>
    <row r="92" spans="1:10" ht="15" thickBot="1" x14ac:dyDescent="0.35">
      <c r="A92" s="81"/>
      <c r="B92" s="83"/>
      <c r="C92" s="96"/>
      <c r="D92" s="83"/>
      <c r="E92" s="82" t="s">
        <v>1496</v>
      </c>
      <c r="F92" s="82" t="s">
        <v>2276</v>
      </c>
      <c r="G92" s="82" t="s">
        <v>241</v>
      </c>
      <c r="H92" s="82" t="s">
        <v>240</v>
      </c>
      <c r="I92" s="82">
        <v>29</v>
      </c>
      <c r="J92" s="231">
        <v>33</v>
      </c>
    </row>
    <row r="93" spans="1:10" x14ac:dyDescent="0.3">
      <c r="A93" s="72" t="s">
        <v>1494</v>
      </c>
      <c r="B93" s="73" t="s">
        <v>297</v>
      </c>
      <c r="C93" s="95" t="s">
        <v>1480</v>
      </c>
      <c r="D93" s="73" t="s">
        <v>1861</v>
      </c>
      <c r="E93" s="74" t="s">
        <v>1479</v>
      </c>
      <c r="F93" s="74" t="s">
        <v>1485</v>
      </c>
      <c r="G93" s="74" t="s">
        <v>2275</v>
      </c>
      <c r="H93" s="74"/>
      <c r="I93" s="74"/>
      <c r="J93" s="231">
        <v>36</v>
      </c>
    </row>
    <row r="94" spans="1:10" ht="15" thickBot="1" x14ac:dyDescent="0.35">
      <c r="A94" s="76"/>
      <c r="B94" s="77"/>
      <c r="C94" s="93"/>
      <c r="D94" s="77"/>
      <c r="E94" s="78" t="s">
        <v>1489</v>
      </c>
      <c r="F94" s="78" t="s">
        <v>2276</v>
      </c>
      <c r="G94" s="78" t="s">
        <v>830</v>
      </c>
      <c r="H94" s="78" t="s">
        <v>829</v>
      </c>
      <c r="I94" s="78">
        <v>117</v>
      </c>
      <c r="J94" s="232">
        <v>32</v>
      </c>
    </row>
    <row r="95" spans="1:10" x14ac:dyDescent="0.3">
      <c r="A95" s="76"/>
      <c r="B95" s="77"/>
      <c r="C95" s="93"/>
      <c r="D95" s="77"/>
      <c r="E95" s="78" t="s">
        <v>1493</v>
      </c>
      <c r="F95" s="78" t="s">
        <v>2276</v>
      </c>
      <c r="G95" s="78" t="s">
        <v>295</v>
      </c>
      <c r="H95" s="78" t="s">
        <v>294</v>
      </c>
      <c r="I95" s="78">
        <v>35</v>
      </c>
      <c r="J95" s="230"/>
    </row>
    <row r="96" spans="1:10" ht="15" thickBot="1" x14ac:dyDescent="0.35">
      <c r="A96" s="81"/>
      <c r="B96" s="83"/>
      <c r="C96" s="96"/>
      <c r="D96" s="83"/>
      <c r="E96" s="82" t="s">
        <v>1496</v>
      </c>
      <c r="F96" s="82" t="s">
        <v>2276</v>
      </c>
      <c r="G96" s="82" t="s">
        <v>477</v>
      </c>
      <c r="H96" s="82" t="s">
        <v>476</v>
      </c>
      <c r="I96" s="82">
        <v>62</v>
      </c>
      <c r="J96" s="231">
        <v>18</v>
      </c>
    </row>
    <row r="97" spans="1:10" x14ac:dyDescent="0.3">
      <c r="A97" s="72" t="s">
        <v>1494</v>
      </c>
      <c r="B97" s="73" t="s">
        <v>554</v>
      </c>
      <c r="C97" s="95" t="s">
        <v>1480</v>
      </c>
      <c r="D97" s="73" t="s">
        <v>1691</v>
      </c>
      <c r="E97" s="74" t="s">
        <v>1479</v>
      </c>
      <c r="F97" s="74" t="s">
        <v>1485</v>
      </c>
      <c r="G97" s="74" t="s">
        <v>2275</v>
      </c>
      <c r="H97" s="74"/>
      <c r="I97" s="74"/>
      <c r="J97" s="231"/>
    </row>
    <row r="98" spans="1:10" ht="15" thickBot="1" x14ac:dyDescent="0.35">
      <c r="A98" s="76"/>
      <c r="B98" s="77"/>
      <c r="C98" s="93"/>
      <c r="D98" s="77"/>
      <c r="E98" s="78" t="s">
        <v>1489</v>
      </c>
      <c r="F98" s="78" t="s">
        <v>2276</v>
      </c>
      <c r="G98" s="78" t="s">
        <v>552</v>
      </c>
      <c r="H98" s="78" t="s">
        <v>551</v>
      </c>
      <c r="I98" s="78">
        <v>71</v>
      </c>
      <c r="J98" s="232"/>
    </row>
    <row r="99" spans="1:10" x14ac:dyDescent="0.3">
      <c r="A99" s="76"/>
      <c r="B99" s="77"/>
      <c r="C99" s="93"/>
      <c r="D99" s="77"/>
      <c r="E99" s="78" t="s">
        <v>1493</v>
      </c>
      <c r="F99" s="78" t="s">
        <v>2276</v>
      </c>
      <c r="G99" s="78" t="s">
        <v>993</v>
      </c>
      <c r="H99" s="78" t="s">
        <v>992</v>
      </c>
      <c r="I99" s="78">
        <v>145</v>
      </c>
      <c r="J99" s="230"/>
    </row>
    <row r="100" spans="1:10" ht="15" thickBot="1" x14ac:dyDescent="0.35">
      <c r="A100" s="81"/>
      <c r="B100" s="83"/>
      <c r="C100" s="96"/>
      <c r="D100" s="83"/>
      <c r="E100" s="82" t="s">
        <v>1496</v>
      </c>
      <c r="F100" s="82" t="s">
        <v>1508</v>
      </c>
      <c r="G100" s="82" t="s">
        <v>2277</v>
      </c>
      <c r="H100" s="82"/>
      <c r="I100" s="82"/>
      <c r="J100" s="231"/>
    </row>
    <row r="101" spans="1:10" x14ac:dyDescent="0.3">
      <c r="A101" s="72" t="s">
        <v>1494</v>
      </c>
      <c r="B101" s="73" t="s">
        <v>527</v>
      </c>
      <c r="C101" s="95" t="s">
        <v>1480</v>
      </c>
      <c r="D101" s="73" t="s">
        <v>1701</v>
      </c>
      <c r="E101" s="74" t="s">
        <v>1479</v>
      </c>
      <c r="F101" s="74" t="s">
        <v>1485</v>
      </c>
      <c r="G101" s="74" t="s">
        <v>2275</v>
      </c>
      <c r="H101" s="74"/>
      <c r="I101" s="74"/>
      <c r="J101" s="231"/>
    </row>
    <row r="102" spans="1:10" ht="15" thickBot="1" x14ac:dyDescent="0.35">
      <c r="A102" s="76"/>
      <c r="B102" s="77"/>
      <c r="C102" s="93"/>
      <c r="D102" s="77"/>
      <c r="E102" s="78" t="s">
        <v>1489</v>
      </c>
      <c r="F102" s="78" t="s">
        <v>2276</v>
      </c>
      <c r="G102" s="78" t="s">
        <v>525</v>
      </c>
      <c r="H102" s="78" t="s">
        <v>524</v>
      </c>
      <c r="I102" s="78">
        <v>68</v>
      </c>
      <c r="J102" s="232"/>
    </row>
    <row r="103" spans="1:10" x14ac:dyDescent="0.3">
      <c r="A103" s="76"/>
      <c r="B103" s="77"/>
      <c r="C103" s="93"/>
      <c r="D103" s="77"/>
      <c r="E103" s="78" t="s">
        <v>1493</v>
      </c>
      <c r="F103" s="78" t="s">
        <v>2276</v>
      </c>
      <c r="G103" s="78" t="s">
        <v>981</v>
      </c>
      <c r="H103" s="78" t="s">
        <v>980</v>
      </c>
      <c r="I103" s="78">
        <v>143</v>
      </c>
      <c r="J103" s="230"/>
    </row>
    <row r="104" spans="1:10" ht="15" thickBot="1" x14ac:dyDescent="0.35">
      <c r="A104" s="81"/>
      <c r="B104" s="83"/>
      <c r="C104" s="96"/>
      <c r="D104" s="83"/>
      <c r="E104" s="82" t="s">
        <v>1496</v>
      </c>
      <c r="F104" s="82" t="s">
        <v>1508</v>
      </c>
      <c r="G104" s="82" t="s">
        <v>2278</v>
      </c>
      <c r="H104" s="82"/>
      <c r="I104" s="82"/>
      <c r="J104" s="231">
        <v>20</v>
      </c>
    </row>
    <row r="105" spans="1:10" x14ac:dyDescent="0.3">
      <c r="A105" s="72" t="s">
        <v>1494</v>
      </c>
      <c r="B105" s="73" t="s">
        <v>494</v>
      </c>
      <c r="C105" s="95" t="s">
        <v>1480</v>
      </c>
      <c r="D105" s="73" t="s">
        <v>1648</v>
      </c>
      <c r="E105" s="74" t="s">
        <v>1479</v>
      </c>
      <c r="F105" s="74" t="s">
        <v>1485</v>
      </c>
      <c r="G105" s="74" t="s">
        <v>2275</v>
      </c>
      <c r="H105" s="74"/>
      <c r="I105" s="74"/>
      <c r="J105" s="231">
        <v>22</v>
      </c>
    </row>
    <row r="106" spans="1:10" ht="15" thickBot="1" x14ac:dyDescent="0.35">
      <c r="A106" s="76"/>
      <c r="B106" s="77"/>
      <c r="C106" s="93"/>
      <c r="D106" s="77"/>
      <c r="E106" s="78" t="s">
        <v>1489</v>
      </c>
      <c r="F106" s="78" t="s">
        <v>2276</v>
      </c>
      <c r="G106" s="78" t="s">
        <v>491</v>
      </c>
      <c r="H106" s="78" t="s">
        <v>490</v>
      </c>
      <c r="I106" s="78">
        <v>64</v>
      </c>
      <c r="J106" s="232"/>
    </row>
    <row r="107" spans="1:10" x14ac:dyDescent="0.3">
      <c r="A107" s="76"/>
      <c r="B107" s="77"/>
      <c r="C107" s="93"/>
      <c r="D107" s="77"/>
      <c r="E107" s="78" t="s">
        <v>1493</v>
      </c>
      <c r="F107" s="78" t="s">
        <v>2276</v>
      </c>
      <c r="G107" s="78" t="s">
        <v>1061</v>
      </c>
      <c r="H107" s="78" t="s">
        <v>1060</v>
      </c>
      <c r="I107" s="78">
        <v>161</v>
      </c>
      <c r="J107" s="230"/>
    </row>
    <row r="108" spans="1:10" ht="15" thickBot="1" x14ac:dyDescent="0.35">
      <c r="A108" s="81"/>
      <c r="B108" s="83"/>
      <c r="C108" s="96"/>
      <c r="D108" s="83"/>
      <c r="E108" s="82" t="s">
        <v>1496</v>
      </c>
      <c r="F108" s="82" t="s">
        <v>1508</v>
      </c>
      <c r="G108" s="82" t="s">
        <v>2279</v>
      </c>
      <c r="H108" s="82"/>
      <c r="I108" s="82"/>
      <c r="J108" s="231">
        <v>23</v>
      </c>
    </row>
    <row r="109" spans="1:10" x14ac:dyDescent="0.3">
      <c r="A109" s="72" t="s">
        <v>1494</v>
      </c>
      <c r="B109" s="73" t="s">
        <v>486</v>
      </c>
      <c r="C109" s="95" t="s">
        <v>1480</v>
      </c>
      <c r="D109" s="73" t="s">
        <v>1654</v>
      </c>
      <c r="E109" s="74" t="s">
        <v>1479</v>
      </c>
      <c r="F109" s="74" t="s">
        <v>1485</v>
      </c>
      <c r="G109" s="74" t="s">
        <v>2275</v>
      </c>
      <c r="H109" s="74"/>
      <c r="I109" s="74"/>
      <c r="J109" s="231"/>
    </row>
    <row r="110" spans="1:10" ht="15" thickBot="1" x14ac:dyDescent="0.35">
      <c r="A110" s="76"/>
      <c r="B110" s="77"/>
      <c r="C110" s="93"/>
      <c r="D110" s="77"/>
      <c r="E110" s="78" t="s">
        <v>1489</v>
      </c>
      <c r="F110" s="78" t="s">
        <v>2276</v>
      </c>
      <c r="G110" s="78" t="s">
        <v>1056</v>
      </c>
      <c r="H110" s="78" t="s">
        <v>1055</v>
      </c>
      <c r="I110" s="78">
        <v>160</v>
      </c>
      <c r="J110" s="232">
        <v>19</v>
      </c>
    </row>
    <row r="111" spans="1:10" x14ac:dyDescent="0.3">
      <c r="A111" s="76"/>
      <c r="B111" s="77"/>
      <c r="C111" s="93"/>
      <c r="D111" s="77"/>
      <c r="E111" s="78" t="s">
        <v>1493</v>
      </c>
      <c r="F111" s="78" t="s">
        <v>2276</v>
      </c>
      <c r="G111" s="78" t="s">
        <v>482</v>
      </c>
      <c r="H111" s="78" t="s">
        <v>481</v>
      </c>
      <c r="I111" s="78">
        <v>63</v>
      </c>
      <c r="J111" s="230"/>
    </row>
    <row r="112" spans="1:10" ht="15" thickBot="1" x14ac:dyDescent="0.35">
      <c r="A112" s="81"/>
      <c r="B112" s="83"/>
      <c r="C112" s="96"/>
      <c r="D112" s="83"/>
      <c r="E112" s="82" t="s">
        <v>1496</v>
      </c>
      <c r="F112" s="82" t="s">
        <v>1508</v>
      </c>
      <c r="G112" s="82" t="s">
        <v>2280</v>
      </c>
      <c r="H112" s="82"/>
      <c r="I112" s="82"/>
      <c r="J112" s="231">
        <v>68</v>
      </c>
    </row>
    <row r="113" spans="1:10" x14ac:dyDescent="0.3">
      <c r="A113" s="72" t="s">
        <v>1494</v>
      </c>
      <c r="B113" s="73" t="s">
        <v>479</v>
      </c>
      <c r="C113" s="95" t="s">
        <v>1480</v>
      </c>
      <c r="D113" s="73" t="s">
        <v>1664</v>
      </c>
      <c r="E113" s="74" t="s">
        <v>1479</v>
      </c>
      <c r="F113" s="74" t="s">
        <v>1485</v>
      </c>
      <c r="G113" s="74" t="s">
        <v>2275</v>
      </c>
      <c r="H113" s="74"/>
      <c r="I113" s="74"/>
      <c r="J113" s="231">
        <v>22</v>
      </c>
    </row>
    <row r="114" spans="1:10" ht="15" thickBot="1" x14ac:dyDescent="0.35">
      <c r="A114" s="76"/>
      <c r="B114" s="77"/>
      <c r="C114" s="93"/>
      <c r="D114" s="77"/>
      <c r="E114" s="78" t="s">
        <v>1489</v>
      </c>
      <c r="F114" s="78" t="s">
        <v>2276</v>
      </c>
      <c r="G114" s="78" t="s">
        <v>1049</v>
      </c>
      <c r="H114" s="78" t="s">
        <v>1048</v>
      </c>
      <c r="I114" s="78">
        <v>159</v>
      </c>
      <c r="J114" s="232">
        <v>40</v>
      </c>
    </row>
    <row r="115" spans="1:10" x14ac:dyDescent="0.3">
      <c r="A115" s="76"/>
      <c r="B115" s="77"/>
      <c r="C115" s="93"/>
      <c r="D115" s="77"/>
      <c r="E115" s="78" t="s">
        <v>1493</v>
      </c>
      <c r="F115" s="78" t="s">
        <v>2276</v>
      </c>
      <c r="G115" s="78" t="s">
        <v>477</v>
      </c>
      <c r="H115" s="78" t="s">
        <v>476</v>
      </c>
      <c r="I115" s="78">
        <v>62</v>
      </c>
      <c r="J115" s="230"/>
    </row>
    <row r="116" spans="1:10" ht="15" thickBot="1" x14ac:dyDescent="0.35">
      <c r="A116" s="81"/>
      <c r="B116" s="83"/>
      <c r="C116" s="96"/>
      <c r="D116" s="83"/>
      <c r="E116" s="82" t="s">
        <v>1496</v>
      </c>
      <c r="F116" s="82" t="s">
        <v>1508</v>
      </c>
      <c r="G116" s="82" t="s">
        <v>2281</v>
      </c>
      <c r="H116" s="82"/>
      <c r="I116" s="82"/>
      <c r="J116" s="231">
        <v>46</v>
      </c>
    </row>
    <row r="117" spans="1:10" x14ac:dyDescent="0.3">
      <c r="A117" s="72" t="s">
        <v>1494</v>
      </c>
      <c r="B117" s="73" t="s">
        <v>472</v>
      </c>
      <c r="C117" s="95" t="s">
        <v>1480</v>
      </c>
      <c r="D117" s="73" t="s">
        <v>1674</v>
      </c>
      <c r="E117" s="74" t="s">
        <v>1479</v>
      </c>
      <c r="F117" s="74" t="s">
        <v>1485</v>
      </c>
      <c r="G117" s="74" t="s">
        <v>2275</v>
      </c>
      <c r="H117" s="74"/>
      <c r="I117" s="74"/>
      <c r="J117" s="231">
        <v>83</v>
      </c>
    </row>
    <row r="118" spans="1:10" ht="15" thickBot="1" x14ac:dyDescent="0.35">
      <c r="A118" s="76"/>
      <c r="B118" s="77"/>
      <c r="C118" s="93"/>
      <c r="D118" s="77"/>
      <c r="E118" s="78" t="s">
        <v>1489</v>
      </c>
      <c r="F118" s="78" t="s">
        <v>2276</v>
      </c>
      <c r="G118" s="78" t="s">
        <v>470</v>
      </c>
      <c r="H118" s="78" t="s">
        <v>469</v>
      </c>
      <c r="I118" s="78">
        <v>61</v>
      </c>
      <c r="J118" s="232"/>
    </row>
    <row r="119" spans="1:10" x14ac:dyDescent="0.3">
      <c r="A119" s="76"/>
      <c r="B119" s="77"/>
      <c r="C119" s="93"/>
      <c r="D119" s="77"/>
      <c r="E119" s="78" t="s">
        <v>1493</v>
      </c>
      <c r="F119" s="78" t="s">
        <v>2276</v>
      </c>
      <c r="G119" s="78" t="s">
        <v>1028</v>
      </c>
      <c r="H119" s="78" t="s">
        <v>1027</v>
      </c>
      <c r="I119" s="78">
        <v>155</v>
      </c>
      <c r="J119" s="230"/>
    </row>
    <row r="120" spans="1:10" ht="15" thickBot="1" x14ac:dyDescent="0.35">
      <c r="A120" s="81"/>
      <c r="B120" s="83"/>
      <c r="C120" s="96"/>
      <c r="D120" s="83"/>
      <c r="E120" s="82" t="s">
        <v>1496</v>
      </c>
      <c r="F120" s="82" t="s">
        <v>1508</v>
      </c>
      <c r="G120" s="82" t="s">
        <v>2282</v>
      </c>
      <c r="H120" s="82"/>
      <c r="I120" s="82"/>
      <c r="J120" s="231">
        <v>45</v>
      </c>
    </row>
    <row r="121" spans="1:10" x14ac:dyDescent="0.3">
      <c r="A121" s="72" t="s">
        <v>1494</v>
      </c>
      <c r="B121" s="73" t="s">
        <v>116</v>
      </c>
      <c r="C121" s="95" t="s">
        <v>1480</v>
      </c>
      <c r="D121" s="73" t="s">
        <v>1976</v>
      </c>
      <c r="E121" s="74" t="s">
        <v>1479</v>
      </c>
      <c r="F121" s="74" t="s">
        <v>1485</v>
      </c>
      <c r="G121" s="74" t="s">
        <v>2275</v>
      </c>
      <c r="H121" s="74"/>
      <c r="I121" s="74"/>
      <c r="J121" s="231">
        <v>82</v>
      </c>
    </row>
    <row r="122" spans="1:10" ht="15" thickBot="1" x14ac:dyDescent="0.35">
      <c r="A122" s="76"/>
      <c r="B122" s="77"/>
      <c r="C122" s="93"/>
      <c r="D122" s="77"/>
      <c r="E122" s="78" t="s">
        <v>1489</v>
      </c>
      <c r="F122" s="78" t="s">
        <v>2276</v>
      </c>
      <c r="G122" s="78" t="s">
        <v>112</v>
      </c>
      <c r="H122" s="78" t="s">
        <v>111</v>
      </c>
      <c r="I122" s="78">
        <v>8</v>
      </c>
      <c r="J122" s="232"/>
    </row>
    <row r="123" spans="1:10" x14ac:dyDescent="0.3">
      <c r="A123" s="76"/>
      <c r="B123" s="77"/>
      <c r="C123" s="93"/>
      <c r="D123" s="77"/>
      <c r="E123" s="78" t="s">
        <v>1493</v>
      </c>
      <c r="F123" s="78" t="s">
        <v>2276</v>
      </c>
      <c r="G123" s="78" t="s">
        <v>1081</v>
      </c>
      <c r="H123" s="78" t="s">
        <v>1080</v>
      </c>
      <c r="I123" s="78">
        <v>165</v>
      </c>
      <c r="J123" s="230"/>
    </row>
    <row r="124" spans="1:10" ht="15" thickBot="1" x14ac:dyDescent="0.35">
      <c r="A124" s="81"/>
      <c r="B124" s="83"/>
      <c r="C124" s="96"/>
      <c r="D124" s="83"/>
      <c r="E124" s="82" t="s">
        <v>1496</v>
      </c>
      <c r="F124" s="82" t="s">
        <v>2276</v>
      </c>
      <c r="G124" s="82" t="s">
        <v>459</v>
      </c>
      <c r="H124" s="82" t="s">
        <v>458</v>
      </c>
      <c r="I124" s="82">
        <v>56</v>
      </c>
      <c r="J124" s="231">
        <v>42</v>
      </c>
    </row>
    <row r="125" spans="1:10" x14ac:dyDescent="0.3">
      <c r="A125" s="72" t="s">
        <v>1494</v>
      </c>
      <c r="B125" s="73" t="s">
        <v>105</v>
      </c>
      <c r="C125" s="95" t="s">
        <v>1480</v>
      </c>
      <c r="D125" s="73" t="s">
        <v>1519</v>
      </c>
      <c r="E125" s="74" t="s">
        <v>1479</v>
      </c>
      <c r="F125" s="74" t="s">
        <v>1485</v>
      </c>
      <c r="G125" s="74" t="s">
        <v>2275</v>
      </c>
      <c r="H125" s="74"/>
      <c r="I125" s="74"/>
      <c r="J125" s="231">
        <v>92</v>
      </c>
    </row>
    <row r="126" spans="1:10" ht="15" thickBot="1" x14ac:dyDescent="0.35">
      <c r="A126" s="76"/>
      <c r="B126" s="77"/>
      <c r="C126" s="93"/>
      <c r="D126" s="77"/>
      <c r="E126" s="78" t="s">
        <v>1489</v>
      </c>
      <c r="F126" s="78" t="s">
        <v>2276</v>
      </c>
      <c r="G126" s="78" t="s">
        <v>100</v>
      </c>
      <c r="H126" s="78" t="s">
        <v>99</v>
      </c>
      <c r="I126" s="78">
        <v>7</v>
      </c>
      <c r="J126" s="232"/>
    </row>
    <row r="127" spans="1:10" x14ac:dyDescent="0.3">
      <c r="A127" s="76"/>
      <c r="B127" s="77"/>
      <c r="C127" s="93"/>
      <c r="D127" s="77"/>
      <c r="E127" s="78" t="s">
        <v>1493</v>
      </c>
      <c r="F127" s="78" t="s">
        <v>2276</v>
      </c>
      <c r="G127" s="78" t="s">
        <v>946</v>
      </c>
      <c r="H127" s="78" t="s">
        <v>945</v>
      </c>
      <c r="I127" s="78">
        <v>137</v>
      </c>
      <c r="J127" s="230"/>
    </row>
    <row r="128" spans="1:10" ht="15" thickBot="1" x14ac:dyDescent="0.35">
      <c r="A128" s="81"/>
      <c r="B128" s="83"/>
      <c r="C128" s="96"/>
      <c r="D128" s="83"/>
      <c r="E128" s="82" t="s">
        <v>1496</v>
      </c>
      <c r="F128" s="82" t="s">
        <v>2276</v>
      </c>
      <c r="G128" s="82" t="s">
        <v>452</v>
      </c>
      <c r="H128" s="82" t="s">
        <v>451</v>
      </c>
      <c r="I128" s="82">
        <v>55</v>
      </c>
      <c r="J128" s="231">
        <v>91</v>
      </c>
    </row>
    <row r="129" spans="1:10" x14ac:dyDescent="0.3">
      <c r="A129" s="72" t="s">
        <v>1494</v>
      </c>
      <c r="B129" s="73" t="s">
        <v>169</v>
      </c>
      <c r="C129" s="95" t="s">
        <v>1480</v>
      </c>
      <c r="D129" s="73" t="s">
        <v>2109</v>
      </c>
      <c r="E129" s="74" t="s">
        <v>1479</v>
      </c>
      <c r="F129" s="74" t="s">
        <v>1485</v>
      </c>
      <c r="G129" s="74" t="s">
        <v>2275</v>
      </c>
      <c r="H129" s="74"/>
      <c r="I129" s="74"/>
      <c r="J129" s="231">
        <v>41</v>
      </c>
    </row>
    <row r="130" spans="1:10" ht="15" thickBot="1" x14ac:dyDescent="0.35">
      <c r="A130" s="76"/>
      <c r="B130" s="77"/>
      <c r="C130" s="93"/>
      <c r="D130" s="77"/>
      <c r="E130" s="78" t="s">
        <v>1489</v>
      </c>
      <c r="F130" s="78" t="s">
        <v>2276</v>
      </c>
      <c r="G130" s="78" t="s">
        <v>444</v>
      </c>
      <c r="H130" s="78" t="s">
        <v>443</v>
      </c>
      <c r="I130" s="78">
        <v>54</v>
      </c>
      <c r="J130" s="232"/>
    </row>
    <row r="131" spans="1:10" x14ac:dyDescent="0.3">
      <c r="A131" s="76"/>
      <c r="B131" s="77"/>
      <c r="C131" s="93"/>
      <c r="D131" s="77"/>
      <c r="E131" s="78" t="s">
        <v>1493</v>
      </c>
      <c r="F131" s="78" t="s">
        <v>2276</v>
      </c>
      <c r="G131" s="78" t="s">
        <v>164</v>
      </c>
      <c r="H131" s="78" t="s">
        <v>163</v>
      </c>
      <c r="I131" s="78">
        <v>13</v>
      </c>
      <c r="J131" s="230"/>
    </row>
    <row r="132" spans="1:10" ht="15" thickBot="1" x14ac:dyDescent="0.35">
      <c r="A132" s="81"/>
      <c r="B132" s="83"/>
      <c r="C132" s="96"/>
      <c r="D132" s="83"/>
      <c r="E132" s="82" t="s">
        <v>1496</v>
      </c>
      <c r="F132" s="82" t="s">
        <v>2276</v>
      </c>
      <c r="G132" s="82" t="s">
        <v>259</v>
      </c>
      <c r="H132" s="82" t="s">
        <v>258</v>
      </c>
      <c r="I132" s="82">
        <v>31</v>
      </c>
      <c r="J132" s="231">
        <v>90</v>
      </c>
    </row>
    <row r="133" spans="1:10" x14ac:dyDescent="0.3">
      <c r="A133" s="72" t="s">
        <v>1494</v>
      </c>
      <c r="B133" s="73" t="s">
        <v>157</v>
      </c>
      <c r="C133" s="95" t="s">
        <v>1480</v>
      </c>
      <c r="D133" s="73" t="s">
        <v>2093</v>
      </c>
      <c r="E133" s="74" t="s">
        <v>1479</v>
      </c>
      <c r="F133" s="74" t="s">
        <v>1485</v>
      </c>
      <c r="G133" s="74" t="s">
        <v>2275</v>
      </c>
      <c r="H133" s="74"/>
      <c r="I133" s="74"/>
      <c r="J133" s="231">
        <v>40</v>
      </c>
    </row>
    <row r="134" spans="1:10" ht="15" thickBot="1" x14ac:dyDescent="0.35">
      <c r="A134" s="76"/>
      <c r="B134" s="77"/>
      <c r="C134" s="93"/>
      <c r="D134" s="77"/>
      <c r="E134" s="78" t="s">
        <v>1489</v>
      </c>
      <c r="F134" s="78" t="s">
        <v>2276</v>
      </c>
      <c r="G134" s="78" t="s">
        <v>155</v>
      </c>
      <c r="H134" s="78" t="s">
        <v>154</v>
      </c>
      <c r="I134" s="78">
        <v>12</v>
      </c>
      <c r="J134" s="232"/>
    </row>
    <row r="135" spans="1:10" x14ac:dyDescent="0.3">
      <c r="A135" s="76"/>
      <c r="B135" s="77"/>
      <c r="C135" s="93"/>
      <c r="D135" s="77"/>
      <c r="E135" s="78" t="s">
        <v>1493</v>
      </c>
      <c r="F135" s="78" t="s">
        <v>2276</v>
      </c>
      <c r="G135" s="78" t="s">
        <v>437</v>
      </c>
      <c r="H135" s="78" t="s">
        <v>436</v>
      </c>
      <c r="I135" s="78">
        <v>53</v>
      </c>
      <c r="J135" s="230"/>
    </row>
    <row r="136" spans="1:10" x14ac:dyDescent="0.3">
      <c r="A136" s="76"/>
      <c r="B136" s="77"/>
      <c r="C136" s="93"/>
      <c r="D136" s="77"/>
      <c r="E136" s="78" t="s">
        <v>1496</v>
      </c>
      <c r="F136" s="78" t="s">
        <v>2276</v>
      </c>
      <c r="G136" s="78" t="s">
        <v>215</v>
      </c>
      <c r="H136" s="78" t="s">
        <v>214</v>
      </c>
      <c r="I136" s="78">
        <v>26</v>
      </c>
      <c r="J136" s="231">
        <v>39</v>
      </c>
    </row>
    <row r="137" spans="1:10" ht="15" thickBot="1" x14ac:dyDescent="0.35">
      <c r="A137" s="81"/>
      <c r="B137" s="83"/>
      <c r="C137" s="96"/>
      <c r="D137" s="83"/>
      <c r="E137" s="82" t="s">
        <v>1499</v>
      </c>
      <c r="F137" s="82" t="s">
        <v>2276</v>
      </c>
      <c r="G137" s="82" t="s">
        <v>223</v>
      </c>
      <c r="H137" s="82" t="s">
        <v>222</v>
      </c>
      <c r="I137" s="82">
        <v>27</v>
      </c>
      <c r="J137" s="231">
        <v>89</v>
      </c>
    </row>
    <row r="138" spans="1:10" ht="15" thickBot="1" x14ac:dyDescent="0.35">
      <c r="A138" s="72" t="s">
        <v>1494</v>
      </c>
      <c r="B138" s="73" t="s">
        <v>128</v>
      </c>
      <c r="C138" s="95" t="s">
        <v>1480</v>
      </c>
      <c r="D138" s="73" t="s">
        <v>1871</v>
      </c>
      <c r="E138" s="74" t="s">
        <v>1479</v>
      </c>
      <c r="F138" s="74" t="s">
        <v>1485</v>
      </c>
      <c r="G138" s="74" t="s">
        <v>2275</v>
      </c>
      <c r="H138" s="74"/>
      <c r="I138" s="74"/>
      <c r="J138" s="232"/>
    </row>
    <row r="139" spans="1:10" x14ac:dyDescent="0.3">
      <c r="A139" s="76"/>
      <c r="B139" s="77"/>
      <c r="C139" s="93"/>
      <c r="D139" s="77"/>
      <c r="E139" s="78" t="s">
        <v>1489</v>
      </c>
      <c r="F139" s="78" t="s">
        <v>2276</v>
      </c>
      <c r="G139" s="78" t="s">
        <v>470</v>
      </c>
      <c r="H139" s="78" t="s">
        <v>469</v>
      </c>
      <c r="I139" s="78">
        <v>61</v>
      </c>
      <c r="J139" s="230"/>
    </row>
    <row r="140" spans="1:10" x14ac:dyDescent="0.3">
      <c r="A140" s="76"/>
      <c r="B140" s="77"/>
      <c r="C140" s="93"/>
      <c r="D140" s="77"/>
      <c r="E140" s="78" t="s">
        <v>1493</v>
      </c>
      <c r="F140" s="78" t="s">
        <v>2276</v>
      </c>
      <c r="G140" s="78" t="s">
        <v>824</v>
      </c>
      <c r="H140" s="78" t="s">
        <v>823</v>
      </c>
      <c r="I140" s="78">
        <v>116</v>
      </c>
      <c r="J140" s="231">
        <v>4</v>
      </c>
    </row>
    <row r="141" spans="1:10" x14ac:dyDescent="0.3">
      <c r="A141" s="76"/>
      <c r="B141" s="77"/>
      <c r="C141" s="93"/>
      <c r="D141" s="77"/>
      <c r="E141" s="78" t="s">
        <v>1496</v>
      </c>
      <c r="F141" s="78" t="s">
        <v>2276</v>
      </c>
      <c r="G141" s="78" t="s">
        <v>286</v>
      </c>
      <c r="H141" s="78" t="s">
        <v>285</v>
      </c>
      <c r="I141" s="78">
        <v>34</v>
      </c>
      <c r="J141" s="231">
        <v>95</v>
      </c>
    </row>
    <row r="142" spans="1:10" ht="15" thickBot="1" x14ac:dyDescent="0.35">
      <c r="A142" s="76"/>
      <c r="B142" s="77"/>
      <c r="C142" s="93"/>
      <c r="D142" s="77"/>
      <c r="E142" s="78" t="s">
        <v>1499</v>
      </c>
      <c r="F142" s="78" t="s">
        <v>2276</v>
      </c>
      <c r="G142" s="78" t="s">
        <v>124</v>
      </c>
      <c r="H142" s="78" t="s">
        <v>123</v>
      </c>
      <c r="I142" s="78">
        <v>9</v>
      </c>
      <c r="J142" s="232">
        <v>36</v>
      </c>
    </row>
    <row r="143" spans="1:10" ht="15" thickBot="1" x14ac:dyDescent="0.35">
      <c r="A143" s="81"/>
      <c r="B143" s="83"/>
      <c r="C143" s="96"/>
      <c r="D143" s="83"/>
      <c r="E143" s="82" t="s">
        <v>1502</v>
      </c>
      <c r="F143" s="82" t="s">
        <v>1508</v>
      </c>
      <c r="G143" s="82" t="s">
        <v>2283</v>
      </c>
      <c r="H143" s="82"/>
      <c r="I143" s="82"/>
      <c r="J143" s="230"/>
    </row>
    <row r="144" spans="1:10" x14ac:dyDescent="0.3">
      <c r="A144" s="72" t="s">
        <v>1494</v>
      </c>
      <c r="B144" s="73" t="s">
        <v>140</v>
      </c>
      <c r="C144" s="95" t="s">
        <v>1480</v>
      </c>
      <c r="D144" s="73" t="s">
        <v>2113</v>
      </c>
      <c r="E144" s="74" t="s">
        <v>1479</v>
      </c>
      <c r="F144" s="74" t="s">
        <v>1485</v>
      </c>
      <c r="G144" s="74" t="s">
        <v>2275</v>
      </c>
      <c r="H144" s="74"/>
      <c r="I144" s="74"/>
      <c r="J144" s="231">
        <v>3</v>
      </c>
    </row>
    <row r="145" spans="1:10" x14ac:dyDescent="0.3">
      <c r="A145" s="76"/>
      <c r="B145" s="77"/>
      <c r="C145" s="93"/>
      <c r="D145" s="77"/>
      <c r="E145" s="78" t="s">
        <v>1489</v>
      </c>
      <c r="F145" s="78" t="s">
        <v>2276</v>
      </c>
      <c r="G145" s="78" t="s">
        <v>338</v>
      </c>
      <c r="H145" s="78" t="s">
        <v>337</v>
      </c>
      <c r="I145" s="78">
        <v>41</v>
      </c>
      <c r="J145" s="231">
        <v>79</v>
      </c>
    </row>
    <row r="146" spans="1:10" ht="15" thickBot="1" x14ac:dyDescent="0.35">
      <c r="A146" s="81"/>
      <c r="B146" s="83"/>
      <c r="C146" s="96"/>
      <c r="D146" s="83"/>
      <c r="E146" s="82" t="s">
        <v>1493</v>
      </c>
      <c r="F146" s="82" t="s">
        <v>2276</v>
      </c>
      <c r="G146" s="82" t="s">
        <v>136</v>
      </c>
      <c r="H146" s="82" t="s">
        <v>135</v>
      </c>
      <c r="I146" s="82">
        <v>10</v>
      </c>
      <c r="J146" s="232">
        <v>35</v>
      </c>
    </row>
    <row r="147" spans="1:10" x14ac:dyDescent="0.3">
      <c r="A147" s="72" t="s">
        <v>1494</v>
      </c>
      <c r="B147" s="73" t="s">
        <v>129</v>
      </c>
      <c r="C147" s="95" t="s">
        <v>1480</v>
      </c>
      <c r="D147" s="73" t="s">
        <v>2116</v>
      </c>
      <c r="E147" s="74" t="s">
        <v>1479</v>
      </c>
      <c r="F147" s="74" t="s">
        <v>1485</v>
      </c>
      <c r="G147" s="74" t="s">
        <v>2275</v>
      </c>
      <c r="H147" s="74"/>
      <c r="I147" s="74"/>
      <c r="J147" s="230"/>
    </row>
    <row r="148" spans="1:10" x14ac:dyDescent="0.3">
      <c r="A148" s="76"/>
      <c r="B148" s="77"/>
      <c r="C148" s="93"/>
      <c r="D148" s="77"/>
      <c r="E148" s="78" t="s">
        <v>1489</v>
      </c>
      <c r="F148" s="78" t="s">
        <v>2276</v>
      </c>
      <c r="G148" s="78" t="s">
        <v>328</v>
      </c>
      <c r="H148" s="78" t="s">
        <v>327</v>
      </c>
      <c r="I148" s="78">
        <v>40</v>
      </c>
      <c r="J148" s="231">
        <v>34</v>
      </c>
    </row>
    <row r="149" spans="1:10" ht="15" thickBot="1" x14ac:dyDescent="0.35">
      <c r="A149" s="81"/>
      <c r="B149" s="83"/>
      <c r="C149" s="96"/>
      <c r="D149" s="83"/>
      <c r="E149" s="82" t="s">
        <v>1493</v>
      </c>
      <c r="F149" s="82" t="s">
        <v>2276</v>
      </c>
      <c r="G149" s="82" t="s">
        <v>124</v>
      </c>
      <c r="H149" s="82" t="s">
        <v>123</v>
      </c>
      <c r="I149" s="82">
        <v>9</v>
      </c>
      <c r="J149" s="231"/>
    </row>
    <row r="150" spans="1:10" ht="15" thickBot="1" x14ac:dyDescent="0.35">
      <c r="A150" s="72" t="s">
        <v>1494</v>
      </c>
      <c r="B150" s="73" t="s">
        <v>77</v>
      </c>
      <c r="C150" s="95" t="s">
        <v>1480</v>
      </c>
      <c r="D150" s="73" t="s">
        <v>2014</v>
      </c>
      <c r="E150" s="74" t="s">
        <v>1479</v>
      </c>
      <c r="F150" s="74" t="s">
        <v>1485</v>
      </c>
      <c r="G150" s="74" t="s">
        <v>2275</v>
      </c>
      <c r="H150" s="74"/>
      <c r="I150" s="74"/>
      <c r="J150" s="232">
        <v>20</v>
      </c>
    </row>
    <row r="151" spans="1:10" x14ac:dyDescent="0.3">
      <c r="A151" s="76"/>
      <c r="B151" s="77"/>
      <c r="C151" s="93"/>
      <c r="D151" s="77"/>
      <c r="E151" s="78" t="s">
        <v>1489</v>
      </c>
      <c r="F151" s="78" t="s">
        <v>2276</v>
      </c>
      <c r="G151" s="78" t="s">
        <v>73</v>
      </c>
      <c r="H151" s="78" t="s">
        <v>72</v>
      </c>
      <c r="I151" s="78">
        <v>5</v>
      </c>
      <c r="J151" s="230"/>
    </row>
    <row r="152" spans="1:10" x14ac:dyDescent="0.3">
      <c r="A152" s="76"/>
      <c r="B152" s="77"/>
      <c r="C152" s="93"/>
      <c r="D152" s="77"/>
      <c r="E152" s="78" t="s">
        <v>1493</v>
      </c>
      <c r="F152" s="78" t="s">
        <v>2276</v>
      </c>
      <c r="G152" s="78" t="s">
        <v>636</v>
      </c>
      <c r="H152" s="78" t="s">
        <v>635</v>
      </c>
      <c r="I152" s="78">
        <v>83</v>
      </c>
      <c r="J152" s="231"/>
    </row>
    <row r="153" spans="1:10" ht="15" thickBot="1" x14ac:dyDescent="0.35">
      <c r="A153" s="81"/>
      <c r="B153" s="83"/>
      <c r="C153" s="96"/>
      <c r="D153" s="83"/>
      <c r="E153" s="82" t="s">
        <v>1496</v>
      </c>
      <c r="F153" s="82" t="s">
        <v>2276</v>
      </c>
      <c r="G153" s="82" t="s">
        <v>1130</v>
      </c>
      <c r="H153" s="82" t="s">
        <v>1129</v>
      </c>
      <c r="I153" s="82"/>
      <c r="J153" s="231">
        <v>33</v>
      </c>
    </row>
    <row r="154" spans="1:10" x14ac:dyDescent="0.3">
      <c r="A154" s="72" t="s">
        <v>1494</v>
      </c>
      <c r="B154" s="73" t="s">
        <v>63</v>
      </c>
      <c r="C154" s="95" t="s">
        <v>1480</v>
      </c>
      <c r="D154" s="73" t="s">
        <v>2020</v>
      </c>
      <c r="E154" s="74" t="s">
        <v>1479</v>
      </c>
      <c r="F154" s="74" t="s">
        <v>1485</v>
      </c>
      <c r="G154" s="74" t="s">
        <v>2275</v>
      </c>
      <c r="H154" s="74"/>
      <c r="I154" s="74"/>
      <c r="J154" s="231"/>
    </row>
    <row r="155" spans="1:10" ht="15" thickBot="1" x14ac:dyDescent="0.35">
      <c r="A155" s="76"/>
      <c r="B155" s="77"/>
      <c r="C155" s="93"/>
      <c r="D155" s="77"/>
      <c r="E155" s="78" t="s">
        <v>1489</v>
      </c>
      <c r="F155" s="78" t="s">
        <v>2276</v>
      </c>
      <c r="G155" s="78" t="s">
        <v>621</v>
      </c>
      <c r="H155" s="78" t="s">
        <v>620</v>
      </c>
      <c r="I155" s="78">
        <v>81</v>
      </c>
      <c r="J155" s="232">
        <v>18</v>
      </c>
    </row>
    <row r="156" spans="1:10" ht="15" thickBot="1" x14ac:dyDescent="0.35">
      <c r="A156" s="81"/>
      <c r="B156" s="83"/>
      <c r="C156" s="96"/>
      <c r="D156" s="83"/>
      <c r="E156" s="82" t="s">
        <v>1493</v>
      </c>
      <c r="F156" s="82" t="s">
        <v>2276</v>
      </c>
      <c r="G156" s="82" t="s">
        <v>58</v>
      </c>
      <c r="H156" s="82" t="s">
        <v>57</v>
      </c>
      <c r="I156" s="82">
        <v>4</v>
      </c>
      <c r="J156" s="230"/>
    </row>
    <row r="157" spans="1:10" x14ac:dyDescent="0.3">
      <c r="A157" s="72" t="s">
        <v>1494</v>
      </c>
      <c r="B157" s="73" t="s">
        <v>114</v>
      </c>
      <c r="C157" s="95" t="s">
        <v>1480</v>
      </c>
      <c r="D157" s="73" t="s">
        <v>1878</v>
      </c>
      <c r="E157" s="74" t="s">
        <v>1479</v>
      </c>
      <c r="F157" s="74" t="s">
        <v>1485</v>
      </c>
      <c r="G157" s="74" t="s">
        <v>2275</v>
      </c>
      <c r="H157" s="74"/>
      <c r="I157" s="74"/>
      <c r="J157" s="231">
        <v>39</v>
      </c>
    </row>
    <row r="158" spans="1:10" x14ac:dyDescent="0.3">
      <c r="A158" s="76"/>
      <c r="B158" s="77"/>
      <c r="C158" s="93"/>
      <c r="D158" s="77"/>
      <c r="E158" s="78" t="s">
        <v>1489</v>
      </c>
      <c r="F158" s="78" t="s">
        <v>2276</v>
      </c>
      <c r="G158" s="78" t="s">
        <v>112</v>
      </c>
      <c r="H158" s="78" t="s">
        <v>111</v>
      </c>
      <c r="I158" s="78">
        <v>8</v>
      </c>
      <c r="J158" s="231">
        <v>67</v>
      </c>
    </row>
    <row r="159" spans="1:10" x14ac:dyDescent="0.3">
      <c r="A159" s="76"/>
      <c r="B159" s="77"/>
      <c r="C159" s="93"/>
      <c r="D159" s="77"/>
      <c r="E159" s="78" t="s">
        <v>1493</v>
      </c>
      <c r="F159" s="78" t="s">
        <v>2276</v>
      </c>
      <c r="G159" s="78" t="s">
        <v>409</v>
      </c>
      <c r="H159" s="78" t="s">
        <v>408</v>
      </c>
      <c r="I159" s="78">
        <v>50</v>
      </c>
      <c r="J159" s="231">
        <v>21</v>
      </c>
    </row>
    <row r="160" spans="1:10" x14ac:dyDescent="0.3">
      <c r="A160" s="76"/>
      <c r="B160" s="77"/>
      <c r="C160" s="93"/>
      <c r="D160" s="77"/>
      <c r="E160" s="78" t="s">
        <v>1496</v>
      </c>
      <c r="F160" s="78" t="s">
        <v>2276</v>
      </c>
      <c r="G160" s="78" t="s">
        <v>811</v>
      </c>
      <c r="H160" s="78" t="s">
        <v>810</v>
      </c>
      <c r="I160" s="78">
        <v>114</v>
      </c>
      <c r="J160" s="231">
        <v>5</v>
      </c>
    </row>
    <row r="161" spans="1:10" ht="15" thickBot="1" x14ac:dyDescent="0.35">
      <c r="A161" s="76"/>
      <c r="B161" s="77"/>
      <c r="C161" s="93"/>
      <c r="D161" s="77"/>
      <c r="E161" s="78" t="s">
        <v>1499</v>
      </c>
      <c r="F161" s="78" t="s">
        <v>2276</v>
      </c>
      <c r="G161" s="78" t="s">
        <v>437</v>
      </c>
      <c r="H161" s="78" t="s">
        <v>436</v>
      </c>
      <c r="I161" s="78">
        <v>53</v>
      </c>
      <c r="J161" s="232"/>
    </row>
    <row r="162" spans="1:10" ht="15" thickBot="1" x14ac:dyDescent="0.35">
      <c r="A162" s="81"/>
      <c r="B162" s="83"/>
      <c r="C162" s="96"/>
      <c r="D162" s="83"/>
      <c r="E162" s="82" t="s">
        <v>1502</v>
      </c>
      <c r="F162" s="82" t="s">
        <v>1508</v>
      </c>
      <c r="G162" s="82" t="s">
        <v>2284</v>
      </c>
      <c r="H162" s="82"/>
      <c r="I162" s="82"/>
      <c r="J162" s="230"/>
    </row>
    <row r="163" spans="1:10" x14ac:dyDescent="0.3">
      <c r="A163" s="72" t="s">
        <v>1494</v>
      </c>
      <c r="B163" s="73" t="s">
        <v>103</v>
      </c>
      <c r="C163" s="95" t="s">
        <v>1480</v>
      </c>
      <c r="D163" s="73" t="s">
        <v>1779</v>
      </c>
      <c r="E163" s="74" t="s">
        <v>1479</v>
      </c>
      <c r="F163" s="74" t="s">
        <v>1485</v>
      </c>
      <c r="G163" s="74" t="s">
        <v>2275</v>
      </c>
      <c r="H163" s="74"/>
      <c r="I163" s="74"/>
      <c r="J163" s="231"/>
    </row>
    <row r="164" spans="1:10" ht="15" thickBot="1" x14ac:dyDescent="0.35">
      <c r="A164" s="76"/>
      <c r="B164" s="77"/>
      <c r="C164" s="93"/>
      <c r="D164" s="77"/>
      <c r="E164" s="78" t="s">
        <v>1489</v>
      </c>
      <c r="F164" s="78" t="s">
        <v>2276</v>
      </c>
      <c r="G164" s="78" t="s">
        <v>806</v>
      </c>
      <c r="H164" s="78" t="s">
        <v>805</v>
      </c>
      <c r="I164" s="78">
        <v>113</v>
      </c>
      <c r="J164" s="232">
        <v>6</v>
      </c>
    </row>
    <row r="165" spans="1:10" x14ac:dyDescent="0.3">
      <c r="A165" s="76"/>
      <c r="B165" s="77"/>
      <c r="C165" s="93"/>
      <c r="D165" s="77"/>
      <c r="E165" s="78" t="s">
        <v>1493</v>
      </c>
      <c r="F165" s="78" t="s">
        <v>2276</v>
      </c>
      <c r="G165" s="78" t="s">
        <v>100</v>
      </c>
      <c r="H165" s="78" t="s">
        <v>99</v>
      </c>
      <c r="I165" s="78">
        <v>7</v>
      </c>
      <c r="J165" s="230"/>
    </row>
    <row r="166" spans="1:10" x14ac:dyDescent="0.3">
      <c r="A166" s="76"/>
      <c r="B166" s="77"/>
      <c r="C166" s="93"/>
      <c r="D166" s="77"/>
      <c r="E166" s="78" t="s">
        <v>1496</v>
      </c>
      <c r="F166" s="78" t="s">
        <v>2276</v>
      </c>
      <c r="G166" s="78" t="s">
        <v>403</v>
      </c>
      <c r="H166" s="78" t="s">
        <v>402</v>
      </c>
      <c r="I166" s="78">
        <v>49</v>
      </c>
      <c r="J166" s="231"/>
    </row>
    <row r="167" spans="1:10" ht="15" thickBot="1" x14ac:dyDescent="0.35">
      <c r="A167" s="76"/>
      <c r="B167" s="77"/>
      <c r="C167" s="93"/>
      <c r="D167" s="77"/>
      <c r="E167" s="78" t="s">
        <v>1499</v>
      </c>
      <c r="F167" s="78" t="s">
        <v>2276</v>
      </c>
      <c r="G167" s="78" t="s">
        <v>720</v>
      </c>
      <c r="H167" s="78" t="s">
        <v>719</v>
      </c>
      <c r="I167" s="78">
        <v>95</v>
      </c>
      <c r="J167" s="232">
        <v>5</v>
      </c>
    </row>
    <row r="168" spans="1:10" x14ac:dyDescent="0.3">
      <c r="A168" s="76"/>
      <c r="B168" s="77"/>
      <c r="C168" s="93"/>
      <c r="D168" s="77"/>
      <c r="E168" s="78" t="s">
        <v>1502</v>
      </c>
      <c r="F168" s="78" t="s">
        <v>2276</v>
      </c>
      <c r="G168" s="78" t="s">
        <v>1004</v>
      </c>
      <c r="H168" s="78" t="s">
        <v>1003</v>
      </c>
      <c r="I168" s="78">
        <v>147</v>
      </c>
      <c r="J168" s="230"/>
    </row>
    <row r="169" spans="1:10" ht="15" thickBot="1" x14ac:dyDescent="0.35">
      <c r="A169" s="81"/>
      <c r="B169" s="83"/>
      <c r="C169" s="96"/>
      <c r="D169" s="83"/>
      <c r="E169" s="82" t="s">
        <v>1504</v>
      </c>
      <c r="F169" s="82" t="s">
        <v>1508</v>
      </c>
      <c r="G169" s="82" t="s">
        <v>2285</v>
      </c>
      <c r="H169" s="82"/>
      <c r="I169" s="82"/>
      <c r="J169" s="231">
        <v>2</v>
      </c>
    </row>
    <row r="170" spans="1:10" x14ac:dyDescent="0.3">
      <c r="A170" s="72" t="s">
        <v>1494</v>
      </c>
      <c r="B170" s="73" t="s">
        <v>399</v>
      </c>
      <c r="C170" s="95" t="s">
        <v>1480</v>
      </c>
      <c r="D170" s="73" t="s">
        <v>1815</v>
      </c>
      <c r="E170" s="74" t="s">
        <v>1479</v>
      </c>
      <c r="F170" s="74" t="s">
        <v>1485</v>
      </c>
      <c r="G170" s="74" t="s">
        <v>2275</v>
      </c>
      <c r="H170" s="74"/>
      <c r="I170" s="74"/>
      <c r="J170" s="231">
        <v>50</v>
      </c>
    </row>
    <row r="171" spans="1:10" ht="15" thickBot="1" x14ac:dyDescent="0.35">
      <c r="A171" s="76"/>
      <c r="B171" s="77"/>
      <c r="C171" s="93"/>
      <c r="D171" s="77"/>
      <c r="E171" s="78" t="s">
        <v>1489</v>
      </c>
      <c r="F171" s="78" t="s">
        <v>2276</v>
      </c>
      <c r="G171" s="78" t="s">
        <v>396</v>
      </c>
      <c r="H171" s="78" t="s">
        <v>395</v>
      </c>
      <c r="I171" s="78">
        <v>48</v>
      </c>
      <c r="J171" s="232"/>
    </row>
    <row r="172" spans="1:10" x14ac:dyDescent="0.3">
      <c r="A172" s="76"/>
      <c r="B172" s="77"/>
      <c r="C172" s="93"/>
      <c r="D172" s="77"/>
      <c r="E172" s="78" t="s">
        <v>1493</v>
      </c>
      <c r="F172" s="78" t="s">
        <v>2276</v>
      </c>
      <c r="G172" s="78" t="s">
        <v>801</v>
      </c>
      <c r="H172" s="78" t="s">
        <v>800</v>
      </c>
      <c r="I172" s="78">
        <v>112</v>
      </c>
      <c r="J172" s="230"/>
    </row>
    <row r="173" spans="1:10" ht="15" thickBot="1" x14ac:dyDescent="0.35">
      <c r="A173" s="81"/>
      <c r="B173" s="83"/>
      <c r="C173" s="96"/>
      <c r="D173" s="83"/>
      <c r="E173" s="82" t="s">
        <v>1496</v>
      </c>
      <c r="F173" s="82" t="s">
        <v>1508</v>
      </c>
      <c r="G173" s="82" t="s">
        <v>2286</v>
      </c>
      <c r="H173" s="82"/>
      <c r="I173" s="82"/>
      <c r="J173" s="231">
        <v>49</v>
      </c>
    </row>
    <row r="174" spans="1:10" ht="15" thickBot="1" x14ac:dyDescent="0.35">
      <c r="A174" s="72" t="s">
        <v>1494</v>
      </c>
      <c r="B174" s="73" t="s">
        <v>392</v>
      </c>
      <c r="C174" s="95" t="s">
        <v>1480</v>
      </c>
      <c r="D174" s="73" t="s">
        <v>1822</v>
      </c>
      <c r="E174" s="74" t="s">
        <v>1479</v>
      </c>
      <c r="F174" s="74" t="s">
        <v>1485</v>
      </c>
      <c r="G174" s="74" t="s">
        <v>2275</v>
      </c>
      <c r="H174" s="74"/>
      <c r="I174" s="74"/>
      <c r="J174" s="232">
        <v>1</v>
      </c>
    </row>
    <row r="175" spans="1:10" x14ac:dyDescent="0.3">
      <c r="A175" s="76"/>
      <c r="B175" s="77"/>
      <c r="C175" s="93"/>
      <c r="D175" s="77"/>
      <c r="E175" s="78" t="s">
        <v>1489</v>
      </c>
      <c r="F175" s="78" t="s">
        <v>2276</v>
      </c>
      <c r="G175" s="78" t="s">
        <v>389</v>
      </c>
      <c r="H175" s="78" t="s">
        <v>388</v>
      </c>
      <c r="I175" s="78">
        <v>47</v>
      </c>
      <c r="J175" s="230"/>
    </row>
    <row r="176" spans="1:10" x14ac:dyDescent="0.3">
      <c r="A176" s="76"/>
      <c r="B176" s="77"/>
      <c r="C176" s="93"/>
      <c r="D176" s="77"/>
      <c r="E176" s="78" t="s">
        <v>1493</v>
      </c>
      <c r="F176" s="78" t="s">
        <v>2276</v>
      </c>
      <c r="G176" s="78" t="s">
        <v>788</v>
      </c>
      <c r="H176" s="78" t="s">
        <v>787</v>
      </c>
      <c r="I176" s="78">
        <v>110</v>
      </c>
      <c r="J176" s="231">
        <v>4</v>
      </c>
    </row>
    <row r="177" spans="1:10" ht="15" thickBot="1" x14ac:dyDescent="0.35">
      <c r="A177" s="81"/>
      <c r="B177" s="83"/>
      <c r="C177" s="96"/>
      <c r="D177" s="83"/>
      <c r="E177" s="82" t="s">
        <v>1496</v>
      </c>
      <c r="F177" s="82" t="s">
        <v>1508</v>
      </c>
      <c r="G177" s="82" t="s">
        <v>2287</v>
      </c>
      <c r="H177" s="82"/>
      <c r="I177" s="82"/>
      <c r="J177" s="231">
        <v>30</v>
      </c>
    </row>
    <row r="178" spans="1:10" x14ac:dyDescent="0.3">
      <c r="A178" s="72" t="s">
        <v>1494</v>
      </c>
      <c r="B178" s="73" t="s">
        <v>381</v>
      </c>
      <c r="C178" s="95" t="s">
        <v>1480</v>
      </c>
      <c r="D178" s="73" t="s">
        <v>1710</v>
      </c>
      <c r="E178" s="74" t="s">
        <v>1479</v>
      </c>
      <c r="F178" s="74" t="s">
        <v>1485</v>
      </c>
      <c r="G178" s="74" t="s">
        <v>2275</v>
      </c>
      <c r="H178" s="74"/>
      <c r="I178" s="74"/>
      <c r="J178" s="231">
        <v>66</v>
      </c>
    </row>
    <row r="179" spans="1:10" x14ac:dyDescent="0.3">
      <c r="A179" s="76"/>
      <c r="B179" s="77"/>
      <c r="C179" s="93"/>
      <c r="D179" s="77"/>
      <c r="E179" s="78" t="s">
        <v>1489</v>
      </c>
      <c r="F179" s="78" t="s">
        <v>2276</v>
      </c>
      <c r="G179" s="78" t="s">
        <v>378</v>
      </c>
      <c r="H179" s="78" t="s">
        <v>377</v>
      </c>
      <c r="I179" s="78">
        <v>46</v>
      </c>
      <c r="J179" s="231">
        <v>33</v>
      </c>
    </row>
    <row r="180" spans="1:10" ht="15" thickBot="1" x14ac:dyDescent="0.35">
      <c r="A180" s="76"/>
      <c r="B180" s="77"/>
      <c r="C180" s="93"/>
      <c r="D180" s="77"/>
      <c r="E180" s="78" t="s">
        <v>1493</v>
      </c>
      <c r="F180" s="78" t="s">
        <v>2276</v>
      </c>
      <c r="G180" s="78" t="s">
        <v>783</v>
      </c>
      <c r="H180" s="78" t="s">
        <v>782</v>
      </c>
      <c r="I180" s="78">
        <v>109</v>
      </c>
      <c r="J180" s="232"/>
    </row>
    <row r="181" spans="1:10" x14ac:dyDescent="0.3">
      <c r="A181" s="76"/>
      <c r="B181" s="77"/>
      <c r="C181" s="93"/>
      <c r="D181" s="77"/>
      <c r="E181" s="78" t="s">
        <v>1496</v>
      </c>
      <c r="F181" s="78" t="s">
        <v>1508</v>
      </c>
      <c r="G181" s="78" t="s">
        <v>2288</v>
      </c>
      <c r="H181" s="78"/>
      <c r="I181" s="78"/>
      <c r="J181" s="230"/>
    </row>
    <row r="182" spans="1:10" ht="15" thickBot="1" x14ac:dyDescent="0.35">
      <c r="A182" s="81"/>
      <c r="B182" s="83"/>
      <c r="C182" s="96"/>
      <c r="D182" s="83"/>
      <c r="E182" s="82" t="s">
        <v>1499</v>
      </c>
      <c r="F182" s="82" t="s">
        <v>2276</v>
      </c>
      <c r="G182" s="82" t="s">
        <v>699</v>
      </c>
      <c r="H182" s="82" t="s">
        <v>698</v>
      </c>
      <c r="I182" s="82">
        <v>92</v>
      </c>
      <c r="J182" s="231">
        <v>65</v>
      </c>
    </row>
    <row r="183" spans="1:10" x14ac:dyDescent="0.3">
      <c r="A183" s="72" t="s">
        <v>1494</v>
      </c>
      <c r="B183" s="73" t="s">
        <v>312</v>
      </c>
      <c r="C183" s="95" t="s">
        <v>1480</v>
      </c>
      <c r="D183" s="73" t="s">
        <v>1785</v>
      </c>
      <c r="E183" s="74" t="s">
        <v>1479</v>
      </c>
      <c r="F183" s="74" t="s">
        <v>1485</v>
      </c>
      <c r="G183" s="74" t="s">
        <v>2275</v>
      </c>
      <c r="H183" s="74"/>
      <c r="I183" s="74"/>
      <c r="J183" s="231">
        <v>3</v>
      </c>
    </row>
    <row r="184" spans="1:10" x14ac:dyDescent="0.3">
      <c r="A184" s="76"/>
      <c r="B184" s="77"/>
      <c r="C184" s="93"/>
      <c r="D184" s="77"/>
      <c r="E184" s="78" t="s">
        <v>1489</v>
      </c>
      <c r="F184" s="78" t="s">
        <v>2276</v>
      </c>
      <c r="G184" s="78" t="s">
        <v>309</v>
      </c>
      <c r="H184" s="78" t="s">
        <v>308</v>
      </c>
      <c r="I184" s="78">
        <v>36</v>
      </c>
      <c r="J184" s="231">
        <v>29</v>
      </c>
    </row>
    <row r="185" spans="1:10" x14ac:dyDescent="0.3">
      <c r="A185" s="76"/>
      <c r="B185" s="77"/>
      <c r="C185" s="93"/>
      <c r="D185" s="77"/>
      <c r="E185" s="78" t="s">
        <v>1493</v>
      </c>
      <c r="F185" s="78" t="s">
        <v>2276</v>
      </c>
      <c r="G185" s="78" t="s">
        <v>775</v>
      </c>
      <c r="H185" s="78" t="s">
        <v>774</v>
      </c>
      <c r="I185" s="78">
        <v>104</v>
      </c>
      <c r="J185" s="231">
        <v>54</v>
      </c>
    </row>
    <row r="186" spans="1:10" x14ac:dyDescent="0.3">
      <c r="A186" s="76"/>
      <c r="B186" s="77"/>
      <c r="C186" s="93"/>
      <c r="D186" s="77"/>
      <c r="E186" s="78" t="s">
        <v>1496</v>
      </c>
      <c r="F186" s="78" t="s">
        <v>2276</v>
      </c>
      <c r="G186" s="78" t="s">
        <v>713</v>
      </c>
      <c r="H186" s="78" t="s">
        <v>712</v>
      </c>
      <c r="I186" s="78">
        <v>94</v>
      </c>
      <c r="J186" s="231">
        <v>85</v>
      </c>
    </row>
    <row r="187" spans="1:10" ht="15" thickBot="1" x14ac:dyDescent="0.35">
      <c r="A187" s="81"/>
      <c r="B187" s="83"/>
      <c r="C187" s="96"/>
      <c r="D187" s="83"/>
      <c r="E187" s="82" t="s">
        <v>1499</v>
      </c>
      <c r="F187" s="82" t="s">
        <v>1508</v>
      </c>
      <c r="G187" s="82" t="s">
        <v>2289</v>
      </c>
      <c r="H187" s="82"/>
      <c r="I187" s="82"/>
      <c r="J187" s="232"/>
    </row>
    <row r="188" spans="1:10" x14ac:dyDescent="0.3">
      <c r="A188" s="72" t="s">
        <v>1494</v>
      </c>
      <c r="B188" s="73" t="s">
        <v>606</v>
      </c>
      <c r="C188" s="95" t="s">
        <v>1480</v>
      </c>
      <c r="D188" s="73" t="s">
        <v>1797</v>
      </c>
      <c r="E188" s="74" t="s">
        <v>1479</v>
      </c>
      <c r="F188" s="74" t="s">
        <v>1485</v>
      </c>
      <c r="G188" s="74" t="s">
        <v>2275</v>
      </c>
      <c r="H188" s="74"/>
      <c r="I188" s="74"/>
      <c r="J188" s="230"/>
    </row>
    <row r="189" spans="1:10" x14ac:dyDescent="0.3">
      <c r="A189" s="76"/>
      <c r="B189" s="77"/>
      <c r="C189" s="93"/>
      <c r="D189" s="77"/>
      <c r="E189" s="78" t="s">
        <v>1489</v>
      </c>
      <c r="F189" s="78" t="s">
        <v>2276</v>
      </c>
      <c r="G189" s="78" t="s">
        <v>604</v>
      </c>
      <c r="H189" s="78" t="s">
        <v>603</v>
      </c>
      <c r="I189" s="78">
        <v>79</v>
      </c>
      <c r="J189" s="231">
        <v>28</v>
      </c>
    </row>
    <row r="190" spans="1:10" x14ac:dyDescent="0.3">
      <c r="A190" s="76"/>
      <c r="B190" s="77"/>
      <c r="C190" s="93"/>
      <c r="D190" s="77"/>
      <c r="E190" s="78" t="s">
        <v>1493</v>
      </c>
      <c r="F190" s="78" t="s">
        <v>2276</v>
      </c>
      <c r="G190" s="78" t="s">
        <v>1088</v>
      </c>
      <c r="H190" s="78" t="s">
        <v>1087</v>
      </c>
      <c r="I190" s="78">
        <v>166</v>
      </c>
      <c r="J190" s="231">
        <v>64</v>
      </c>
    </row>
    <row r="191" spans="1:10" ht="15" thickBot="1" x14ac:dyDescent="0.35">
      <c r="A191" s="81"/>
      <c r="B191" s="83"/>
      <c r="C191" s="96"/>
      <c r="D191" s="83"/>
      <c r="E191" s="82" t="s">
        <v>1496</v>
      </c>
      <c r="F191" s="82" t="s">
        <v>2276</v>
      </c>
      <c r="G191" s="82" t="s">
        <v>1431</v>
      </c>
      <c r="H191" s="82" t="s">
        <v>1430</v>
      </c>
      <c r="I191" s="82"/>
      <c r="J191" s="232"/>
    </row>
    <row r="192" spans="1:10" x14ac:dyDescent="0.3">
      <c r="A192" s="72" t="s">
        <v>1494</v>
      </c>
      <c r="B192" s="73" t="s">
        <v>580</v>
      </c>
      <c r="C192" s="95" t="s">
        <v>1480</v>
      </c>
      <c r="D192" s="73" t="s">
        <v>1537</v>
      </c>
      <c r="E192" s="74" t="s">
        <v>1479</v>
      </c>
      <c r="F192" s="74" t="s">
        <v>1485</v>
      </c>
      <c r="G192" s="74" t="s">
        <v>2275</v>
      </c>
      <c r="H192" s="74"/>
      <c r="I192" s="74"/>
      <c r="J192" s="230"/>
    </row>
    <row r="193" spans="1:10" x14ac:dyDescent="0.3">
      <c r="A193" s="76"/>
      <c r="B193" s="77"/>
      <c r="C193" s="93"/>
      <c r="D193" s="77"/>
      <c r="E193" s="78" t="s">
        <v>1489</v>
      </c>
      <c r="F193" s="78" t="s">
        <v>2276</v>
      </c>
      <c r="G193" s="78" t="s">
        <v>933</v>
      </c>
      <c r="H193" s="78" t="s">
        <v>932</v>
      </c>
      <c r="I193" s="78">
        <v>135</v>
      </c>
      <c r="J193" s="231">
        <v>27</v>
      </c>
    </row>
    <row r="194" spans="1:10" x14ac:dyDescent="0.3">
      <c r="A194" s="76"/>
      <c r="B194" s="77"/>
      <c r="C194" s="93"/>
      <c r="D194" s="77"/>
      <c r="E194" s="78" t="s">
        <v>1493</v>
      </c>
      <c r="F194" s="78" t="s">
        <v>2276</v>
      </c>
      <c r="G194" s="78" t="s">
        <v>577</v>
      </c>
      <c r="H194" s="78" t="s">
        <v>576</v>
      </c>
      <c r="I194" s="78">
        <v>74</v>
      </c>
      <c r="J194" s="231">
        <v>63</v>
      </c>
    </row>
    <row r="195" spans="1:10" ht="15" thickBot="1" x14ac:dyDescent="0.35">
      <c r="A195" s="81"/>
      <c r="B195" s="83"/>
      <c r="C195" s="96"/>
      <c r="D195" s="83"/>
      <c r="E195" s="82" t="s">
        <v>1496</v>
      </c>
      <c r="F195" s="82" t="s">
        <v>1508</v>
      </c>
      <c r="G195" s="82" t="s">
        <v>2290</v>
      </c>
      <c r="H195" s="82"/>
      <c r="I195" s="82"/>
      <c r="J195" s="232"/>
    </row>
    <row r="196" spans="1:10" x14ac:dyDescent="0.3">
      <c r="A196" s="72" t="s">
        <v>1503</v>
      </c>
      <c r="B196" s="73" t="s">
        <v>25</v>
      </c>
      <c r="C196" s="95" t="s">
        <v>1480</v>
      </c>
      <c r="D196" s="73" t="s">
        <v>1520</v>
      </c>
      <c r="E196" s="74" t="s">
        <v>1479</v>
      </c>
      <c r="F196" s="74" t="s">
        <v>1485</v>
      </c>
      <c r="G196" s="74" t="s">
        <v>2275</v>
      </c>
      <c r="H196" s="74"/>
      <c r="I196" s="74"/>
      <c r="J196" s="230"/>
    </row>
    <row r="197" spans="1:10" x14ac:dyDescent="0.3">
      <c r="A197" s="76"/>
      <c r="B197" s="77"/>
      <c r="C197" s="93"/>
      <c r="D197" s="77"/>
      <c r="E197" s="78" t="s">
        <v>1489</v>
      </c>
      <c r="F197" s="78" t="s">
        <v>2276</v>
      </c>
      <c r="G197" s="78" t="s">
        <v>23</v>
      </c>
      <c r="H197" s="78" t="s">
        <v>22</v>
      </c>
      <c r="I197" s="78">
        <v>1</v>
      </c>
      <c r="J197" s="231">
        <v>26</v>
      </c>
    </row>
    <row r="198" spans="1:10" x14ac:dyDescent="0.3">
      <c r="A198" s="76"/>
      <c r="B198" s="77"/>
      <c r="C198" s="93"/>
      <c r="D198" s="77"/>
      <c r="E198" s="78" t="s">
        <v>1493</v>
      </c>
      <c r="F198" s="78" t="s">
        <v>2276</v>
      </c>
      <c r="G198" s="78" t="s">
        <v>1134</v>
      </c>
      <c r="H198" s="78" t="s">
        <v>1133</v>
      </c>
      <c r="I198" s="78"/>
      <c r="J198" s="231"/>
    </row>
    <row r="199" spans="1:10" x14ac:dyDescent="0.3">
      <c r="A199" s="76"/>
      <c r="B199" s="77"/>
      <c r="C199" s="93"/>
      <c r="D199" s="77"/>
      <c r="E199" s="78" t="s">
        <v>1496</v>
      </c>
      <c r="F199" s="78" t="s">
        <v>2276</v>
      </c>
      <c r="G199" s="78" t="s">
        <v>946</v>
      </c>
      <c r="H199" s="78" t="s">
        <v>945</v>
      </c>
      <c r="I199" s="78">
        <v>137</v>
      </c>
      <c r="J199" s="231"/>
    </row>
    <row r="200" spans="1:10" ht="15" thickBot="1" x14ac:dyDescent="0.35">
      <c r="A200" s="76"/>
      <c r="B200" s="77"/>
      <c r="C200" s="93"/>
      <c r="D200" s="77"/>
      <c r="E200" s="78" t="s">
        <v>1499</v>
      </c>
      <c r="F200" s="78" t="s">
        <v>2276</v>
      </c>
      <c r="G200" s="78" t="s">
        <v>672</v>
      </c>
      <c r="H200" s="78" t="s">
        <v>671</v>
      </c>
      <c r="I200" s="78">
        <v>88</v>
      </c>
      <c r="J200" s="232">
        <v>52</v>
      </c>
    </row>
    <row r="201" spans="1:10" x14ac:dyDescent="0.3">
      <c r="A201" s="76"/>
      <c r="B201" s="77"/>
      <c r="C201" s="93"/>
      <c r="D201" s="77"/>
      <c r="E201" s="78" t="s">
        <v>1502</v>
      </c>
      <c r="F201" s="78" t="s">
        <v>2276</v>
      </c>
      <c r="G201" s="78" t="s">
        <v>1222</v>
      </c>
      <c r="H201" s="78" t="s">
        <v>1221</v>
      </c>
      <c r="I201" s="78"/>
      <c r="J201" s="230"/>
    </row>
    <row r="202" spans="1:10" ht="15" thickBot="1" x14ac:dyDescent="0.35">
      <c r="A202" s="81"/>
      <c r="B202" s="83"/>
      <c r="C202" s="96"/>
      <c r="D202" s="83"/>
      <c r="E202" s="82" t="s">
        <v>1504</v>
      </c>
      <c r="F202" s="82" t="s">
        <v>2276</v>
      </c>
      <c r="G202" s="82" t="s">
        <v>699</v>
      </c>
      <c r="H202" s="82" t="s">
        <v>698</v>
      </c>
      <c r="I202" s="82">
        <v>92</v>
      </c>
      <c r="J202" s="231">
        <v>23</v>
      </c>
    </row>
    <row r="203" spans="1:10" x14ac:dyDescent="0.3">
      <c r="A203" s="72" t="s">
        <v>1503</v>
      </c>
      <c r="B203" s="73" t="s">
        <v>235</v>
      </c>
      <c r="C203" s="95" t="s">
        <v>1480</v>
      </c>
      <c r="D203" s="73" t="s">
        <v>1756</v>
      </c>
      <c r="E203" s="74" t="s">
        <v>1479</v>
      </c>
      <c r="F203" s="74" t="s">
        <v>1485</v>
      </c>
      <c r="G203" s="74" t="s">
        <v>2275</v>
      </c>
      <c r="H203" s="74"/>
      <c r="I203" s="74"/>
      <c r="J203" s="231"/>
    </row>
    <row r="204" spans="1:10" x14ac:dyDescent="0.3">
      <c r="A204" s="76"/>
      <c r="B204" s="77"/>
      <c r="C204" s="93"/>
      <c r="D204" s="77"/>
      <c r="E204" s="78" t="s">
        <v>1489</v>
      </c>
      <c r="F204" s="78" t="s">
        <v>2276</v>
      </c>
      <c r="G204" s="78" t="s">
        <v>745</v>
      </c>
      <c r="H204" s="78" t="s">
        <v>744</v>
      </c>
      <c r="I204" s="78">
        <v>99</v>
      </c>
      <c r="J204" s="231">
        <v>53</v>
      </c>
    </row>
    <row r="205" spans="1:10" ht="15" thickBot="1" x14ac:dyDescent="0.35">
      <c r="A205" s="76"/>
      <c r="B205" s="77"/>
      <c r="C205" s="93"/>
      <c r="D205" s="77"/>
      <c r="E205" s="78" t="s">
        <v>1493</v>
      </c>
      <c r="F205" s="78" t="s">
        <v>2276</v>
      </c>
      <c r="G205" s="78" t="s">
        <v>459</v>
      </c>
      <c r="H205" s="78" t="s">
        <v>458</v>
      </c>
      <c r="I205" s="78">
        <v>56</v>
      </c>
      <c r="J205" s="232"/>
    </row>
    <row r="206" spans="1:10" x14ac:dyDescent="0.3">
      <c r="A206" s="76"/>
      <c r="B206" s="77"/>
      <c r="C206" s="93"/>
      <c r="D206" s="77"/>
      <c r="E206" s="78" t="s">
        <v>1496</v>
      </c>
      <c r="F206" s="78" t="s">
        <v>2276</v>
      </c>
      <c r="G206" s="78" t="s">
        <v>233</v>
      </c>
      <c r="H206" s="78" t="s">
        <v>232</v>
      </c>
      <c r="I206" s="78">
        <v>28</v>
      </c>
      <c r="J206" s="230"/>
    </row>
    <row r="207" spans="1:10" x14ac:dyDescent="0.3">
      <c r="A207" s="76"/>
      <c r="B207" s="77"/>
      <c r="C207" s="93"/>
      <c r="D207" s="77"/>
      <c r="E207" s="78" t="s">
        <v>1499</v>
      </c>
      <c r="F207" s="78" t="s">
        <v>2276</v>
      </c>
      <c r="G207" s="78" t="s">
        <v>1262</v>
      </c>
      <c r="H207" s="78" t="s">
        <v>1261</v>
      </c>
      <c r="I207" s="78"/>
      <c r="J207" s="231">
        <v>48</v>
      </c>
    </row>
    <row r="208" spans="1:10" x14ac:dyDescent="0.3">
      <c r="A208" s="76"/>
      <c r="B208" s="77"/>
      <c r="C208" s="93"/>
      <c r="D208" s="77"/>
      <c r="E208" s="78" t="s">
        <v>1502</v>
      </c>
      <c r="F208" s="78" t="s">
        <v>1508</v>
      </c>
      <c r="G208" s="78" t="s">
        <v>2291</v>
      </c>
      <c r="H208" s="78"/>
      <c r="I208" s="78"/>
      <c r="J208" s="231">
        <v>96</v>
      </c>
    </row>
    <row r="209" spans="1:10" ht="15" thickBot="1" x14ac:dyDescent="0.35">
      <c r="A209" s="81"/>
      <c r="B209" s="83"/>
      <c r="C209" s="96"/>
      <c r="D209" s="83"/>
      <c r="E209" s="82" t="s">
        <v>1504</v>
      </c>
      <c r="F209" s="82" t="s">
        <v>2276</v>
      </c>
      <c r="G209" s="82" t="s">
        <v>396</v>
      </c>
      <c r="H209" s="82" t="s">
        <v>395</v>
      </c>
      <c r="I209" s="82">
        <v>48</v>
      </c>
      <c r="J209" s="232"/>
    </row>
    <row r="210" spans="1:10" x14ac:dyDescent="0.3">
      <c r="A210" s="72" t="s">
        <v>1503</v>
      </c>
      <c r="B210" s="73" t="s">
        <v>252</v>
      </c>
      <c r="C210" s="95" t="s">
        <v>1480</v>
      </c>
      <c r="D210" s="73" t="s">
        <v>1613</v>
      </c>
      <c r="E210" s="74" t="s">
        <v>1479</v>
      </c>
      <c r="F210" s="74" t="s">
        <v>1485</v>
      </c>
      <c r="G210" s="74" t="s">
        <v>2275</v>
      </c>
      <c r="H210" s="74"/>
      <c r="I210" s="74"/>
      <c r="J210" s="230"/>
    </row>
    <row r="211" spans="1:10" x14ac:dyDescent="0.3">
      <c r="A211" s="76"/>
      <c r="B211" s="77"/>
      <c r="C211" s="93"/>
      <c r="D211" s="77"/>
      <c r="E211" s="78" t="s">
        <v>1489</v>
      </c>
      <c r="F211" s="78" t="s">
        <v>2276</v>
      </c>
      <c r="G211" s="78" t="s">
        <v>752</v>
      </c>
      <c r="H211" s="78" t="s">
        <v>751</v>
      </c>
      <c r="I211" s="78">
        <v>100</v>
      </c>
      <c r="J211" s="231">
        <v>78</v>
      </c>
    </row>
    <row r="212" spans="1:10" x14ac:dyDescent="0.3">
      <c r="A212" s="76"/>
      <c r="B212" s="77"/>
      <c r="C212" s="93"/>
      <c r="D212" s="77"/>
      <c r="E212" s="78" t="s">
        <v>1493</v>
      </c>
      <c r="F212" s="78" t="s">
        <v>2276</v>
      </c>
      <c r="G212" s="78" t="s">
        <v>250</v>
      </c>
      <c r="H212" s="78" t="s">
        <v>249</v>
      </c>
      <c r="I212" s="78">
        <v>30</v>
      </c>
      <c r="J212" s="231">
        <v>47</v>
      </c>
    </row>
    <row r="213" spans="1:10" ht="15" thickBot="1" x14ac:dyDescent="0.35">
      <c r="A213" s="76"/>
      <c r="B213" s="77"/>
      <c r="C213" s="93"/>
      <c r="D213" s="77"/>
      <c r="E213" s="78" t="s">
        <v>1496</v>
      </c>
      <c r="F213" s="78" t="s">
        <v>2276</v>
      </c>
      <c r="G213" s="78" t="s">
        <v>1266</v>
      </c>
      <c r="H213" s="78" t="s">
        <v>1265</v>
      </c>
      <c r="I213" s="78"/>
      <c r="J213" s="232"/>
    </row>
    <row r="214" spans="1:10" x14ac:dyDescent="0.3">
      <c r="A214" s="76"/>
      <c r="B214" s="77"/>
      <c r="C214" s="93"/>
      <c r="D214" s="77"/>
      <c r="E214" s="78" t="s">
        <v>1499</v>
      </c>
      <c r="F214" s="78" t="s">
        <v>1508</v>
      </c>
      <c r="G214" s="78" t="s">
        <v>2292</v>
      </c>
      <c r="H214" s="78"/>
      <c r="I214" s="78"/>
      <c r="J214" s="230"/>
    </row>
    <row r="215" spans="1:10" ht="15" thickBot="1" x14ac:dyDescent="0.35">
      <c r="A215" s="81"/>
      <c r="B215" s="83"/>
      <c r="C215" s="96"/>
      <c r="D215" s="83"/>
      <c r="E215" s="82" t="s">
        <v>1502</v>
      </c>
      <c r="F215" s="82" t="s">
        <v>2276</v>
      </c>
      <c r="G215" s="82" t="s">
        <v>389</v>
      </c>
      <c r="H215" s="82" t="s">
        <v>388</v>
      </c>
      <c r="I215" s="82">
        <v>47</v>
      </c>
      <c r="J215" s="231"/>
    </row>
    <row r="216" spans="1:10" x14ac:dyDescent="0.3">
      <c r="A216" s="72" t="s">
        <v>1503</v>
      </c>
      <c r="B216" s="73" t="s">
        <v>273</v>
      </c>
      <c r="C216" s="95" t="s">
        <v>1480</v>
      </c>
      <c r="D216" s="73" t="s">
        <v>1625</v>
      </c>
      <c r="E216" s="74" t="s">
        <v>1479</v>
      </c>
      <c r="F216" s="74" t="s">
        <v>1485</v>
      </c>
      <c r="G216" s="74" t="s">
        <v>2275</v>
      </c>
      <c r="H216" s="74"/>
      <c r="I216" s="74"/>
      <c r="J216" s="231"/>
    </row>
    <row r="217" spans="1:10" x14ac:dyDescent="0.3">
      <c r="A217" s="76"/>
      <c r="B217" s="77"/>
      <c r="C217" s="93"/>
      <c r="D217" s="77"/>
      <c r="E217" s="78" t="s">
        <v>1489</v>
      </c>
      <c r="F217" s="78" t="s">
        <v>2276</v>
      </c>
      <c r="G217" s="78" t="s">
        <v>757</v>
      </c>
      <c r="H217" s="78" t="s">
        <v>756</v>
      </c>
      <c r="I217" s="78">
        <v>101</v>
      </c>
      <c r="J217" s="231">
        <v>79</v>
      </c>
    </row>
    <row r="218" spans="1:10" x14ac:dyDescent="0.3">
      <c r="A218" s="76"/>
      <c r="B218" s="77"/>
      <c r="C218" s="93"/>
      <c r="D218" s="77"/>
      <c r="E218" s="78" t="s">
        <v>1493</v>
      </c>
      <c r="F218" s="78" t="s">
        <v>2276</v>
      </c>
      <c r="G218" s="78" t="s">
        <v>1113</v>
      </c>
      <c r="H218" s="78" t="s">
        <v>1112</v>
      </c>
      <c r="I218" s="78">
        <v>172</v>
      </c>
      <c r="J218" s="231"/>
    </row>
    <row r="219" spans="1:10" x14ac:dyDescent="0.3">
      <c r="A219" s="76"/>
      <c r="B219" s="77"/>
      <c r="C219" s="93"/>
      <c r="D219" s="77"/>
      <c r="E219" s="78" t="s">
        <v>1496</v>
      </c>
      <c r="F219" s="78" t="s">
        <v>2276</v>
      </c>
      <c r="G219" s="78" t="s">
        <v>271</v>
      </c>
      <c r="H219" s="78" t="s">
        <v>270</v>
      </c>
      <c r="I219" s="78">
        <v>32</v>
      </c>
      <c r="J219" s="231"/>
    </row>
    <row r="220" spans="1:10" ht="15" thickBot="1" x14ac:dyDescent="0.35">
      <c r="A220" s="76"/>
      <c r="B220" s="77"/>
      <c r="C220" s="93"/>
      <c r="D220" s="77"/>
      <c r="E220" s="78" t="s">
        <v>1499</v>
      </c>
      <c r="F220" s="78" t="s">
        <v>2276</v>
      </c>
      <c r="G220" s="78" t="s">
        <v>1270</v>
      </c>
      <c r="H220" s="78" t="s">
        <v>1269</v>
      </c>
      <c r="I220" s="78"/>
      <c r="J220" s="232">
        <v>52</v>
      </c>
    </row>
    <row r="221" spans="1:10" x14ac:dyDescent="0.3">
      <c r="A221" s="76"/>
      <c r="B221" s="77"/>
      <c r="C221" s="93"/>
      <c r="D221" s="77"/>
      <c r="E221" s="78" t="s">
        <v>1502</v>
      </c>
      <c r="F221" s="78" t="s">
        <v>2276</v>
      </c>
      <c r="G221" s="78" t="s">
        <v>428</v>
      </c>
      <c r="H221" s="78" t="s">
        <v>427</v>
      </c>
      <c r="I221" s="78">
        <v>52</v>
      </c>
      <c r="J221" s="230"/>
    </row>
    <row r="222" spans="1:10" ht="15" thickBot="1" x14ac:dyDescent="0.35">
      <c r="A222" s="81"/>
      <c r="B222" s="83"/>
      <c r="C222" s="96"/>
      <c r="D222" s="83"/>
      <c r="E222" s="82" t="s">
        <v>1504</v>
      </c>
      <c r="F222" s="82" t="s">
        <v>1508</v>
      </c>
      <c r="G222" s="82" t="s">
        <v>2293</v>
      </c>
      <c r="H222" s="82"/>
      <c r="I222" s="82"/>
      <c r="J222" s="231"/>
    </row>
    <row r="223" spans="1:10" x14ac:dyDescent="0.3">
      <c r="A223" s="72" t="s">
        <v>1503</v>
      </c>
      <c r="B223" s="73" t="s">
        <v>279</v>
      </c>
      <c r="C223" s="95" t="s">
        <v>1480</v>
      </c>
      <c r="D223" s="73" t="s">
        <v>1602</v>
      </c>
      <c r="E223" s="74" t="s">
        <v>1479</v>
      </c>
      <c r="F223" s="74" t="s">
        <v>1485</v>
      </c>
      <c r="G223" s="74" t="s">
        <v>2275</v>
      </c>
      <c r="H223" s="74"/>
      <c r="I223" s="74"/>
      <c r="J223" s="231">
        <v>36</v>
      </c>
    </row>
    <row r="224" spans="1:10" x14ac:dyDescent="0.3">
      <c r="A224" s="76"/>
      <c r="B224" s="77"/>
      <c r="C224" s="93"/>
      <c r="D224" s="77"/>
      <c r="E224" s="78" t="s">
        <v>1489</v>
      </c>
      <c r="F224" s="78" t="s">
        <v>2276</v>
      </c>
      <c r="G224" s="78" t="s">
        <v>763</v>
      </c>
      <c r="H224" s="78" t="s">
        <v>762</v>
      </c>
      <c r="I224" s="78">
        <v>102</v>
      </c>
      <c r="J224" s="231"/>
    </row>
    <row r="225" spans="1:10" x14ac:dyDescent="0.3">
      <c r="A225" s="76"/>
      <c r="B225" s="77"/>
      <c r="C225" s="93"/>
      <c r="D225" s="77"/>
      <c r="E225" s="78" t="s">
        <v>1493</v>
      </c>
      <c r="F225" s="78" t="s">
        <v>2276</v>
      </c>
      <c r="G225" s="78" t="s">
        <v>277</v>
      </c>
      <c r="H225" s="78" t="s">
        <v>276</v>
      </c>
      <c r="I225" s="78">
        <v>33</v>
      </c>
      <c r="J225" s="231"/>
    </row>
    <row r="226" spans="1:10" x14ac:dyDescent="0.3">
      <c r="A226" s="76"/>
      <c r="B226" s="77"/>
      <c r="C226" s="93"/>
      <c r="D226" s="77"/>
      <c r="E226" s="78" t="s">
        <v>1496</v>
      </c>
      <c r="F226" s="78" t="s">
        <v>2276</v>
      </c>
      <c r="G226" s="78" t="s">
        <v>1275</v>
      </c>
      <c r="H226" s="78" t="s">
        <v>1274</v>
      </c>
      <c r="I226" s="78"/>
      <c r="J226" s="231"/>
    </row>
    <row r="227" spans="1:10" ht="15" thickBot="1" x14ac:dyDescent="0.35">
      <c r="A227" s="76"/>
      <c r="B227" s="77"/>
      <c r="C227" s="93"/>
      <c r="D227" s="77"/>
      <c r="E227" s="78" t="s">
        <v>1499</v>
      </c>
      <c r="F227" s="78" t="s">
        <v>1508</v>
      </c>
      <c r="G227" s="78" t="s">
        <v>2294</v>
      </c>
      <c r="H227" s="78"/>
      <c r="I227" s="78"/>
      <c r="J227" s="232">
        <v>28</v>
      </c>
    </row>
    <row r="228" spans="1:10" ht="15" thickBot="1" x14ac:dyDescent="0.35">
      <c r="A228" s="81"/>
      <c r="B228" s="83"/>
      <c r="C228" s="96"/>
      <c r="D228" s="83"/>
      <c r="E228" s="82" t="s">
        <v>1502</v>
      </c>
      <c r="F228" s="82" t="s">
        <v>2276</v>
      </c>
      <c r="G228" s="82" t="s">
        <v>309</v>
      </c>
      <c r="H228" s="82" t="s">
        <v>308</v>
      </c>
      <c r="I228" s="82">
        <v>36</v>
      </c>
      <c r="J228" s="230"/>
    </row>
    <row r="229" spans="1:10" x14ac:dyDescent="0.3">
      <c r="A229" s="72" t="s">
        <v>1503</v>
      </c>
      <c r="B229" s="73" t="s">
        <v>298</v>
      </c>
      <c r="C229" s="95" t="s">
        <v>1480</v>
      </c>
      <c r="D229" s="73" t="s">
        <v>1769</v>
      </c>
      <c r="E229" s="74" t="s">
        <v>1479</v>
      </c>
      <c r="F229" s="74" t="s">
        <v>1485</v>
      </c>
      <c r="G229" s="74" t="s">
        <v>2275</v>
      </c>
      <c r="H229" s="74"/>
      <c r="I229" s="74"/>
      <c r="J229" s="231">
        <v>57</v>
      </c>
    </row>
    <row r="230" spans="1:10" x14ac:dyDescent="0.3">
      <c r="A230" s="76"/>
      <c r="B230" s="77"/>
      <c r="C230" s="93"/>
      <c r="D230" s="77"/>
      <c r="E230" s="78" t="s">
        <v>1489</v>
      </c>
      <c r="F230" s="78" t="s">
        <v>2276</v>
      </c>
      <c r="G230" s="78" t="s">
        <v>768</v>
      </c>
      <c r="H230" s="78" t="s">
        <v>767</v>
      </c>
      <c r="I230" s="78">
        <v>103</v>
      </c>
      <c r="J230" s="231"/>
    </row>
    <row r="231" spans="1:10" x14ac:dyDescent="0.3">
      <c r="A231" s="76"/>
      <c r="B231" s="77"/>
      <c r="C231" s="93"/>
      <c r="D231" s="77"/>
      <c r="E231" s="78" t="s">
        <v>1493</v>
      </c>
      <c r="F231" s="78" t="s">
        <v>2276</v>
      </c>
      <c r="G231" s="78" t="s">
        <v>322</v>
      </c>
      <c r="H231" s="78" t="s">
        <v>321</v>
      </c>
      <c r="I231" s="78">
        <v>39</v>
      </c>
      <c r="J231" s="231"/>
    </row>
    <row r="232" spans="1:10" x14ac:dyDescent="0.3">
      <c r="A232" s="76"/>
      <c r="B232" s="77"/>
      <c r="C232" s="93"/>
      <c r="D232" s="77"/>
      <c r="E232" s="78" t="s">
        <v>1496</v>
      </c>
      <c r="F232" s="78" t="s">
        <v>2276</v>
      </c>
      <c r="G232" s="78" t="s">
        <v>1279</v>
      </c>
      <c r="H232" s="78" t="s">
        <v>1278</v>
      </c>
      <c r="I232" s="78"/>
      <c r="J232" s="231"/>
    </row>
    <row r="233" spans="1:10" ht="15" thickBot="1" x14ac:dyDescent="0.35">
      <c r="A233" s="76"/>
      <c r="B233" s="77"/>
      <c r="C233" s="93"/>
      <c r="D233" s="77"/>
      <c r="E233" s="78" t="s">
        <v>1499</v>
      </c>
      <c r="F233" s="78" t="s">
        <v>1508</v>
      </c>
      <c r="G233" s="78" t="s">
        <v>2295</v>
      </c>
      <c r="H233" s="78"/>
      <c r="I233" s="78"/>
      <c r="J233" s="232">
        <v>27</v>
      </c>
    </row>
    <row r="234" spans="1:10" x14ac:dyDescent="0.3">
      <c r="A234" s="76"/>
      <c r="B234" s="77"/>
      <c r="C234" s="93"/>
      <c r="D234" s="77"/>
      <c r="E234" s="78" t="s">
        <v>1502</v>
      </c>
      <c r="F234" s="78" t="s">
        <v>2276</v>
      </c>
      <c r="G234" s="78" t="s">
        <v>999</v>
      </c>
      <c r="H234" s="78" t="s">
        <v>998</v>
      </c>
      <c r="I234" s="78">
        <v>146</v>
      </c>
      <c r="J234" s="230"/>
    </row>
    <row r="235" spans="1:10" ht="15" thickBot="1" x14ac:dyDescent="0.35">
      <c r="A235" s="81"/>
      <c r="B235" s="83"/>
      <c r="C235" s="96"/>
      <c r="D235" s="83"/>
      <c r="E235" s="82" t="s">
        <v>1504</v>
      </c>
      <c r="F235" s="82" t="s">
        <v>2276</v>
      </c>
      <c r="G235" s="82" t="s">
        <v>295</v>
      </c>
      <c r="H235" s="82" t="s">
        <v>294</v>
      </c>
      <c r="I235" s="82">
        <v>35</v>
      </c>
      <c r="J235" s="231"/>
    </row>
    <row r="236" spans="1:10" x14ac:dyDescent="0.3">
      <c r="A236" s="72" t="s">
        <v>1503</v>
      </c>
      <c r="B236" s="73" t="s">
        <v>290</v>
      </c>
      <c r="C236" s="95" t="s">
        <v>1480</v>
      </c>
      <c r="D236" s="73" t="s">
        <v>1829</v>
      </c>
      <c r="E236" s="74" t="s">
        <v>1479</v>
      </c>
      <c r="F236" s="74" t="s">
        <v>1485</v>
      </c>
      <c r="G236" s="74" t="s">
        <v>2275</v>
      </c>
      <c r="H236" s="74"/>
      <c r="I236" s="74"/>
      <c r="J236" s="231">
        <v>100</v>
      </c>
    </row>
    <row r="237" spans="1:10" x14ac:dyDescent="0.3">
      <c r="A237" s="76"/>
      <c r="B237" s="77"/>
      <c r="C237" s="93"/>
      <c r="D237" s="77"/>
      <c r="E237" s="78" t="s">
        <v>1489</v>
      </c>
      <c r="F237" s="78" t="s">
        <v>2276</v>
      </c>
      <c r="G237" s="78" t="s">
        <v>1118</v>
      </c>
      <c r="H237" s="78" t="s">
        <v>1117</v>
      </c>
      <c r="I237" s="78"/>
      <c r="J237" s="231"/>
    </row>
    <row r="238" spans="1:10" x14ac:dyDescent="0.3">
      <c r="A238" s="76"/>
      <c r="B238" s="77"/>
      <c r="C238" s="93"/>
      <c r="D238" s="77"/>
      <c r="E238" s="78" t="s">
        <v>1493</v>
      </c>
      <c r="F238" s="78" t="s">
        <v>2276</v>
      </c>
      <c r="G238" s="78" t="s">
        <v>347</v>
      </c>
      <c r="H238" s="78" t="s">
        <v>346</v>
      </c>
      <c r="I238" s="78">
        <v>42</v>
      </c>
      <c r="J238" s="231"/>
    </row>
    <row r="239" spans="1:10" x14ac:dyDescent="0.3">
      <c r="A239" s="76"/>
      <c r="B239" s="77"/>
      <c r="C239" s="93"/>
      <c r="D239" s="77"/>
      <c r="E239" s="78" t="s">
        <v>1496</v>
      </c>
      <c r="F239" s="78" t="s">
        <v>2276</v>
      </c>
      <c r="G239" s="78" t="s">
        <v>354</v>
      </c>
      <c r="H239" s="78" t="s">
        <v>353</v>
      </c>
      <c r="I239" s="78">
        <v>43</v>
      </c>
      <c r="J239" s="231">
        <v>32</v>
      </c>
    </row>
    <row r="240" spans="1:10" ht="15" thickBot="1" x14ac:dyDescent="0.35">
      <c r="A240" s="76"/>
      <c r="B240" s="77"/>
      <c r="C240" s="93"/>
      <c r="D240" s="77"/>
      <c r="E240" s="78" t="s">
        <v>1499</v>
      </c>
      <c r="F240" s="78" t="s">
        <v>2276</v>
      </c>
      <c r="G240" s="78" t="s">
        <v>1283</v>
      </c>
      <c r="H240" s="78" t="s">
        <v>1282</v>
      </c>
      <c r="I240" s="78"/>
      <c r="J240" s="232"/>
    </row>
    <row r="241" spans="1:10" x14ac:dyDescent="0.3">
      <c r="A241" s="76"/>
      <c r="B241" s="77"/>
      <c r="C241" s="93"/>
      <c r="D241" s="77"/>
      <c r="E241" s="78" t="s">
        <v>1502</v>
      </c>
      <c r="F241" s="78" t="s">
        <v>1508</v>
      </c>
      <c r="G241" s="78" t="s">
        <v>2296</v>
      </c>
      <c r="H241" s="78"/>
      <c r="I241" s="78"/>
      <c r="J241" s="230"/>
    </row>
    <row r="242" spans="1:10" x14ac:dyDescent="0.3">
      <c r="A242" s="76"/>
      <c r="B242" s="77"/>
      <c r="C242" s="93"/>
      <c r="D242" s="77"/>
      <c r="E242" s="78" t="s">
        <v>1504</v>
      </c>
      <c r="F242" s="78" t="s">
        <v>2276</v>
      </c>
      <c r="G242" s="78" t="s">
        <v>922</v>
      </c>
      <c r="H242" s="78" t="s">
        <v>921</v>
      </c>
      <c r="I242" s="78">
        <v>133</v>
      </c>
      <c r="J242" s="231">
        <v>58</v>
      </c>
    </row>
    <row r="243" spans="1:10" ht="15" thickBot="1" x14ac:dyDescent="0.35">
      <c r="A243" s="81"/>
      <c r="B243" s="83"/>
      <c r="C243" s="96"/>
      <c r="D243" s="83"/>
      <c r="E243" s="82" t="s">
        <v>1507</v>
      </c>
      <c r="F243" s="82" t="s">
        <v>2276</v>
      </c>
      <c r="G243" s="82" t="s">
        <v>286</v>
      </c>
      <c r="H243" s="82" t="s">
        <v>285</v>
      </c>
      <c r="I243" s="82">
        <v>34</v>
      </c>
      <c r="J243" s="231"/>
    </row>
    <row r="244" spans="1:10" x14ac:dyDescent="0.3">
      <c r="A244" s="72" t="s">
        <v>1503</v>
      </c>
      <c r="B244" s="73" t="s">
        <v>28</v>
      </c>
      <c r="C244" s="95" t="s">
        <v>1480</v>
      </c>
      <c r="D244" s="73" t="s">
        <v>1714</v>
      </c>
      <c r="E244" s="74" t="s">
        <v>1479</v>
      </c>
      <c r="F244" s="74" t="s">
        <v>1485</v>
      </c>
      <c r="G244" s="74" t="s">
        <v>2275</v>
      </c>
      <c r="H244" s="74"/>
      <c r="I244" s="74"/>
      <c r="J244" s="231"/>
    </row>
    <row r="245" spans="1:10" x14ac:dyDescent="0.3">
      <c r="A245" s="76"/>
      <c r="B245" s="77"/>
      <c r="C245" s="93"/>
      <c r="D245" s="77"/>
      <c r="E245" s="78" t="s">
        <v>1489</v>
      </c>
      <c r="F245" s="78" t="s">
        <v>2276</v>
      </c>
      <c r="G245" s="78" t="s">
        <v>23</v>
      </c>
      <c r="H245" s="78" t="s">
        <v>22</v>
      </c>
      <c r="I245" s="78">
        <v>1</v>
      </c>
      <c r="J245" s="231"/>
    </row>
    <row r="246" spans="1:10" ht="15" thickBot="1" x14ac:dyDescent="0.35">
      <c r="A246" s="76"/>
      <c r="B246" s="77"/>
      <c r="C246" s="93"/>
      <c r="D246" s="77"/>
      <c r="E246" s="78" t="s">
        <v>1493</v>
      </c>
      <c r="F246" s="78" t="s">
        <v>2276</v>
      </c>
      <c r="G246" s="78" t="s">
        <v>1122</v>
      </c>
      <c r="H246" s="78" t="s">
        <v>1121</v>
      </c>
      <c r="I246" s="78"/>
      <c r="J246" s="232">
        <v>23</v>
      </c>
    </row>
    <row r="247" spans="1:10" x14ac:dyDescent="0.3">
      <c r="A247" s="76"/>
      <c r="B247" s="77"/>
      <c r="C247" s="93"/>
      <c r="D247" s="77"/>
      <c r="E247" s="78" t="s">
        <v>1496</v>
      </c>
      <c r="F247" s="78" t="s">
        <v>2276</v>
      </c>
      <c r="G247" s="78" t="s">
        <v>362</v>
      </c>
      <c r="H247" s="78" t="s">
        <v>361</v>
      </c>
      <c r="I247" s="78">
        <v>44</v>
      </c>
      <c r="J247" s="230"/>
    </row>
    <row r="248" spans="1:10" x14ac:dyDescent="0.3">
      <c r="A248" s="76"/>
      <c r="B248" s="77"/>
      <c r="C248" s="93"/>
      <c r="D248" s="77"/>
      <c r="E248" s="78" t="s">
        <v>1499</v>
      </c>
      <c r="F248" s="78" t="s">
        <v>2276</v>
      </c>
      <c r="G248" s="78" t="s">
        <v>1287</v>
      </c>
      <c r="H248" s="78" t="s">
        <v>1286</v>
      </c>
      <c r="I248" s="78"/>
      <c r="J248" s="231"/>
    </row>
    <row r="249" spans="1:10" ht="15" thickBot="1" x14ac:dyDescent="0.35">
      <c r="A249" s="81"/>
      <c r="B249" s="83"/>
      <c r="C249" s="96"/>
      <c r="D249" s="83"/>
      <c r="E249" s="82" t="s">
        <v>1502</v>
      </c>
      <c r="F249" s="82" t="s">
        <v>2276</v>
      </c>
      <c r="G249" s="82" t="s">
        <v>904</v>
      </c>
      <c r="H249" s="82" t="s">
        <v>903</v>
      </c>
      <c r="I249" s="82">
        <v>130</v>
      </c>
      <c r="J249" s="231"/>
    </row>
    <row r="250" spans="1:10" x14ac:dyDescent="0.3">
      <c r="A250" s="72" t="s">
        <v>1503</v>
      </c>
      <c r="B250" s="73" t="s">
        <v>371</v>
      </c>
      <c r="C250" s="95" t="s">
        <v>1480</v>
      </c>
      <c r="D250" s="73" t="s">
        <v>1844</v>
      </c>
      <c r="E250" s="74" t="s">
        <v>1479</v>
      </c>
      <c r="F250" s="74" t="s">
        <v>1485</v>
      </c>
      <c r="G250" s="74" t="s">
        <v>2275</v>
      </c>
      <c r="H250" s="74"/>
      <c r="I250" s="74"/>
      <c r="J250" s="231"/>
    </row>
    <row r="251" spans="1:10" x14ac:dyDescent="0.3">
      <c r="A251" s="76"/>
      <c r="B251" s="77"/>
      <c r="C251" s="93"/>
      <c r="D251" s="77"/>
      <c r="E251" s="78" t="s">
        <v>1489</v>
      </c>
      <c r="F251" s="78" t="s">
        <v>2276</v>
      </c>
      <c r="G251" s="78" t="s">
        <v>794</v>
      </c>
      <c r="H251" s="78" t="s">
        <v>793</v>
      </c>
      <c r="I251" s="78">
        <v>111</v>
      </c>
      <c r="J251" s="231"/>
    </row>
    <row r="252" spans="1:10" x14ac:dyDescent="0.3">
      <c r="A252" s="76"/>
      <c r="B252" s="77"/>
      <c r="C252" s="93"/>
      <c r="D252" s="77"/>
      <c r="E252" s="78" t="s">
        <v>1493</v>
      </c>
      <c r="F252" s="78" t="s">
        <v>2276</v>
      </c>
      <c r="G252" s="78" t="s">
        <v>369</v>
      </c>
      <c r="H252" s="78" t="s">
        <v>368</v>
      </c>
      <c r="I252" s="78">
        <v>45</v>
      </c>
      <c r="J252" s="231">
        <v>84</v>
      </c>
    </row>
    <row r="253" spans="1:10" ht="15" thickBot="1" x14ac:dyDescent="0.35">
      <c r="A253" s="76"/>
      <c r="B253" s="77"/>
      <c r="C253" s="93"/>
      <c r="D253" s="77"/>
      <c r="E253" s="78" t="s">
        <v>1496</v>
      </c>
      <c r="F253" s="78" t="s">
        <v>2276</v>
      </c>
      <c r="G253" s="78" t="s">
        <v>1291</v>
      </c>
      <c r="H253" s="78" t="s">
        <v>1290</v>
      </c>
      <c r="I253" s="78"/>
      <c r="J253" s="232">
        <v>22</v>
      </c>
    </row>
    <row r="254" spans="1:10" ht="15" thickBot="1" x14ac:dyDescent="0.35">
      <c r="A254" s="81"/>
      <c r="B254" s="83"/>
      <c r="C254" s="96"/>
      <c r="D254" s="83"/>
      <c r="E254" s="82" t="s">
        <v>1499</v>
      </c>
      <c r="F254" s="82" t="s">
        <v>2276</v>
      </c>
      <c r="G254" s="82" t="s">
        <v>898</v>
      </c>
      <c r="H254" s="82" t="s">
        <v>897</v>
      </c>
      <c r="I254" s="82">
        <v>129</v>
      </c>
      <c r="J254" s="230"/>
    </row>
    <row r="255" spans="1:10" x14ac:dyDescent="0.3">
      <c r="A255" s="72" t="s">
        <v>1503</v>
      </c>
      <c r="B255" s="73" t="s">
        <v>519</v>
      </c>
      <c r="C255" s="95" t="s">
        <v>1480</v>
      </c>
      <c r="D255" s="73" t="s">
        <v>1852</v>
      </c>
      <c r="E255" s="74" t="s">
        <v>1479</v>
      </c>
      <c r="F255" s="74" t="s">
        <v>1485</v>
      </c>
      <c r="G255" s="74" t="s">
        <v>2275</v>
      </c>
      <c r="H255" s="74"/>
      <c r="I255" s="74"/>
      <c r="J255" s="231"/>
    </row>
    <row r="256" spans="1:10" x14ac:dyDescent="0.3">
      <c r="A256" s="76"/>
      <c r="B256" s="77"/>
      <c r="C256" s="93"/>
      <c r="D256" s="77"/>
      <c r="E256" s="78" t="s">
        <v>1489</v>
      </c>
      <c r="F256" s="78" t="s">
        <v>2276</v>
      </c>
      <c r="G256" s="78" t="s">
        <v>817</v>
      </c>
      <c r="H256" s="78" t="s">
        <v>816</v>
      </c>
      <c r="I256" s="78">
        <v>115</v>
      </c>
      <c r="J256" s="231"/>
    </row>
    <row r="257" spans="1:10" x14ac:dyDescent="0.3">
      <c r="A257" s="76"/>
      <c r="B257" s="77"/>
      <c r="C257" s="93"/>
      <c r="D257" s="77"/>
      <c r="E257" s="78" t="s">
        <v>1493</v>
      </c>
      <c r="F257" s="78" t="s">
        <v>2276</v>
      </c>
      <c r="G257" s="78" t="s">
        <v>516</v>
      </c>
      <c r="H257" s="78" t="s">
        <v>515</v>
      </c>
      <c r="I257" s="78">
        <v>67</v>
      </c>
      <c r="J257" s="231"/>
    </row>
    <row r="258" spans="1:10" x14ac:dyDescent="0.3">
      <c r="A258" s="76"/>
      <c r="B258" s="77"/>
      <c r="C258" s="93"/>
      <c r="D258" s="77"/>
      <c r="E258" s="78" t="s">
        <v>1496</v>
      </c>
      <c r="F258" s="78" t="s">
        <v>2276</v>
      </c>
      <c r="G258" s="78" t="s">
        <v>1295</v>
      </c>
      <c r="H258" s="78" t="s">
        <v>1294</v>
      </c>
      <c r="I258" s="78"/>
      <c r="J258" s="231"/>
    </row>
    <row r="259" spans="1:10" ht="15" thickBot="1" x14ac:dyDescent="0.35">
      <c r="A259" s="81"/>
      <c r="B259" s="83"/>
      <c r="C259" s="96"/>
      <c r="D259" s="83"/>
      <c r="E259" s="82" t="s">
        <v>1499</v>
      </c>
      <c r="F259" s="82" t="s">
        <v>2276</v>
      </c>
      <c r="G259" s="82" t="s">
        <v>889</v>
      </c>
      <c r="H259" s="82" t="s">
        <v>888</v>
      </c>
      <c r="I259" s="82">
        <v>126</v>
      </c>
      <c r="J259" s="231"/>
    </row>
    <row r="260" spans="1:10" x14ac:dyDescent="0.3">
      <c r="A260" s="72" t="s">
        <v>1503</v>
      </c>
      <c r="B260" s="73" t="s">
        <v>537</v>
      </c>
      <c r="C260" s="95" t="s">
        <v>1480</v>
      </c>
      <c r="D260" s="73" t="s">
        <v>1553</v>
      </c>
      <c r="E260" s="74" t="s">
        <v>1479</v>
      </c>
      <c r="F260" s="74" t="s">
        <v>1485</v>
      </c>
      <c r="G260" s="74" t="s">
        <v>2275</v>
      </c>
      <c r="H260" s="74"/>
      <c r="I260" s="74"/>
      <c r="J260" s="231">
        <v>77</v>
      </c>
    </row>
    <row r="261" spans="1:10" ht="15" thickBot="1" x14ac:dyDescent="0.35">
      <c r="A261" s="76"/>
      <c r="B261" s="77"/>
      <c r="C261" s="93"/>
      <c r="D261" s="77"/>
      <c r="E261" s="78" t="s">
        <v>1489</v>
      </c>
      <c r="F261" s="78" t="s">
        <v>2276</v>
      </c>
      <c r="G261" s="78" t="s">
        <v>836</v>
      </c>
      <c r="H261" s="78" t="s">
        <v>835</v>
      </c>
      <c r="I261" s="78">
        <v>118</v>
      </c>
      <c r="J261" s="232">
        <v>21</v>
      </c>
    </row>
    <row r="262" spans="1:10" x14ac:dyDescent="0.3">
      <c r="A262" s="76"/>
      <c r="B262" s="77"/>
      <c r="C262" s="93"/>
      <c r="D262" s="77"/>
      <c r="E262" s="78" t="s">
        <v>1493</v>
      </c>
      <c r="F262" s="78" t="s">
        <v>2276</v>
      </c>
      <c r="G262" s="78" t="s">
        <v>534</v>
      </c>
      <c r="H262" s="78" t="s">
        <v>533</v>
      </c>
      <c r="I262" s="78">
        <v>69</v>
      </c>
      <c r="J262" s="230"/>
    </row>
    <row r="263" spans="1:10" x14ac:dyDescent="0.3">
      <c r="A263" s="76"/>
      <c r="B263" s="77"/>
      <c r="C263" s="93"/>
      <c r="D263" s="77"/>
      <c r="E263" s="78" t="s">
        <v>1496</v>
      </c>
      <c r="F263" s="78" t="s">
        <v>2276</v>
      </c>
      <c r="G263" s="78" t="s">
        <v>1299</v>
      </c>
      <c r="H263" s="78" t="s">
        <v>1298</v>
      </c>
      <c r="I263" s="78"/>
      <c r="J263" s="231"/>
    </row>
    <row r="264" spans="1:10" ht="15" thickBot="1" x14ac:dyDescent="0.35">
      <c r="A264" s="81"/>
      <c r="B264" s="83"/>
      <c r="C264" s="96"/>
      <c r="D264" s="83"/>
      <c r="E264" s="82" t="s">
        <v>1499</v>
      </c>
      <c r="F264" s="82" t="s">
        <v>2276</v>
      </c>
      <c r="G264" s="82" t="s">
        <v>877</v>
      </c>
      <c r="H264" s="82" t="s">
        <v>876</v>
      </c>
      <c r="I264" s="82">
        <v>124</v>
      </c>
      <c r="J264" s="231"/>
    </row>
    <row r="265" spans="1:10" x14ac:dyDescent="0.3">
      <c r="A265" s="72" t="s">
        <v>1503</v>
      </c>
      <c r="B265" s="73" t="s">
        <v>39</v>
      </c>
      <c r="C265" s="95" t="s">
        <v>1480</v>
      </c>
      <c r="D265" s="73" t="s">
        <v>1655</v>
      </c>
      <c r="E265" s="74" t="s">
        <v>1479</v>
      </c>
      <c r="F265" s="74" t="s">
        <v>1485</v>
      </c>
      <c r="G265" s="74" t="s">
        <v>2275</v>
      </c>
      <c r="H265" s="74"/>
      <c r="I265" s="74"/>
      <c r="J265" s="231"/>
    </row>
    <row r="266" spans="1:10" x14ac:dyDescent="0.3">
      <c r="A266" s="76"/>
      <c r="B266" s="77"/>
      <c r="C266" s="93"/>
      <c r="D266" s="77"/>
      <c r="E266" s="78" t="s">
        <v>1489</v>
      </c>
      <c r="F266" s="78" t="s">
        <v>2276</v>
      </c>
      <c r="G266" s="78" t="s">
        <v>37</v>
      </c>
      <c r="H266" s="78" t="s">
        <v>36</v>
      </c>
      <c r="I266" s="78">
        <v>2</v>
      </c>
      <c r="J266" s="231"/>
    </row>
    <row r="267" spans="1:10" ht="15" thickBot="1" x14ac:dyDescent="0.35">
      <c r="A267" s="76"/>
      <c r="B267" s="77"/>
      <c r="C267" s="93"/>
      <c r="D267" s="77"/>
      <c r="E267" s="78" t="s">
        <v>1493</v>
      </c>
      <c r="F267" s="78" t="s">
        <v>2276</v>
      </c>
      <c r="G267" s="78" t="s">
        <v>1018</v>
      </c>
      <c r="H267" s="78" t="s">
        <v>1017</v>
      </c>
      <c r="I267" s="78">
        <v>153</v>
      </c>
      <c r="J267" s="232">
        <v>76</v>
      </c>
    </row>
    <row r="268" spans="1:10" x14ac:dyDescent="0.3">
      <c r="A268" s="76"/>
      <c r="B268" s="77"/>
      <c r="C268" s="93"/>
      <c r="D268" s="77"/>
      <c r="E268" s="78" t="s">
        <v>1496</v>
      </c>
      <c r="F268" s="78" t="s">
        <v>2276</v>
      </c>
      <c r="G268" s="78" t="s">
        <v>1056</v>
      </c>
      <c r="H268" s="78" t="s">
        <v>1055</v>
      </c>
      <c r="I268" s="78">
        <v>160</v>
      </c>
      <c r="J268" s="230"/>
    </row>
    <row r="269" spans="1:10" x14ac:dyDescent="0.3">
      <c r="A269" s="76"/>
      <c r="B269" s="77"/>
      <c r="C269" s="93"/>
      <c r="D269" s="77"/>
      <c r="E269" s="78" t="s">
        <v>1499</v>
      </c>
      <c r="F269" s="78" t="s">
        <v>2276</v>
      </c>
      <c r="G269" s="78" t="s">
        <v>679</v>
      </c>
      <c r="H269" s="78" t="s">
        <v>678</v>
      </c>
      <c r="I269" s="78">
        <v>89</v>
      </c>
      <c r="J269" s="231"/>
    </row>
    <row r="270" spans="1:10" x14ac:dyDescent="0.3">
      <c r="A270" s="76"/>
      <c r="B270" s="77"/>
      <c r="C270" s="93"/>
      <c r="D270" s="77"/>
      <c r="E270" s="78" t="s">
        <v>1502</v>
      </c>
      <c r="F270" s="78" t="s">
        <v>2276</v>
      </c>
      <c r="G270" s="78" t="s">
        <v>1226</v>
      </c>
      <c r="H270" s="78" t="s">
        <v>1225</v>
      </c>
      <c r="I270" s="78"/>
      <c r="J270" s="231"/>
    </row>
    <row r="271" spans="1:10" x14ac:dyDescent="0.3">
      <c r="A271" s="76"/>
      <c r="B271" s="77"/>
      <c r="C271" s="93"/>
      <c r="D271" s="77"/>
      <c r="E271" s="78" t="s">
        <v>1504</v>
      </c>
      <c r="F271" s="78" t="s">
        <v>1508</v>
      </c>
      <c r="G271" s="78" t="s">
        <v>2297</v>
      </c>
      <c r="H271" s="78"/>
      <c r="I271" s="78"/>
      <c r="J271" s="231"/>
    </row>
    <row r="272" spans="1:10" ht="15" thickBot="1" x14ac:dyDescent="0.35">
      <c r="A272" s="81"/>
      <c r="B272" s="83"/>
      <c r="C272" s="96"/>
      <c r="D272" s="83"/>
      <c r="E272" s="82" t="s">
        <v>1507</v>
      </c>
      <c r="F272" s="82" t="s">
        <v>2276</v>
      </c>
      <c r="G272" s="82" t="s">
        <v>685</v>
      </c>
      <c r="H272" s="82" t="s">
        <v>684</v>
      </c>
      <c r="I272" s="82">
        <v>90</v>
      </c>
      <c r="J272" s="232">
        <v>75</v>
      </c>
    </row>
    <row r="273" spans="1:10" x14ac:dyDescent="0.3">
      <c r="A273" s="72" t="s">
        <v>1503</v>
      </c>
      <c r="B273" s="73" t="s">
        <v>548</v>
      </c>
      <c r="C273" s="95" t="s">
        <v>1480</v>
      </c>
      <c r="D273" s="73" t="s">
        <v>1567</v>
      </c>
      <c r="E273" s="74" t="s">
        <v>1479</v>
      </c>
      <c r="F273" s="74" t="s">
        <v>1485</v>
      </c>
      <c r="G273" s="74" t="s">
        <v>2275</v>
      </c>
      <c r="H273" s="74"/>
      <c r="I273" s="74"/>
      <c r="J273" s="230"/>
    </row>
    <row r="274" spans="1:10" x14ac:dyDescent="0.3">
      <c r="A274" s="76"/>
      <c r="B274" s="77"/>
      <c r="C274" s="93"/>
      <c r="D274" s="77"/>
      <c r="E274" s="78" t="s">
        <v>1489</v>
      </c>
      <c r="F274" s="78" t="s">
        <v>2276</v>
      </c>
      <c r="G274" s="78" t="s">
        <v>863</v>
      </c>
      <c r="H274" s="78" t="s">
        <v>862</v>
      </c>
      <c r="I274" s="78">
        <v>122</v>
      </c>
      <c r="J274" s="231"/>
    </row>
    <row r="275" spans="1:10" x14ac:dyDescent="0.3">
      <c r="A275" s="76"/>
      <c r="B275" s="77"/>
      <c r="C275" s="93"/>
      <c r="D275" s="77"/>
      <c r="E275" s="78" t="s">
        <v>1493</v>
      </c>
      <c r="F275" s="78" t="s">
        <v>2276</v>
      </c>
      <c r="G275" s="78" t="s">
        <v>545</v>
      </c>
      <c r="H275" s="78" t="s">
        <v>544</v>
      </c>
      <c r="I275" s="78">
        <v>70</v>
      </c>
      <c r="J275" s="231"/>
    </row>
    <row r="276" spans="1:10" x14ac:dyDescent="0.3">
      <c r="A276" s="76"/>
      <c r="B276" s="77"/>
      <c r="C276" s="93"/>
      <c r="D276" s="77"/>
      <c r="E276" s="78" t="s">
        <v>1496</v>
      </c>
      <c r="F276" s="78" t="s">
        <v>2276</v>
      </c>
      <c r="G276" s="78" t="s">
        <v>1303</v>
      </c>
      <c r="H276" s="78" t="s">
        <v>1302</v>
      </c>
      <c r="I276" s="78"/>
      <c r="J276" s="231"/>
    </row>
    <row r="277" spans="1:10" ht="15" thickBot="1" x14ac:dyDescent="0.35">
      <c r="A277" s="81"/>
      <c r="B277" s="83"/>
      <c r="C277" s="96"/>
      <c r="D277" s="83"/>
      <c r="E277" s="82" t="s">
        <v>1499</v>
      </c>
      <c r="F277" s="82" t="s">
        <v>2276</v>
      </c>
      <c r="G277" s="82" t="s">
        <v>871</v>
      </c>
      <c r="H277" s="82" t="s">
        <v>870</v>
      </c>
      <c r="I277" s="82">
        <v>123</v>
      </c>
      <c r="J277" s="232">
        <v>74</v>
      </c>
    </row>
    <row r="278" spans="1:10" x14ac:dyDescent="0.3">
      <c r="A278" s="72" t="s">
        <v>1503</v>
      </c>
      <c r="B278" s="73" t="s">
        <v>565</v>
      </c>
      <c r="C278" s="95" t="s">
        <v>1480</v>
      </c>
      <c r="D278" s="73" t="s">
        <v>1925</v>
      </c>
      <c r="E278" s="74" t="s">
        <v>1479</v>
      </c>
      <c r="F278" s="74" t="s">
        <v>1485</v>
      </c>
      <c r="G278" s="74" t="s">
        <v>2275</v>
      </c>
      <c r="H278" s="74"/>
      <c r="I278" s="74"/>
      <c r="J278" s="230"/>
    </row>
    <row r="279" spans="1:10" x14ac:dyDescent="0.3">
      <c r="A279" s="76"/>
      <c r="B279" s="77"/>
      <c r="C279" s="93"/>
      <c r="D279" s="77"/>
      <c r="E279" s="78" t="s">
        <v>1489</v>
      </c>
      <c r="F279" s="78" t="s">
        <v>2276</v>
      </c>
      <c r="G279" s="78" t="s">
        <v>882</v>
      </c>
      <c r="H279" s="78" t="s">
        <v>881</v>
      </c>
      <c r="I279" s="78">
        <v>125</v>
      </c>
      <c r="J279" s="231"/>
    </row>
    <row r="280" spans="1:10" x14ac:dyDescent="0.3">
      <c r="A280" s="76"/>
      <c r="B280" s="77"/>
      <c r="C280" s="93"/>
      <c r="D280" s="77"/>
      <c r="E280" s="78" t="s">
        <v>1493</v>
      </c>
      <c r="F280" s="78" t="s">
        <v>2276</v>
      </c>
      <c r="G280" s="78" t="s">
        <v>562</v>
      </c>
      <c r="H280" s="78" t="s">
        <v>561</v>
      </c>
      <c r="I280" s="78">
        <v>72</v>
      </c>
      <c r="J280" s="231"/>
    </row>
    <row r="281" spans="1:10" x14ac:dyDescent="0.3">
      <c r="A281" s="76"/>
      <c r="B281" s="77"/>
      <c r="C281" s="93"/>
      <c r="D281" s="77"/>
      <c r="E281" s="78" t="s">
        <v>1496</v>
      </c>
      <c r="F281" s="78" t="s">
        <v>2276</v>
      </c>
      <c r="G281" s="78" t="s">
        <v>1307</v>
      </c>
      <c r="H281" s="78" t="s">
        <v>1306</v>
      </c>
      <c r="I281" s="78"/>
      <c r="J281" s="231"/>
    </row>
    <row r="282" spans="1:10" ht="15" thickBot="1" x14ac:dyDescent="0.35">
      <c r="A282" s="81"/>
      <c r="B282" s="83"/>
      <c r="C282" s="96"/>
      <c r="D282" s="83"/>
      <c r="E282" s="82" t="s">
        <v>1499</v>
      </c>
      <c r="F282" s="82" t="s">
        <v>2276</v>
      </c>
      <c r="G282" s="82" t="s">
        <v>856</v>
      </c>
      <c r="H282" s="82" t="s">
        <v>855</v>
      </c>
      <c r="I282" s="82">
        <v>121</v>
      </c>
      <c r="J282" s="232">
        <v>73</v>
      </c>
    </row>
    <row r="283" spans="1:10" x14ac:dyDescent="0.3">
      <c r="A283" s="72" t="s">
        <v>1503</v>
      </c>
      <c r="B283" s="73" t="s">
        <v>571</v>
      </c>
      <c r="C283" s="95" t="s">
        <v>1480</v>
      </c>
      <c r="D283" s="73" t="s">
        <v>1929</v>
      </c>
      <c r="E283" s="74" t="s">
        <v>1479</v>
      </c>
      <c r="F283" s="74" t="s">
        <v>1485</v>
      </c>
      <c r="G283" s="74" t="s">
        <v>2275</v>
      </c>
      <c r="H283" s="74"/>
      <c r="I283" s="74"/>
      <c r="J283" s="230"/>
    </row>
    <row r="284" spans="1:10" x14ac:dyDescent="0.3">
      <c r="A284" s="76"/>
      <c r="B284" s="77"/>
      <c r="C284" s="93"/>
      <c r="D284" s="77"/>
      <c r="E284" s="78" t="s">
        <v>1489</v>
      </c>
      <c r="F284" s="78" t="s">
        <v>2276</v>
      </c>
      <c r="G284" s="78" t="s">
        <v>1126</v>
      </c>
      <c r="H284" s="78" t="s">
        <v>1125</v>
      </c>
      <c r="I284" s="78"/>
      <c r="J284" s="231"/>
    </row>
    <row r="285" spans="1:10" x14ac:dyDescent="0.3">
      <c r="A285" s="76"/>
      <c r="B285" s="77"/>
      <c r="C285" s="93"/>
      <c r="D285" s="77"/>
      <c r="E285" s="78" t="s">
        <v>1493</v>
      </c>
      <c r="F285" s="78" t="s">
        <v>2276</v>
      </c>
      <c r="G285" s="78" t="s">
        <v>569</v>
      </c>
      <c r="H285" s="78" t="s">
        <v>568</v>
      </c>
      <c r="I285" s="78">
        <v>73</v>
      </c>
      <c r="J285" s="231"/>
    </row>
    <row r="286" spans="1:10" x14ac:dyDescent="0.3">
      <c r="A286" s="76"/>
      <c r="B286" s="77"/>
      <c r="C286" s="93"/>
      <c r="D286" s="77"/>
      <c r="E286" s="78" t="s">
        <v>1496</v>
      </c>
      <c r="F286" s="78" t="s">
        <v>2276</v>
      </c>
      <c r="G286" s="78" t="s">
        <v>1311</v>
      </c>
      <c r="H286" s="78" t="s">
        <v>1310</v>
      </c>
      <c r="I286" s="78"/>
      <c r="J286" s="231">
        <v>91</v>
      </c>
    </row>
    <row r="287" spans="1:10" ht="15" thickBot="1" x14ac:dyDescent="0.35">
      <c r="A287" s="81"/>
      <c r="B287" s="83"/>
      <c r="C287" s="96"/>
      <c r="D287" s="83"/>
      <c r="E287" s="82" t="s">
        <v>1499</v>
      </c>
      <c r="F287" s="82" t="s">
        <v>2276</v>
      </c>
      <c r="G287" s="82" t="s">
        <v>849</v>
      </c>
      <c r="H287" s="82" t="s">
        <v>848</v>
      </c>
      <c r="I287" s="82">
        <v>120</v>
      </c>
      <c r="J287" s="231"/>
    </row>
    <row r="288" spans="1:10" x14ac:dyDescent="0.3">
      <c r="A288" s="72" t="s">
        <v>1503</v>
      </c>
      <c r="B288" s="73" t="s">
        <v>591</v>
      </c>
      <c r="C288" s="95" t="s">
        <v>1480</v>
      </c>
      <c r="D288" s="73" t="s">
        <v>1934</v>
      </c>
      <c r="E288" s="74" t="s">
        <v>1479</v>
      </c>
      <c r="F288" s="74" t="s">
        <v>1485</v>
      </c>
      <c r="G288" s="74" t="s">
        <v>2275</v>
      </c>
      <c r="H288" s="74"/>
      <c r="I288" s="74"/>
      <c r="J288" s="231"/>
    </row>
    <row r="289" spans="1:10" x14ac:dyDescent="0.3">
      <c r="A289" s="76"/>
      <c r="B289" s="77"/>
      <c r="C289" s="93"/>
      <c r="D289" s="77"/>
      <c r="E289" s="78" t="s">
        <v>1489</v>
      </c>
      <c r="F289" s="78" t="s">
        <v>2276</v>
      </c>
      <c r="G289" s="78" t="s">
        <v>909</v>
      </c>
      <c r="H289" s="78" t="s">
        <v>908</v>
      </c>
      <c r="I289" s="78">
        <v>131</v>
      </c>
      <c r="J289" s="231"/>
    </row>
    <row r="290" spans="1:10" ht="15" thickBot="1" x14ac:dyDescent="0.35">
      <c r="A290" s="76"/>
      <c r="B290" s="77"/>
      <c r="C290" s="93"/>
      <c r="D290" s="77"/>
      <c r="E290" s="78" t="s">
        <v>1493</v>
      </c>
      <c r="F290" s="78" t="s">
        <v>2276</v>
      </c>
      <c r="G290" s="78" t="s">
        <v>589</v>
      </c>
      <c r="H290" s="78" t="s">
        <v>588</v>
      </c>
      <c r="I290" s="78">
        <v>75</v>
      </c>
      <c r="J290" s="232">
        <v>51</v>
      </c>
    </row>
    <row r="291" spans="1:10" x14ac:dyDescent="0.3">
      <c r="A291" s="76"/>
      <c r="B291" s="77"/>
      <c r="C291" s="93"/>
      <c r="D291" s="77"/>
      <c r="E291" s="78" t="s">
        <v>1496</v>
      </c>
      <c r="F291" s="78" t="s">
        <v>2276</v>
      </c>
      <c r="G291" s="78" t="s">
        <v>1315</v>
      </c>
      <c r="H291" s="78" t="s">
        <v>1314</v>
      </c>
      <c r="I291" s="78"/>
      <c r="J291" s="230"/>
    </row>
    <row r="292" spans="1:10" ht="15" thickBot="1" x14ac:dyDescent="0.35">
      <c r="A292" s="81"/>
      <c r="B292" s="83"/>
      <c r="C292" s="96"/>
      <c r="D292" s="83"/>
      <c r="E292" s="82" t="s">
        <v>1499</v>
      </c>
      <c r="F292" s="82" t="s">
        <v>2276</v>
      </c>
      <c r="G292" s="82" t="s">
        <v>843</v>
      </c>
      <c r="H292" s="82" t="s">
        <v>842</v>
      </c>
      <c r="I292" s="82">
        <v>119</v>
      </c>
      <c r="J292" s="231"/>
    </row>
    <row r="293" spans="1:10" x14ac:dyDescent="0.3">
      <c r="A293" s="72" t="s">
        <v>1503</v>
      </c>
      <c r="B293" s="73" t="s">
        <v>50</v>
      </c>
      <c r="C293" s="95" t="s">
        <v>1480</v>
      </c>
      <c r="D293" s="73" t="s">
        <v>1665</v>
      </c>
      <c r="E293" s="74" t="s">
        <v>1479</v>
      </c>
      <c r="F293" s="74" t="s">
        <v>1485</v>
      </c>
      <c r="G293" s="74" t="s">
        <v>2275</v>
      </c>
      <c r="H293" s="74"/>
      <c r="I293" s="74"/>
      <c r="J293" s="231"/>
    </row>
    <row r="294" spans="1:10" x14ac:dyDescent="0.3">
      <c r="A294" s="76"/>
      <c r="B294" s="77"/>
      <c r="C294" s="93"/>
      <c r="D294" s="77"/>
      <c r="E294" s="78" t="s">
        <v>1489</v>
      </c>
      <c r="F294" s="78" t="s">
        <v>2276</v>
      </c>
      <c r="G294" s="78" t="s">
        <v>636</v>
      </c>
      <c r="H294" s="78" t="s">
        <v>635</v>
      </c>
      <c r="I294" s="78">
        <v>83</v>
      </c>
      <c r="J294" s="231"/>
    </row>
    <row r="295" spans="1:10" ht="15" thickBot="1" x14ac:dyDescent="0.35">
      <c r="A295" s="76"/>
      <c r="B295" s="77"/>
      <c r="C295" s="93"/>
      <c r="D295" s="77"/>
      <c r="E295" s="78" t="s">
        <v>1493</v>
      </c>
      <c r="F295" s="78" t="s">
        <v>2276</v>
      </c>
      <c r="G295" s="78" t="s">
        <v>48</v>
      </c>
      <c r="H295" s="78" t="s">
        <v>47</v>
      </c>
      <c r="I295" s="78">
        <v>3</v>
      </c>
      <c r="J295" s="232">
        <v>72</v>
      </c>
    </row>
    <row r="296" spans="1:10" x14ac:dyDescent="0.3">
      <c r="A296" s="76"/>
      <c r="B296" s="77"/>
      <c r="C296" s="93"/>
      <c r="D296" s="77"/>
      <c r="E296" s="78" t="s">
        <v>1496</v>
      </c>
      <c r="F296" s="78" t="s">
        <v>2276</v>
      </c>
      <c r="G296" s="78" t="s">
        <v>1023</v>
      </c>
      <c r="H296" s="78" t="s">
        <v>1022</v>
      </c>
      <c r="I296" s="78">
        <v>154</v>
      </c>
      <c r="J296" s="230"/>
    </row>
    <row r="297" spans="1:10" x14ac:dyDescent="0.3">
      <c r="A297" s="76"/>
      <c r="B297" s="77"/>
      <c r="C297" s="93"/>
      <c r="D297" s="77"/>
      <c r="E297" s="78" t="s">
        <v>1499</v>
      </c>
      <c r="F297" s="78" t="s">
        <v>2276</v>
      </c>
      <c r="G297" s="78" t="s">
        <v>1049</v>
      </c>
      <c r="H297" s="78" t="s">
        <v>1048</v>
      </c>
      <c r="I297" s="78">
        <v>159</v>
      </c>
      <c r="J297" s="231"/>
    </row>
    <row r="298" spans="1:10" x14ac:dyDescent="0.3">
      <c r="A298" s="76"/>
      <c r="B298" s="77"/>
      <c r="C298" s="93"/>
      <c r="D298" s="77"/>
      <c r="E298" s="78" t="s">
        <v>1502</v>
      </c>
      <c r="F298" s="78" t="s">
        <v>2276</v>
      </c>
      <c r="G298" s="78" t="s">
        <v>1230</v>
      </c>
      <c r="H298" s="78" t="s">
        <v>1229</v>
      </c>
      <c r="I298" s="78"/>
      <c r="J298" s="231"/>
    </row>
    <row r="299" spans="1:10" ht="15" thickBot="1" x14ac:dyDescent="0.35">
      <c r="A299" s="81"/>
      <c r="B299" s="83"/>
      <c r="C299" s="96"/>
      <c r="D299" s="83"/>
      <c r="E299" s="82" t="s">
        <v>1504</v>
      </c>
      <c r="F299" s="82" t="s">
        <v>1508</v>
      </c>
      <c r="G299" s="82" t="s">
        <v>2298</v>
      </c>
      <c r="H299" s="82"/>
      <c r="I299" s="82"/>
      <c r="J299" s="231"/>
    </row>
    <row r="300" spans="1:10" ht="15" thickBot="1" x14ac:dyDescent="0.35">
      <c r="A300" s="72" t="s">
        <v>1503</v>
      </c>
      <c r="B300" s="73" t="s">
        <v>91</v>
      </c>
      <c r="C300" s="95" t="s">
        <v>1480</v>
      </c>
      <c r="D300" s="73" t="s">
        <v>1675</v>
      </c>
      <c r="E300" s="74" t="s">
        <v>1479</v>
      </c>
      <c r="F300" s="74" t="s">
        <v>1485</v>
      </c>
      <c r="G300" s="74" t="s">
        <v>2275</v>
      </c>
      <c r="H300" s="74"/>
      <c r="I300" s="74"/>
      <c r="J300" s="232">
        <v>71</v>
      </c>
    </row>
    <row r="301" spans="1:10" x14ac:dyDescent="0.3">
      <c r="A301" s="76"/>
      <c r="B301" s="77"/>
      <c r="C301" s="93"/>
      <c r="D301" s="77"/>
      <c r="E301" s="78" t="s">
        <v>1489</v>
      </c>
      <c r="F301" s="78" t="s">
        <v>2276</v>
      </c>
      <c r="G301" s="78" t="s">
        <v>88</v>
      </c>
      <c r="H301" s="78" t="s">
        <v>87</v>
      </c>
      <c r="I301" s="78">
        <v>6</v>
      </c>
      <c r="J301" s="230"/>
    </row>
    <row r="302" spans="1:10" x14ac:dyDescent="0.3">
      <c r="A302" s="76"/>
      <c r="B302" s="77"/>
      <c r="C302" s="93"/>
      <c r="D302" s="77"/>
      <c r="E302" s="78" t="s">
        <v>1493</v>
      </c>
      <c r="F302" s="78" t="s">
        <v>2276</v>
      </c>
      <c r="G302" s="78" t="s">
        <v>1034</v>
      </c>
      <c r="H302" s="78" t="s">
        <v>1033</v>
      </c>
      <c r="I302" s="78">
        <v>156</v>
      </c>
      <c r="J302" s="231"/>
    </row>
    <row r="303" spans="1:10" x14ac:dyDescent="0.3">
      <c r="A303" s="76"/>
      <c r="B303" s="77"/>
      <c r="C303" s="93"/>
      <c r="D303" s="77"/>
      <c r="E303" s="78" t="s">
        <v>1496</v>
      </c>
      <c r="F303" s="78" t="s">
        <v>2276</v>
      </c>
      <c r="G303" s="78" t="s">
        <v>693</v>
      </c>
      <c r="H303" s="78" t="s">
        <v>692</v>
      </c>
      <c r="I303" s="78">
        <v>91</v>
      </c>
      <c r="J303" s="231"/>
    </row>
    <row r="304" spans="1:10" x14ac:dyDescent="0.3">
      <c r="A304" s="76"/>
      <c r="B304" s="77"/>
      <c r="C304" s="93"/>
      <c r="D304" s="77"/>
      <c r="E304" s="78" t="s">
        <v>1499</v>
      </c>
      <c r="F304" s="78" t="s">
        <v>2276</v>
      </c>
      <c r="G304" s="78" t="s">
        <v>1028</v>
      </c>
      <c r="H304" s="78" t="s">
        <v>1027</v>
      </c>
      <c r="I304" s="78">
        <v>155</v>
      </c>
      <c r="J304" s="231"/>
    </row>
    <row r="305" spans="1:10" ht="15" thickBot="1" x14ac:dyDescent="0.35">
      <c r="A305" s="76"/>
      <c r="B305" s="77"/>
      <c r="C305" s="93"/>
      <c r="D305" s="77"/>
      <c r="E305" s="78" t="s">
        <v>1502</v>
      </c>
      <c r="F305" s="78" t="s">
        <v>2276</v>
      </c>
      <c r="G305" s="78" t="s">
        <v>1234</v>
      </c>
      <c r="H305" s="78" t="s">
        <v>1233</v>
      </c>
      <c r="I305" s="78"/>
      <c r="J305" s="232">
        <v>70</v>
      </c>
    </row>
    <row r="306" spans="1:10" x14ac:dyDescent="0.3">
      <c r="A306" s="76"/>
      <c r="B306" s="77"/>
      <c r="C306" s="93"/>
      <c r="D306" s="77"/>
      <c r="E306" s="78" t="s">
        <v>1504</v>
      </c>
      <c r="F306" s="78" t="s">
        <v>1508</v>
      </c>
      <c r="G306" s="78" t="s">
        <v>2299</v>
      </c>
      <c r="H306" s="78"/>
      <c r="I306" s="78"/>
      <c r="J306" s="230"/>
    </row>
    <row r="307" spans="1:10" ht="15" thickBot="1" x14ac:dyDescent="0.35">
      <c r="A307" s="81"/>
      <c r="B307" s="83"/>
      <c r="C307" s="96"/>
      <c r="D307" s="83"/>
      <c r="E307" s="82" t="s">
        <v>1507</v>
      </c>
      <c r="F307" s="82" t="s">
        <v>2276</v>
      </c>
      <c r="G307" s="82" t="s">
        <v>621</v>
      </c>
      <c r="H307" s="82" t="s">
        <v>620</v>
      </c>
      <c r="I307" s="82">
        <v>81</v>
      </c>
      <c r="J307" s="231"/>
    </row>
    <row r="308" spans="1:10" x14ac:dyDescent="0.3">
      <c r="A308" s="72" t="s">
        <v>1503</v>
      </c>
      <c r="B308" s="73" t="s">
        <v>168</v>
      </c>
      <c r="C308" s="95" t="s">
        <v>1480</v>
      </c>
      <c r="D308" s="73" t="s">
        <v>1682</v>
      </c>
      <c r="E308" s="74" t="s">
        <v>1479</v>
      </c>
      <c r="F308" s="74" t="s">
        <v>1485</v>
      </c>
      <c r="G308" s="74" t="s">
        <v>2275</v>
      </c>
      <c r="H308" s="74"/>
      <c r="I308" s="74"/>
      <c r="J308" s="231"/>
    </row>
    <row r="309" spans="1:10" x14ac:dyDescent="0.3">
      <c r="A309" s="76"/>
      <c r="B309" s="77"/>
      <c r="C309" s="93"/>
      <c r="D309" s="77"/>
      <c r="E309" s="78" t="s">
        <v>1489</v>
      </c>
      <c r="F309" s="78" t="s">
        <v>2276</v>
      </c>
      <c r="G309" s="78" t="s">
        <v>1410</v>
      </c>
      <c r="H309" s="78" t="s">
        <v>1409</v>
      </c>
      <c r="I309" s="78"/>
      <c r="J309" s="231"/>
    </row>
    <row r="310" spans="1:10" ht="15" thickBot="1" x14ac:dyDescent="0.35">
      <c r="A310" s="76"/>
      <c r="B310" s="77"/>
      <c r="C310" s="93"/>
      <c r="D310" s="77"/>
      <c r="E310" s="78" t="s">
        <v>1493</v>
      </c>
      <c r="F310" s="78" t="s">
        <v>2276</v>
      </c>
      <c r="G310" s="78" t="s">
        <v>707</v>
      </c>
      <c r="H310" s="78" t="s">
        <v>706</v>
      </c>
      <c r="I310" s="78">
        <v>93</v>
      </c>
      <c r="J310" s="232">
        <v>69</v>
      </c>
    </row>
    <row r="311" spans="1:10" x14ac:dyDescent="0.3">
      <c r="A311" s="76"/>
      <c r="B311" s="77"/>
      <c r="C311" s="93"/>
      <c r="D311" s="77"/>
      <c r="E311" s="78" t="s">
        <v>1496</v>
      </c>
      <c r="F311" s="78" t="s">
        <v>2276</v>
      </c>
      <c r="G311" s="78" t="s">
        <v>1039</v>
      </c>
      <c r="H311" s="78" t="s">
        <v>1038</v>
      </c>
      <c r="I311" s="78">
        <v>157</v>
      </c>
      <c r="J311" s="230"/>
    </row>
    <row r="312" spans="1:10" x14ac:dyDescent="0.3">
      <c r="A312" s="76"/>
      <c r="B312" s="77"/>
      <c r="C312" s="93"/>
      <c r="D312" s="77"/>
      <c r="E312" s="78" t="s">
        <v>1499</v>
      </c>
      <c r="F312" s="78" t="s">
        <v>2276</v>
      </c>
      <c r="G312" s="78" t="s">
        <v>164</v>
      </c>
      <c r="H312" s="78" t="s">
        <v>163</v>
      </c>
      <c r="I312" s="78">
        <v>13</v>
      </c>
      <c r="J312" s="231">
        <v>50</v>
      </c>
    </row>
    <row r="313" spans="1:10" x14ac:dyDescent="0.3">
      <c r="A313" s="76"/>
      <c r="B313" s="77"/>
      <c r="C313" s="93"/>
      <c r="D313" s="77"/>
      <c r="E313" s="78" t="s">
        <v>1502</v>
      </c>
      <c r="F313" s="78" t="s">
        <v>2276</v>
      </c>
      <c r="G313" s="78" t="s">
        <v>1238</v>
      </c>
      <c r="H313" s="78" t="s">
        <v>1237</v>
      </c>
      <c r="I313" s="78"/>
      <c r="J313" s="231"/>
    </row>
    <row r="314" spans="1:10" x14ac:dyDescent="0.3">
      <c r="A314" s="76"/>
      <c r="B314" s="77"/>
      <c r="C314" s="93"/>
      <c r="D314" s="77"/>
      <c r="E314" s="78" t="s">
        <v>1504</v>
      </c>
      <c r="F314" s="78" t="s">
        <v>1508</v>
      </c>
      <c r="G314" s="78" t="s">
        <v>2300</v>
      </c>
      <c r="H314" s="78"/>
      <c r="I314" s="78"/>
      <c r="J314" s="231"/>
    </row>
    <row r="315" spans="1:10" x14ac:dyDescent="0.3">
      <c r="A315" s="76"/>
      <c r="B315" s="77"/>
      <c r="C315" s="93"/>
      <c r="D315" s="77"/>
      <c r="E315" s="78" t="s">
        <v>1507</v>
      </c>
      <c r="F315" s="78" t="s">
        <v>2276</v>
      </c>
      <c r="G315" s="78" t="s">
        <v>1013</v>
      </c>
      <c r="H315" s="78" t="s">
        <v>1012</v>
      </c>
      <c r="I315" s="78">
        <v>152</v>
      </c>
      <c r="J315" s="231">
        <v>90</v>
      </c>
    </row>
    <row r="316" spans="1:10" ht="15" thickBot="1" x14ac:dyDescent="0.35">
      <c r="A316" s="81"/>
      <c r="B316" s="83"/>
      <c r="C316" s="96"/>
      <c r="D316" s="83"/>
      <c r="E316" s="82" t="s">
        <v>1586</v>
      </c>
      <c r="F316" s="82" t="s">
        <v>2276</v>
      </c>
      <c r="G316" s="82" t="s">
        <v>552</v>
      </c>
      <c r="H316" s="82" t="s">
        <v>551</v>
      </c>
      <c r="I316" s="82">
        <v>71</v>
      </c>
      <c r="J316" s="231"/>
    </row>
    <row r="317" spans="1:10" ht="15" thickBot="1" x14ac:dyDescent="0.35">
      <c r="A317" s="72" t="s">
        <v>1503</v>
      </c>
      <c r="B317" s="73" t="s">
        <v>150</v>
      </c>
      <c r="C317" s="95" t="s">
        <v>1480</v>
      </c>
      <c r="D317" s="73" t="s">
        <v>1786</v>
      </c>
      <c r="E317" s="74" t="s">
        <v>1479</v>
      </c>
      <c r="F317" s="74" t="s">
        <v>1485</v>
      </c>
      <c r="G317" s="74" t="s">
        <v>2275</v>
      </c>
      <c r="H317" s="74"/>
      <c r="I317" s="74"/>
      <c r="J317" s="232"/>
    </row>
    <row r="318" spans="1:10" x14ac:dyDescent="0.3">
      <c r="A318" s="76"/>
      <c r="B318" s="77"/>
      <c r="C318" s="93"/>
      <c r="D318" s="77"/>
      <c r="E318" s="78" t="s">
        <v>1489</v>
      </c>
      <c r="F318" s="78" t="s">
        <v>2276</v>
      </c>
      <c r="G318" s="78" t="s">
        <v>713</v>
      </c>
      <c r="H318" s="78" t="s">
        <v>712</v>
      </c>
      <c r="I318" s="78">
        <v>94</v>
      </c>
      <c r="J318" s="230"/>
    </row>
    <row r="319" spans="1:10" x14ac:dyDescent="0.3">
      <c r="A319" s="76"/>
      <c r="B319" s="77"/>
      <c r="C319" s="93"/>
      <c r="D319" s="77"/>
      <c r="E319" s="78" t="s">
        <v>1493</v>
      </c>
      <c r="F319" s="78" t="s">
        <v>2276</v>
      </c>
      <c r="G319" s="78" t="s">
        <v>1044</v>
      </c>
      <c r="H319" s="78" t="s">
        <v>1043</v>
      </c>
      <c r="I319" s="78">
        <v>158</v>
      </c>
      <c r="J319" s="231"/>
    </row>
    <row r="320" spans="1:10" x14ac:dyDescent="0.3">
      <c r="A320" s="76"/>
      <c r="B320" s="77"/>
      <c r="C320" s="93"/>
      <c r="D320" s="77"/>
      <c r="E320" s="78" t="s">
        <v>1496</v>
      </c>
      <c r="F320" s="78" t="s">
        <v>2276</v>
      </c>
      <c r="G320" s="78" t="s">
        <v>148</v>
      </c>
      <c r="H320" s="78" t="s">
        <v>147</v>
      </c>
      <c r="I320" s="78">
        <v>11</v>
      </c>
      <c r="J320" s="231"/>
    </row>
    <row r="321" spans="1:10" x14ac:dyDescent="0.3">
      <c r="A321" s="76"/>
      <c r="B321" s="77"/>
      <c r="C321" s="93"/>
      <c r="D321" s="77"/>
      <c r="E321" s="78" t="s">
        <v>1499</v>
      </c>
      <c r="F321" s="78" t="s">
        <v>2276</v>
      </c>
      <c r="G321" s="78" t="s">
        <v>155</v>
      </c>
      <c r="H321" s="78" t="s">
        <v>154</v>
      </c>
      <c r="I321" s="78">
        <v>12</v>
      </c>
      <c r="J321" s="231"/>
    </row>
    <row r="322" spans="1:10" x14ac:dyDescent="0.3">
      <c r="A322" s="76"/>
      <c r="B322" s="77"/>
      <c r="C322" s="93"/>
      <c r="D322" s="77"/>
      <c r="E322" s="78" t="s">
        <v>1502</v>
      </c>
      <c r="F322" s="78" t="s">
        <v>2276</v>
      </c>
      <c r="G322" s="78" t="s">
        <v>241</v>
      </c>
      <c r="H322" s="78" t="s">
        <v>240</v>
      </c>
      <c r="I322" s="78">
        <v>29</v>
      </c>
      <c r="J322" s="231">
        <v>89</v>
      </c>
    </row>
    <row r="323" spans="1:10" x14ac:dyDescent="0.3">
      <c r="A323" s="76"/>
      <c r="B323" s="77"/>
      <c r="C323" s="93"/>
      <c r="D323" s="77"/>
      <c r="E323" s="78" t="s">
        <v>1504</v>
      </c>
      <c r="F323" s="78" t="s">
        <v>2276</v>
      </c>
      <c r="G323" s="78" t="s">
        <v>1242</v>
      </c>
      <c r="H323" s="78" t="s">
        <v>1241</v>
      </c>
      <c r="I323" s="78"/>
      <c r="J323" s="231"/>
    </row>
    <row r="324" spans="1:10" ht="15" thickBot="1" x14ac:dyDescent="0.35">
      <c r="A324" s="81"/>
      <c r="B324" s="83"/>
      <c r="C324" s="96"/>
      <c r="D324" s="83"/>
      <c r="E324" s="82" t="s">
        <v>1507</v>
      </c>
      <c r="F324" s="82" t="s">
        <v>1508</v>
      </c>
      <c r="G324" s="82" t="s">
        <v>2301</v>
      </c>
      <c r="H324" s="82"/>
      <c r="I324" s="82"/>
      <c r="J324" s="231"/>
    </row>
    <row r="325" spans="1:10" ht="15" thickBot="1" x14ac:dyDescent="0.35">
      <c r="A325" s="72" t="s">
        <v>1503</v>
      </c>
      <c r="B325" s="73" t="s">
        <v>723</v>
      </c>
      <c r="C325" s="95" t="s">
        <v>1480</v>
      </c>
      <c r="D325" s="73" t="s">
        <v>1735</v>
      </c>
      <c r="E325" s="74" t="s">
        <v>1479</v>
      </c>
      <c r="F325" s="74" t="s">
        <v>1485</v>
      </c>
      <c r="G325" s="74" t="s">
        <v>2275</v>
      </c>
      <c r="H325" s="74"/>
      <c r="I325" s="74"/>
      <c r="J325" s="232">
        <v>49</v>
      </c>
    </row>
    <row r="326" spans="1:10" x14ac:dyDescent="0.3">
      <c r="A326" s="76"/>
      <c r="B326" s="77"/>
      <c r="C326" s="93"/>
      <c r="D326" s="77"/>
      <c r="E326" s="78" t="s">
        <v>1489</v>
      </c>
      <c r="F326" s="78" t="s">
        <v>2276</v>
      </c>
      <c r="G326" s="78" t="s">
        <v>720</v>
      </c>
      <c r="H326" s="78" t="s">
        <v>719</v>
      </c>
      <c r="I326" s="78">
        <v>95</v>
      </c>
      <c r="J326" s="230"/>
    </row>
    <row r="327" spans="1:10" x14ac:dyDescent="0.3">
      <c r="A327" s="76"/>
      <c r="B327" s="77"/>
      <c r="C327" s="93"/>
      <c r="D327" s="77"/>
      <c r="E327" s="78" t="s">
        <v>1493</v>
      </c>
      <c r="F327" s="78" t="s">
        <v>2276</v>
      </c>
      <c r="G327" s="78" t="s">
        <v>1414</v>
      </c>
      <c r="H327" s="78" t="s">
        <v>1413</v>
      </c>
      <c r="I327" s="78"/>
      <c r="J327" s="231"/>
    </row>
    <row r="328" spans="1:10" x14ac:dyDescent="0.3">
      <c r="A328" s="76"/>
      <c r="B328" s="77"/>
      <c r="C328" s="93"/>
      <c r="D328" s="77"/>
      <c r="E328" s="78" t="s">
        <v>1496</v>
      </c>
      <c r="F328" s="78" t="s">
        <v>2276</v>
      </c>
      <c r="G328" s="78" t="s">
        <v>1076</v>
      </c>
      <c r="H328" s="78" t="s">
        <v>1075</v>
      </c>
      <c r="I328" s="78">
        <v>164</v>
      </c>
      <c r="J328" s="231"/>
    </row>
    <row r="329" spans="1:10" x14ac:dyDescent="0.3">
      <c r="A329" s="76"/>
      <c r="B329" s="77"/>
      <c r="C329" s="93"/>
      <c r="D329" s="77"/>
      <c r="E329" s="78" t="s">
        <v>1499</v>
      </c>
      <c r="F329" s="78" t="s">
        <v>2276</v>
      </c>
      <c r="G329" s="78" t="s">
        <v>971</v>
      </c>
      <c r="H329" s="78" t="s">
        <v>970</v>
      </c>
      <c r="I329" s="78">
        <v>141</v>
      </c>
      <c r="J329" s="231"/>
    </row>
    <row r="330" spans="1:10" x14ac:dyDescent="0.3">
      <c r="A330" s="76"/>
      <c r="B330" s="77"/>
      <c r="C330" s="93"/>
      <c r="D330" s="77"/>
      <c r="E330" s="78" t="s">
        <v>1502</v>
      </c>
      <c r="F330" s="78" t="s">
        <v>2276</v>
      </c>
      <c r="G330" s="78" t="s">
        <v>1246</v>
      </c>
      <c r="H330" s="78" t="s">
        <v>1245</v>
      </c>
      <c r="I330" s="78"/>
      <c r="J330" s="231"/>
    </row>
    <row r="331" spans="1:10" ht="15" thickBot="1" x14ac:dyDescent="0.35">
      <c r="A331" s="81"/>
      <c r="B331" s="83"/>
      <c r="C331" s="96"/>
      <c r="D331" s="83"/>
      <c r="E331" s="82" t="s">
        <v>1504</v>
      </c>
      <c r="F331" s="82" t="s">
        <v>1508</v>
      </c>
      <c r="G331" s="82" t="s">
        <v>2302</v>
      </c>
      <c r="H331" s="82"/>
      <c r="I331" s="82"/>
      <c r="J331" s="231"/>
    </row>
    <row r="332" spans="1:10" x14ac:dyDescent="0.3">
      <c r="A332" s="72" t="s">
        <v>1503</v>
      </c>
      <c r="B332" s="73" t="s">
        <v>179</v>
      </c>
      <c r="C332" s="95" t="s">
        <v>1480</v>
      </c>
      <c r="D332" s="73" t="s">
        <v>1741</v>
      </c>
      <c r="E332" s="74" t="s">
        <v>1479</v>
      </c>
      <c r="F332" s="74" t="s">
        <v>1485</v>
      </c>
      <c r="G332" s="74" t="s">
        <v>2275</v>
      </c>
      <c r="H332" s="74"/>
      <c r="I332" s="74"/>
      <c r="J332" s="231"/>
    </row>
    <row r="333" spans="1:10" x14ac:dyDescent="0.3">
      <c r="A333" s="76"/>
      <c r="B333" s="77"/>
      <c r="C333" s="93"/>
      <c r="D333" s="77"/>
      <c r="E333" s="78" t="s">
        <v>1489</v>
      </c>
      <c r="F333" s="78" t="s">
        <v>2276</v>
      </c>
      <c r="G333" s="78" t="s">
        <v>1138</v>
      </c>
      <c r="H333" s="78" t="s">
        <v>1137</v>
      </c>
      <c r="I333" s="78"/>
      <c r="J333" s="231">
        <v>88</v>
      </c>
    </row>
    <row r="334" spans="1:10" ht="15" thickBot="1" x14ac:dyDescent="0.35">
      <c r="A334" s="76"/>
      <c r="B334" s="77"/>
      <c r="C334" s="93"/>
      <c r="D334" s="77"/>
      <c r="E334" s="78" t="s">
        <v>1493</v>
      </c>
      <c r="F334" s="78" t="s">
        <v>2276</v>
      </c>
      <c r="G334" s="78" t="s">
        <v>176</v>
      </c>
      <c r="H334" s="78" t="s">
        <v>175</v>
      </c>
      <c r="I334" s="78">
        <v>14</v>
      </c>
      <c r="J334" s="232">
        <v>46</v>
      </c>
    </row>
    <row r="335" spans="1:10" x14ac:dyDescent="0.3">
      <c r="A335" s="76"/>
      <c r="B335" s="77"/>
      <c r="C335" s="93"/>
      <c r="D335" s="77"/>
      <c r="E335" s="78" t="s">
        <v>1496</v>
      </c>
      <c r="F335" s="78" t="s">
        <v>2276</v>
      </c>
      <c r="G335" s="78" t="s">
        <v>728</v>
      </c>
      <c r="H335" s="78" t="s">
        <v>727</v>
      </c>
      <c r="I335" s="78">
        <v>96</v>
      </c>
      <c r="J335" s="230"/>
    </row>
    <row r="336" spans="1:10" x14ac:dyDescent="0.3">
      <c r="A336" s="76"/>
      <c r="B336" s="77"/>
      <c r="C336" s="93"/>
      <c r="D336" s="77"/>
      <c r="E336" s="78" t="s">
        <v>1499</v>
      </c>
      <c r="F336" s="78" t="s">
        <v>2276</v>
      </c>
      <c r="G336" s="78" t="s">
        <v>965</v>
      </c>
      <c r="H336" s="78" t="s">
        <v>964</v>
      </c>
      <c r="I336" s="78">
        <v>140</v>
      </c>
      <c r="J336" s="231">
        <v>53</v>
      </c>
    </row>
    <row r="337" spans="1:10" x14ac:dyDescent="0.3">
      <c r="A337" s="76"/>
      <c r="B337" s="77"/>
      <c r="C337" s="93"/>
      <c r="D337" s="77"/>
      <c r="E337" s="78" t="s">
        <v>1502</v>
      </c>
      <c r="F337" s="78" t="s">
        <v>2276</v>
      </c>
      <c r="G337" s="78" t="s">
        <v>1250</v>
      </c>
      <c r="H337" s="78" t="s">
        <v>1249</v>
      </c>
      <c r="I337" s="78"/>
      <c r="J337" s="231"/>
    </row>
    <row r="338" spans="1:10" x14ac:dyDescent="0.3">
      <c r="A338" s="76"/>
      <c r="B338" s="77"/>
      <c r="C338" s="93"/>
      <c r="D338" s="77"/>
      <c r="E338" s="78" t="s">
        <v>1504</v>
      </c>
      <c r="F338" s="78" t="s">
        <v>1508</v>
      </c>
      <c r="G338" s="78" t="s">
        <v>2303</v>
      </c>
      <c r="H338" s="78"/>
      <c r="I338" s="78"/>
      <c r="J338" s="231">
        <v>7</v>
      </c>
    </row>
    <row r="339" spans="1:10" ht="15" thickBot="1" x14ac:dyDescent="0.35">
      <c r="A339" s="81"/>
      <c r="B339" s="83"/>
      <c r="C339" s="96"/>
      <c r="D339" s="83"/>
      <c r="E339" s="82" t="s">
        <v>1507</v>
      </c>
      <c r="F339" s="82" t="s">
        <v>2276</v>
      </c>
      <c r="G339" s="82" t="s">
        <v>788</v>
      </c>
      <c r="H339" s="82" t="s">
        <v>787</v>
      </c>
      <c r="I339" s="82">
        <v>110</v>
      </c>
      <c r="J339" s="231"/>
    </row>
    <row r="340" spans="1:10" x14ac:dyDescent="0.3">
      <c r="A340" s="72" t="s">
        <v>1503</v>
      </c>
      <c r="B340" s="73" t="s">
        <v>186</v>
      </c>
      <c r="C340" s="95" t="s">
        <v>1480</v>
      </c>
      <c r="D340" s="73" t="s">
        <v>1746</v>
      </c>
      <c r="E340" s="74" t="s">
        <v>1479</v>
      </c>
      <c r="F340" s="74" t="s">
        <v>1485</v>
      </c>
      <c r="G340" s="74" t="s">
        <v>2275</v>
      </c>
      <c r="H340" s="74"/>
      <c r="I340" s="74"/>
      <c r="J340" s="231">
        <v>19</v>
      </c>
    </row>
    <row r="341" spans="1:10" x14ac:dyDescent="0.3">
      <c r="A341" s="76"/>
      <c r="B341" s="77"/>
      <c r="C341" s="93"/>
      <c r="D341" s="77"/>
      <c r="E341" s="78" t="s">
        <v>1489</v>
      </c>
      <c r="F341" s="78" t="s">
        <v>2276</v>
      </c>
      <c r="G341" s="78" t="s">
        <v>733</v>
      </c>
      <c r="H341" s="78" t="s">
        <v>732</v>
      </c>
      <c r="I341" s="78">
        <v>97</v>
      </c>
      <c r="J341" s="231"/>
    </row>
    <row r="342" spans="1:10" ht="15" thickBot="1" x14ac:dyDescent="0.35">
      <c r="A342" s="76"/>
      <c r="B342" s="77"/>
      <c r="C342" s="93"/>
      <c r="D342" s="77"/>
      <c r="E342" s="78" t="s">
        <v>1493</v>
      </c>
      <c r="F342" s="78" t="s">
        <v>2276</v>
      </c>
      <c r="G342" s="78" t="s">
        <v>183</v>
      </c>
      <c r="H342" s="78" t="s">
        <v>182</v>
      </c>
      <c r="I342" s="78">
        <v>15</v>
      </c>
      <c r="J342" s="232"/>
    </row>
    <row r="343" spans="1:10" x14ac:dyDescent="0.3">
      <c r="A343" s="76"/>
      <c r="B343" s="77"/>
      <c r="C343" s="93"/>
      <c r="D343" s="77"/>
      <c r="E343" s="78" t="s">
        <v>1496</v>
      </c>
      <c r="F343" s="78" t="s">
        <v>2276</v>
      </c>
      <c r="G343" s="78" t="s">
        <v>1254</v>
      </c>
      <c r="H343" s="78" t="s">
        <v>1253</v>
      </c>
      <c r="I343" s="78"/>
      <c r="J343" s="230"/>
    </row>
    <row r="344" spans="1:10" ht="15" thickBot="1" x14ac:dyDescent="0.35">
      <c r="A344" s="81"/>
      <c r="B344" s="83"/>
      <c r="C344" s="96"/>
      <c r="D344" s="83"/>
      <c r="E344" s="82" t="s">
        <v>1499</v>
      </c>
      <c r="F344" s="82" t="s">
        <v>2276</v>
      </c>
      <c r="G344" s="82" t="s">
        <v>1004</v>
      </c>
      <c r="H344" s="82" t="s">
        <v>1003</v>
      </c>
      <c r="I344" s="82">
        <v>147</v>
      </c>
      <c r="J344" s="231">
        <v>54</v>
      </c>
    </row>
    <row r="345" spans="1:10" x14ac:dyDescent="0.3">
      <c r="A345" s="72" t="s">
        <v>1503</v>
      </c>
      <c r="B345" s="73" t="s">
        <v>509</v>
      </c>
      <c r="C345" s="95" t="s">
        <v>1480</v>
      </c>
      <c r="D345" s="73" t="s">
        <v>1751</v>
      </c>
      <c r="E345" s="74" t="s">
        <v>1479</v>
      </c>
      <c r="F345" s="74" t="s">
        <v>1485</v>
      </c>
      <c r="G345" s="74" t="s">
        <v>2275</v>
      </c>
      <c r="H345" s="74"/>
      <c r="I345" s="74"/>
      <c r="J345" s="231"/>
    </row>
    <row r="346" spans="1:10" x14ac:dyDescent="0.3">
      <c r="A346" s="76"/>
      <c r="B346" s="77"/>
      <c r="C346" s="93"/>
      <c r="D346" s="77"/>
      <c r="E346" s="78" t="s">
        <v>1489</v>
      </c>
      <c r="F346" s="78" t="s">
        <v>2276</v>
      </c>
      <c r="G346" s="78" t="s">
        <v>739</v>
      </c>
      <c r="H346" s="78" t="s">
        <v>738</v>
      </c>
      <c r="I346" s="78">
        <v>98</v>
      </c>
      <c r="J346" s="231"/>
    </row>
    <row r="347" spans="1:10" x14ac:dyDescent="0.3">
      <c r="A347" s="76"/>
      <c r="B347" s="77"/>
      <c r="C347" s="93"/>
      <c r="D347" s="77"/>
      <c r="E347" s="78" t="s">
        <v>1493</v>
      </c>
      <c r="F347" s="78" t="s">
        <v>2276</v>
      </c>
      <c r="G347" s="78" t="s">
        <v>1418</v>
      </c>
      <c r="H347" s="78" t="s">
        <v>1417</v>
      </c>
      <c r="I347" s="78"/>
      <c r="J347" s="231">
        <v>81</v>
      </c>
    </row>
    <row r="348" spans="1:10" x14ac:dyDescent="0.3">
      <c r="A348" s="76"/>
      <c r="B348" s="77"/>
      <c r="C348" s="93"/>
      <c r="D348" s="77"/>
      <c r="E348" s="78" t="s">
        <v>1496</v>
      </c>
      <c r="F348" s="78" t="s">
        <v>2276</v>
      </c>
      <c r="G348" s="78" t="s">
        <v>1258</v>
      </c>
      <c r="H348" s="78" t="s">
        <v>1257</v>
      </c>
      <c r="I348" s="78"/>
      <c r="J348" s="231"/>
    </row>
    <row r="349" spans="1:10" ht="15" thickBot="1" x14ac:dyDescent="0.35">
      <c r="A349" s="76"/>
      <c r="B349" s="77"/>
      <c r="C349" s="93"/>
      <c r="D349" s="77"/>
      <c r="E349" s="78" t="s">
        <v>1499</v>
      </c>
      <c r="F349" s="78" t="s">
        <v>1508</v>
      </c>
      <c r="G349" s="78" t="s">
        <v>2304</v>
      </c>
      <c r="H349" s="78"/>
      <c r="I349" s="78"/>
      <c r="J349" s="232"/>
    </row>
    <row r="350" spans="1:10" ht="15" thickBot="1" x14ac:dyDescent="0.35">
      <c r="A350" s="81"/>
      <c r="B350" s="83"/>
      <c r="C350" s="96"/>
      <c r="D350" s="83"/>
      <c r="E350" s="82" t="s">
        <v>1502</v>
      </c>
      <c r="F350" s="82" t="s">
        <v>2276</v>
      </c>
      <c r="G350" s="82" t="s">
        <v>507</v>
      </c>
      <c r="H350" s="82" t="s">
        <v>506</v>
      </c>
      <c r="I350" s="82">
        <v>66</v>
      </c>
      <c r="J350" s="230"/>
    </row>
    <row r="351" spans="1:10" x14ac:dyDescent="0.3">
      <c r="A351" s="72" t="s">
        <v>1620</v>
      </c>
      <c r="B351" s="73" t="s">
        <v>29</v>
      </c>
      <c r="C351" s="95" t="s">
        <v>1480</v>
      </c>
      <c r="D351" s="73" t="s">
        <v>1715</v>
      </c>
      <c r="E351" s="74" t="s">
        <v>1479</v>
      </c>
      <c r="F351" s="74" t="s">
        <v>1485</v>
      </c>
      <c r="G351" s="74" t="s">
        <v>2275</v>
      </c>
      <c r="H351" s="74"/>
      <c r="I351" s="74"/>
      <c r="J351" s="231"/>
    </row>
    <row r="352" spans="1:10" x14ac:dyDescent="0.3">
      <c r="A352" s="76"/>
      <c r="B352" s="77"/>
      <c r="C352" s="93"/>
      <c r="D352" s="77"/>
      <c r="E352" s="78" t="s">
        <v>1489</v>
      </c>
      <c r="F352" s="78" t="s">
        <v>2276</v>
      </c>
      <c r="G352" s="78" t="s">
        <v>1158</v>
      </c>
      <c r="H352" s="78" t="s">
        <v>1157</v>
      </c>
      <c r="I352" s="78"/>
      <c r="J352" s="231"/>
    </row>
    <row r="353" spans="1:10" x14ac:dyDescent="0.3">
      <c r="A353" s="76"/>
      <c r="B353" s="77"/>
      <c r="C353" s="93"/>
      <c r="D353" s="77"/>
      <c r="E353" s="78" t="s">
        <v>1493</v>
      </c>
      <c r="F353" s="78" t="s">
        <v>2276</v>
      </c>
      <c r="G353" s="78" t="s">
        <v>23</v>
      </c>
      <c r="H353" s="78" t="s">
        <v>22</v>
      </c>
      <c r="I353" s="78">
        <v>1</v>
      </c>
      <c r="J353" s="231"/>
    </row>
    <row r="354" spans="1:10" x14ac:dyDescent="0.3">
      <c r="A354" s="76"/>
      <c r="B354" s="77"/>
      <c r="C354" s="93"/>
      <c r="D354" s="77"/>
      <c r="E354" s="78" t="s">
        <v>1496</v>
      </c>
      <c r="F354" s="78" t="s">
        <v>2276</v>
      </c>
      <c r="G354" s="78" t="s">
        <v>794</v>
      </c>
      <c r="H354" s="78" t="s">
        <v>793</v>
      </c>
      <c r="I354" s="78">
        <v>111</v>
      </c>
      <c r="J354" s="231">
        <v>80</v>
      </c>
    </row>
    <row r="355" spans="1:10" x14ac:dyDescent="0.3">
      <c r="A355" s="76"/>
      <c r="B355" s="77"/>
      <c r="C355" s="93"/>
      <c r="D355" s="77"/>
      <c r="E355" s="78" t="s">
        <v>1499</v>
      </c>
      <c r="F355" s="78" t="s">
        <v>2276</v>
      </c>
      <c r="G355" s="78" t="s">
        <v>928</v>
      </c>
      <c r="H355" s="78" t="s">
        <v>927</v>
      </c>
      <c r="I355" s="78">
        <v>134</v>
      </c>
      <c r="J355" s="231"/>
    </row>
    <row r="356" spans="1:10" ht="15" thickBot="1" x14ac:dyDescent="0.35">
      <c r="A356" s="81"/>
      <c r="B356" s="83"/>
      <c r="C356" s="96"/>
      <c r="D356" s="83"/>
      <c r="E356" s="82" t="s">
        <v>1502</v>
      </c>
      <c r="F356" s="82" t="s">
        <v>2276</v>
      </c>
      <c r="G356" s="82" t="s">
        <v>672</v>
      </c>
      <c r="H356" s="82" t="s">
        <v>671</v>
      </c>
      <c r="I356" s="82">
        <v>88</v>
      </c>
      <c r="J356" s="231"/>
    </row>
    <row r="357" spans="1:10" ht="15" thickBot="1" x14ac:dyDescent="0.35">
      <c r="A357" s="72" t="s">
        <v>1620</v>
      </c>
      <c r="B357" s="73" t="s">
        <v>238</v>
      </c>
      <c r="C357" s="95" t="s">
        <v>1480</v>
      </c>
      <c r="D357" s="73" t="s">
        <v>1757</v>
      </c>
      <c r="E357" s="74" t="s">
        <v>1479</v>
      </c>
      <c r="F357" s="74" t="s">
        <v>1485</v>
      </c>
      <c r="G357" s="74" t="s">
        <v>2275</v>
      </c>
      <c r="H357" s="74"/>
      <c r="I357" s="74"/>
      <c r="J357" s="232">
        <v>63</v>
      </c>
    </row>
    <row r="358" spans="1:10" x14ac:dyDescent="0.3">
      <c r="A358" s="76"/>
      <c r="B358" s="77"/>
      <c r="C358" s="93"/>
      <c r="D358" s="77"/>
      <c r="E358" s="78" t="s">
        <v>1489</v>
      </c>
      <c r="F358" s="78" t="s">
        <v>2276</v>
      </c>
      <c r="G358" s="78" t="s">
        <v>1198</v>
      </c>
      <c r="H358" s="78" t="s">
        <v>1197</v>
      </c>
      <c r="I358" s="78"/>
      <c r="J358" s="230"/>
    </row>
    <row r="359" spans="1:10" x14ac:dyDescent="0.3">
      <c r="A359" s="76"/>
      <c r="B359" s="77"/>
      <c r="C359" s="93"/>
      <c r="D359" s="77"/>
      <c r="E359" s="78" t="s">
        <v>1493</v>
      </c>
      <c r="F359" s="78" t="s">
        <v>2276</v>
      </c>
      <c r="G359" s="78" t="s">
        <v>233</v>
      </c>
      <c r="H359" s="78" t="s">
        <v>232</v>
      </c>
      <c r="I359" s="78">
        <v>28</v>
      </c>
      <c r="J359" s="231">
        <v>55</v>
      </c>
    </row>
    <row r="360" spans="1:10" ht="15" thickBot="1" x14ac:dyDescent="0.35">
      <c r="A360" s="81"/>
      <c r="B360" s="83"/>
      <c r="C360" s="96"/>
      <c r="D360" s="83"/>
      <c r="E360" s="82" t="s">
        <v>1496</v>
      </c>
      <c r="F360" s="82" t="s">
        <v>2276</v>
      </c>
      <c r="G360" s="82" t="s">
        <v>595</v>
      </c>
      <c r="H360" s="82" t="s">
        <v>594</v>
      </c>
      <c r="I360" s="82">
        <v>76</v>
      </c>
      <c r="J360" s="231"/>
    </row>
    <row r="361" spans="1:10" x14ac:dyDescent="0.3">
      <c r="A361" s="72" t="s">
        <v>1620</v>
      </c>
      <c r="B361" s="73" t="s">
        <v>253</v>
      </c>
      <c r="C361" s="95" t="s">
        <v>1480</v>
      </c>
      <c r="D361" s="73" t="s">
        <v>1761</v>
      </c>
      <c r="E361" s="74" t="s">
        <v>1479</v>
      </c>
      <c r="F361" s="74" t="s">
        <v>1485</v>
      </c>
      <c r="G361" s="74" t="s">
        <v>2275</v>
      </c>
      <c r="H361" s="74"/>
      <c r="I361" s="74"/>
      <c r="J361" s="231"/>
    </row>
    <row r="362" spans="1:10" ht="15" thickBot="1" x14ac:dyDescent="0.35">
      <c r="A362" s="76"/>
      <c r="B362" s="77"/>
      <c r="C362" s="93"/>
      <c r="D362" s="77"/>
      <c r="E362" s="78" t="s">
        <v>1489</v>
      </c>
      <c r="F362" s="78" t="s">
        <v>2276</v>
      </c>
      <c r="G362" s="78" t="s">
        <v>1202</v>
      </c>
      <c r="H362" s="78" t="s">
        <v>1201</v>
      </c>
      <c r="I362" s="78"/>
      <c r="J362" s="232">
        <v>85</v>
      </c>
    </row>
    <row r="363" spans="1:10" x14ac:dyDescent="0.3">
      <c r="A363" s="76"/>
      <c r="B363" s="77"/>
      <c r="C363" s="93"/>
      <c r="D363" s="77"/>
      <c r="E363" s="78" t="s">
        <v>1493</v>
      </c>
      <c r="F363" s="78" t="s">
        <v>2276</v>
      </c>
      <c r="G363" s="78" t="s">
        <v>250</v>
      </c>
      <c r="H363" s="78" t="s">
        <v>249</v>
      </c>
      <c r="I363" s="78">
        <v>30</v>
      </c>
      <c r="J363" s="230"/>
    </row>
    <row r="364" spans="1:10" ht="15" thickBot="1" x14ac:dyDescent="0.35">
      <c r="A364" s="81"/>
      <c r="B364" s="83"/>
      <c r="C364" s="96"/>
      <c r="D364" s="83"/>
      <c r="E364" s="82" t="s">
        <v>1496</v>
      </c>
      <c r="F364" s="82" t="s">
        <v>2276</v>
      </c>
      <c r="G364" s="82" t="s">
        <v>615</v>
      </c>
      <c r="H364" s="82" t="s">
        <v>614</v>
      </c>
      <c r="I364" s="82">
        <v>80</v>
      </c>
      <c r="J364" s="231">
        <v>56</v>
      </c>
    </row>
    <row r="365" spans="1:10" x14ac:dyDescent="0.3">
      <c r="A365" s="72" t="s">
        <v>1620</v>
      </c>
      <c r="B365" s="73" t="s">
        <v>274</v>
      </c>
      <c r="C365" s="95" t="s">
        <v>1480</v>
      </c>
      <c r="D365" s="73" t="s">
        <v>1763</v>
      </c>
      <c r="E365" s="74" t="s">
        <v>1479</v>
      </c>
      <c r="F365" s="74" t="s">
        <v>1485</v>
      </c>
      <c r="G365" s="74" t="s">
        <v>2275</v>
      </c>
      <c r="H365" s="74"/>
      <c r="I365" s="74"/>
      <c r="J365" s="231"/>
    </row>
    <row r="366" spans="1:10" x14ac:dyDescent="0.3">
      <c r="A366" s="76"/>
      <c r="B366" s="77"/>
      <c r="C366" s="93"/>
      <c r="D366" s="77"/>
      <c r="E366" s="78" t="s">
        <v>1489</v>
      </c>
      <c r="F366" s="78" t="s">
        <v>2276</v>
      </c>
      <c r="G366" s="78" t="s">
        <v>271</v>
      </c>
      <c r="H366" s="78" t="s">
        <v>270</v>
      </c>
      <c r="I366" s="78">
        <v>32</v>
      </c>
      <c r="J366" s="231"/>
    </row>
    <row r="367" spans="1:10" x14ac:dyDescent="0.3">
      <c r="A367" s="76"/>
      <c r="B367" s="77"/>
      <c r="C367" s="93"/>
      <c r="D367" s="77"/>
      <c r="E367" s="78" t="s">
        <v>1493</v>
      </c>
      <c r="F367" s="78" t="s">
        <v>2276</v>
      </c>
      <c r="G367" s="78" t="s">
        <v>1206</v>
      </c>
      <c r="H367" s="78" t="s">
        <v>1205</v>
      </c>
      <c r="I367" s="78"/>
      <c r="J367" s="231"/>
    </row>
    <row r="368" spans="1:10" ht="15" thickBot="1" x14ac:dyDescent="0.35">
      <c r="A368" s="81"/>
      <c r="B368" s="83"/>
      <c r="C368" s="96"/>
      <c r="D368" s="83"/>
      <c r="E368" s="82" t="s">
        <v>1496</v>
      </c>
      <c r="F368" s="82" t="s">
        <v>2276</v>
      </c>
      <c r="G368" s="82" t="s">
        <v>629</v>
      </c>
      <c r="H368" s="82" t="s">
        <v>628</v>
      </c>
      <c r="I368" s="82">
        <v>82</v>
      </c>
      <c r="J368" s="232">
        <v>44</v>
      </c>
    </row>
    <row r="369" spans="1:10" x14ac:dyDescent="0.3">
      <c r="A369" s="72" t="s">
        <v>1620</v>
      </c>
      <c r="B369" s="73" t="s">
        <v>281</v>
      </c>
      <c r="C369" s="95" t="s">
        <v>1480</v>
      </c>
      <c r="D369" s="73" t="s">
        <v>1766</v>
      </c>
      <c r="E369" s="74" t="s">
        <v>1479</v>
      </c>
      <c r="F369" s="74" t="s">
        <v>1485</v>
      </c>
      <c r="G369" s="74" t="s">
        <v>2275</v>
      </c>
      <c r="H369" s="74"/>
      <c r="I369" s="74"/>
      <c r="J369" s="230"/>
    </row>
    <row r="370" spans="1:10" x14ac:dyDescent="0.3">
      <c r="A370" s="76"/>
      <c r="B370" s="77"/>
      <c r="C370" s="93"/>
      <c r="D370" s="77"/>
      <c r="E370" s="78" t="s">
        <v>1489</v>
      </c>
      <c r="F370" s="78" t="s">
        <v>2276</v>
      </c>
      <c r="G370" s="78" t="s">
        <v>1210</v>
      </c>
      <c r="H370" s="78" t="s">
        <v>1209</v>
      </c>
      <c r="I370" s="78"/>
      <c r="J370" s="231"/>
    </row>
    <row r="371" spans="1:10" x14ac:dyDescent="0.3">
      <c r="A371" s="76"/>
      <c r="B371" s="77"/>
      <c r="C371" s="93"/>
      <c r="D371" s="77"/>
      <c r="E371" s="78" t="s">
        <v>1493</v>
      </c>
      <c r="F371" s="78" t="s">
        <v>2276</v>
      </c>
      <c r="G371" s="78" t="s">
        <v>277</v>
      </c>
      <c r="H371" s="78" t="s">
        <v>276</v>
      </c>
      <c r="I371" s="78">
        <v>33</v>
      </c>
      <c r="J371" s="231"/>
    </row>
    <row r="372" spans="1:10" ht="15" thickBot="1" x14ac:dyDescent="0.35">
      <c r="A372" s="81"/>
      <c r="B372" s="83"/>
      <c r="C372" s="96"/>
      <c r="D372" s="83"/>
      <c r="E372" s="82" t="s">
        <v>1496</v>
      </c>
      <c r="F372" s="82" t="s">
        <v>2276</v>
      </c>
      <c r="G372" s="82" t="s">
        <v>645</v>
      </c>
      <c r="H372" s="82" t="s">
        <v>644</v>
      </c>
      <c r="I372" s="82">
        <v>84</v>
      </c>
      <c r="J372" s="231"/>
    </row>
    <row r="373" spans="1:10" x14ac:dyDescent="0.3">
      <c r="A373" s="72" t="s">
        <v>1620</v>
      </c>
      <c r="B373" s="73" t="s">
        <v>350</v>
      </c>
      <c r="C373" s="95" t="s">
        <v>1480</v>
      </c>
      <c r="D373" s="73" t="s">
        <v>1901</v>
      </c>
      <c r="E373" s="74" t="s">
        <v>1479</v>
      </c>
      <c r="F373" s="74" t="s">
        <v>1485</v>
      </c>
      <c r="G373" s="74" t="s">
        <v>2275</v>
      </c>
      <c r="H373" s="74"/>
      <c r="I373" s="74"/>
      <c r="J373" s="231"/>
    </row>
    <row r="374" spans="1:10" ht="15" thickBot="1" x14ac:dyDescent="0.35">
      <c r="A374" s="76"/>
      <c r="B374" s="77"/>
      <c r="C374" s="93"/>
      <c r="D374" s="77"/>
      <c r="E374" s="78" t="s">
        <v>1489</v>
      </c>
      <c r="F374" s="78" t="s">
        <v>2276</v>
      </c>
      <c r="G374" s="78" t="s">
        <v>1214</v>
      </c>
      <c r="H374" s="78" t="s">
        <v>1213</v>
      </c>
      <c r="I374" s="78"/>
      <c r="J374" s="232"/>
    </row>
    <row r="375" spans="1:10" x14ac:dyDescent="0.3">
      <c r="A375" s="76"/>
      <c r="B375" s="77"/>
      <c r="C375" s="93"/>
      <c r="D375" s="77"/>
      <c r="E375" s="78" t="s">
        <v>1493</v>
      </c>
      <c r="F375" s="78" t="s">
        <v>2276</v>
      </c>
      <c r="G375" s="78" t="s">
        <v>347</v>
      </c>
      <c r="H375" s="78" t="s">
        <v>346</v>
      </c>
      <c r="I375" s="78">
        <v>42</v>
      </c>
      <c r="J375" s="230"/>
    </row>
    <row r="376" spans="1:10" ht="15" thickBot="1" x14ac:dyDescent="0.35">
      <c r="A376" s="81"/>
      <c r="B376" s="83"/>
      <c r="C376" s="96"/>
      <c r="D376" s="83"/>
      <c r="E376" s="82" t="s">
        <v>1496</v>
      </c>
      <c r="F376" s="82" t="s">
        <v>2276</v>
      </c>
      <c r="G376" s="82" t="s">
        <v>652</v>
      </c>
      <c r="H376" s="82" t="s">
        <v>651</v>
      </c>
      <c r="I376" s="82">
        <v>85</v>
      </c>
      <c r="J376" s="231"/>
    </row>
    <row r="377" spans="1:10" x14ac:dyDescent="0.3">
      <c r="A377" s="72" t="s">
        <v>1620</v>
      </c>
      <c r="B377" s="73" t="s">
        <v>356</v>
      </c>
      <c r="C377" s="95" t="s">
        <v>1480</v>
      </c>
      <c r="D377" s="73" t="s">
        <v>1904</v>
      </c>
      <c r="E377" s="74" t="s">
        <v>1479</v>
      </c>
      <c r="F377" s="74" t="s">
        <v>1485</v>
      </c>
      <c r="G377" s="74" t="s">
        <v>2275</v>
      </c>
      <c r="H377" s="74"/>
      <c r="I377" s="74"/>
      <c r="J377" s="231"/>
    </row>
    <row r="378" spans="1:10" ht="15" thickBot="1" x14ac:dyDescent="0.35">
      <c r="A378" s="76"/>
      <c r="B378" s="77"/>
      <c r="C378" s="93"/>
      <c r="D378" s="77"/>
      <c r="E378" s="78" t="s">
        <v>1489</v>
      </c>
      <c r="F378" s="78" t="s">
        <v>2276</v>
      </c>
      <c r="G378" s="78" t="s">
        <v>1218</v>
      </c>
      <c r="H378" s="78" t="s">
        <v>1217</v>
      </c>
      <c r="I378" s="78"/>
      <c r="J378" s="232"/>
    </row>
    <row r="379" spans="1:10" x14ac:dyDescent="0.3">
      <c r="A379" s="76"/>
      <c r="B379" s="77"/>
      <c r="C379" s="93"/>
      <c r="D379" s="77"/>
      <c r="E379" s="78" t="s">
        <v>1493</v>
      </c>
      <c r="F379" s="78" t="s">
        <v>1485</v>
      </c>
      <c r="G379" s="78" t="s">
        <v>2275</v>
      </c>
      <c r="H379" s="78"/>
      <c r="I379" s="78"/>
      <c r="J379" s="230"/>
    </row>
    <row r="380" spans="1:10" x14ac:dyDescent="0.3">
      <c r="A380" s="76"/>
      <c r="B380" s="77"/>
      <c r="C380" s="93"/>
      <c r="D380" s="77"/>
      <c r="E380" s="78" t="s">
        <v>1496</v>
      </c>
      <c r="F380" s="78" t="s">
        <v>2276</v>
      </c>
      <c r="G380" s="78" t="s">
        <v>354</v>
      </c>
      <c r="H380" s="78" t="s">
        <v>353</v>
      </c>
      <c r="I380" s="78">
        <v>43</v>
      </c>
      <c r="J380" s="231"/>
    </row>
    <row r="381" spans="1:10" x14ac:dyDescent="0.3">
      <c r="A381" s="76"/>
      <c r="B381" s="77"/>
      <c r="C381" s="93"/>
      <c r="D381" s="77"/>
      <c r="E381" s="78" t="s">
        <v>1499</v>
      </c>
      <c r="F381" s="78" t="s">
        <v>2276</v>
      </c>
      <c r="G381" s="78" t="s">
        <v>1347</v>
      </c>
      <c r="H381" s="78" t="s">
        <v>1346</v>
      </c>
      <c r="I381" s="78"/>
      <c r="J381" s="231"/>
    </row>
    <row r="382" spans="1:10" ht="15" thickBot="1" x14ac:dyDescent="0.35">
      <c r="A382" s="81"/>
      <c r="B382" s="83"/>
      <c r="C382" s="96"/>
      <c r="D382" s="83"/>
      <c r="E382" s="82" t="s">
        <v>1502</v>
      </c>
      <c r="F382" s="82" t="s">
        <v>2276</v>
      </c>
      <c r="G382" s="82" t="s">
        <v>660</v>
      </c>
      <c r="H382" s="82" t="s">
        <v>659</v>
      </c>
      <c r="I382" s="82">
        <v>86</v>
      </c>
      <c r="J382" s="232"/>
    </row>
    <row r="383" spans="1:10" x14ac:dyDescent="0.3">
      <c r="A383" s="72" t="s">
        <v>1620</v>
      </c>
      <c r="B383" s="73" t="s">
        <v>365</v>
      </c>
      <c r="C383" s="95" t="s">
        <v>1480</v>
      </c>
      <c r="D383" s="73" t="s">
        <v>1908</v>
      </c>
      <c r="E383" s="74" t="s">
        <v>1479</v>
      </c>
      <c r="F383" s="74" t="s">
        <v>1485</v>
      </c>
      <c r="G383" s="74" t="s">
        <v>2275</v>
      </c>
      <c r="H383" s="74"/>
      <c r="I383" s="74"/>
      <c r="J383" s="230"/>
    </row>
    <row r="384" spans="1:10" x14ac:dyDescent="0.3">
      <c r="A384" s="76"/>
      <c r="B384" s="77"/>
      <c r="C384" s="93"/>
      <c r="D384" s="77"/>
      <c r="E384" s="78" t="s">
        <v>1489</v>
      </c>
      <c r="F384" s="78" t="s">
        <v>2276</v>
      </c>
      <c r="G384" s="78" t="s">
        <v>1351</v>
      </c>
      <c r="H384" s="78" t="s">
        <v>1350</v>
      </c>
      <c r="I384" s="78"/>
      <c r="J384" s="231"/>
    </row>
    <row r="385" spans="1:10" x14ac:dyDescent="0.3">
      <c r="A385" s="76"/>
      <c r="B385" s="77"/>
      <c r="C385" s="93"/>
      <c r="D385" s="77"/>
      <c r="E385" s="78" t="s">
        <v>1493</v>
      </c>
      <c r="F385" s="78" t="s">
        <v>2276</v>
      </c>
      <c r="G385" s="78" t="s">
        <v>362</v>
      </c>
      <c r="H385" s="78" t="s">
        <v>361</v>
      </c>
      <c r="I385" s="78">
        <v>44</v>
      </c>
      <c r="J385" s="231"/>
    </row>
    <row r="386" spans="1:10" ht="15" thickBot="1" x14ac:dyDescent="0.35">
      <c r="A386" s="76"/>
      <c r="B386" s="77"/>
      <c r="C386" s="93"/>
      <c r="D386" s="77"/>
      <c r="E386" s="78" t="s">
        <v>1496</v>
      </c>
      <c r="F386" s="78" t="s">
        <v>2276</v>
      </c>
      <c r="G386" s="78" t="s">
        <v>954</v>
      </c>
      <c r="H386" s="78" t="s">
        <v>953</v>
      </c>
      <c r="I386" s="78">
        <v>138</v>
      </c>
      <c r="J386" s="232"/>
    </row>
    <row r="387" spans="1:10" ht="15" thickBot="1" x14ac:dyDescent="0.35">
      <c r="A387" s="81"/>
      <c r="B387" s="83"/>
      <c r="C387" s="96"/>
      <c r="D387" s="83"/>
      <c r="E387" s="82" t="s">
        <v>1499</v>
      </c>
      <c r="F387" s="82" t="s">
        <v>2276</v>
      </c>
      <c r="G387" s="82" t="s">
        <v>1222</v>
      </c>
      <c r="H387" s="82" t="s">
        <v>1221</v>
      </c>
      <c r="I387" s="82"/>
      <c r="J387" s="230"/>
    </row>
    <row r="388" spans="1:10" x14ac:dyDescent="0.3">
      <c r="A388" s="72" t="s">
        <v>1620</v>
      </c>
      <c r="B388" s="73" t="s">
        <v>372</v>
      </c>
      <c r="C388" s="95" t="s">
        <v>1480</v>
      </c>
      <c r="D388" s="73" t="s">
        <v>1911</v>
      </c>
      <c r="E388" s="74" t="s">
        <v>1479</v>
      </c>
      <c r="F388" s="74" t="s">
        <v>1485</v>
      </c>
      <c r="G388" s="74" t="s">
        <v>2275</v>
      </c>
      <c r="H388" s="74"/>
      <c r="I388" s="74"/>
      <c r="J388" s="231"/>
    </row>
    <row r="389" spans="1:10" x14ac:dyDescent="0.3">
      <c r="A389" s="76"/>
      <c r="B389" s="77"/>
      <c r="C389" s="93"/>
      <c r="D389" s="77"/>
      <c r="E389" s="78" t="s">
        <v>1489</v>
      </c>
      <c r="F389" s="78" t="s">
        <v>2276</v>
      </c>
      <c r="G389" s="78" t="s">
        <v>1355</v>
      </c>
      <c r="H389" s="78" t="s">
        <v>1354</v>
      </c>
      <c r="I389" s="78"/>
      <c r="J389" s="231"/>
    </row>
    <row r="390" spans="1:10" ht="15" thickBot="1" x14ac:dyDescent="0.35">
      <c r="A390" s="76"/>
      <c r="B390" s="77"/>
      <c r="C390" s="93"/>
      <c r="D390" s="77"/>
      <c r="E390" s="78" t="s">
        <v>1493</v>
      </c>
      <c r="F390" s="78" t="s">
        <v>2276</v>
      </c>
      <c r="G390" s="78" t="s">
        <v>369</v>
      </c>
      <c r="H390" s="78" t="s">
        <v>368</v>
      </c>
      <c r="I390" s="78">
        <v>45</v>
      </c>
      <c r="J390" s="232"/>
    </row>
    <row r="391" spans="1:10" x14ac:dyDescent="0.3">
      <c r="A391" s="76"/>
      <c r="B391" s="77"/>
      <c r="C391" s="93"/>
      <c r="D391" s="77"/>
      <c r="E391" s="78" t="s">
        <v>1496</v>
      </c>
      <c r="F391" s="78" t="s">
        <v>2276</v>
      </c>
      <c r="G391" s="78" t="s">
        <v>1226</v>
      </c>
      <c r="H391" s="78" t="s">
        <v>1225</v>
      </c>
      <c r="I391" s="78"/>
      <c r="J391" s="230"/>
    </row>
    <row r="392" spans="1:10" ht="15" thickBot="1" x14ac:dyDescent="0.35">
      <c r="A392" s="81"/>
      <c r="B392" s="83"/>
      <c r="C392" s="96"/>
      <c r="D392" s="83"/>
      <c r="E392" s="82" t="s">
        <v>1499</v>
      </c>
      <c r="F392" s="82" t="s">
        <v>2276</v>
      </c>
      <c r="G392" s="82" t="s">
        <v>988</v>
      </c>
      <c r="H392" s="82" t="s">
        <v>987</v>
      </c>
      <c r="I392" s="82">
        <v>144</v>
      </c>
      <c r="J392" s="231"/>
    </row>
    <row r="393" spans="1:10" x14ac:dyDescent="0.3">
      <c r="A393" s="72" t="s">
        <v>1620</v>
      </c>
      <c r="B393" s="73" t="s">
        <v>520</v>
      </c>
      <c r="C393" s="95" t="s">
        <v>1480</v>
      </c>
      <c r="D393" s="73" t="s">
        <v>1683</v>
      </c>
      <c r="E393" s="74" t="s">
        <v>1479</v>
      </c>
      <c r="F393" s="74" t="s">
        <v>1485</v>
      </c>
      <c r="G393" s="74" t="s">
        <v>2275</v>
      </c>
      <c r="H393" s="74"/>
      <c r="I393" s="74"/>
      <c r="J393" s="231"/>
    </row>
    <row r="394" spans="1:10" ht="15" thickBot="1" x14ac:dyDescent="0.35">
      <c r="A394" s="76"/>
      <c r="B394" s="77"/>
      <c r="C394" s="93"/>
      <c r="D394" s="77"/>
      <c r="E394" s="78" t="s">
        <v>1489</v>
      </c>
      <c r="F394" s="78" t="s">
        <v>2276</v>
      </c>
      <c r="G394" s="78" t="s">
        <v>1360</v>
      </c>
      <c r="H394" s="78" t="s">
        <v>1359</v>
      </c>
      <c r="I394" s="78"/>
      <c r="J394" s="232"/>
    </row>
    <row r="395" spans="1:10" x14ac:dyDescent="0.3">
      <c r="A395" s="76"/>
      <c r="B395" s="77"/>
      <c r="C395" s="93"/>
      <c r="D395" s="77"/>
      <c r="E395" s="78" t="s">
        <v>1493</v>
      </c>
      <c r="F395" s="78" t="s">
        <v>2276</v>
      </c>
      <c r="G395" s="78" t="s">
        <v>516</v>
      </c>
      <c r="H395" s="78" t="s">
        <v>515</v>
      </c>
      <c r="I395" s="78">
        <v>67</v>
      </c>
      <c r="J395" s="230"/>
    </row>
    <row r="396" spans="1:10" x14ac:dyDescent="0.3">
      <c r="A396" s="76"/>
      <c r="B396" s="77"/>
      <c r="C396" s="93"/>
      <c r="D396" s="77"/>
      <c r="E396" s="78" t="s">
        <v>1496</v>
      </c>
      <c r="F396" s="78" t="s">
        <v>2276</v>
      </c>
      <c r="G396" s="78" t="s">
        <v>1230</v>
      </c>
      <c r="H396" s="78" t="s">
        <v>1229</v>
      </c>
      <c r="I396" s="78"/>
      <c r="J396" s="231"/>
    </row>
    <row r="397" spans="1:10" ht="15" thickBot="1" x14ac:dyDescent="0.35">
      <c r="A397" s="81"/>
      <c r="B397" s="83"/>
      <c r="C397" s="96"/>
      <c r="D397" s="83"/>
      <c r="E397" s="82" t="s">
        <v>1499</v>
      </c>
      <c r="F397" s="82" t="s">
        <v>2276</v>
      </c>
      <c r="G397" s="82" t="s">
        <v>1013</v>
      </c>
      <c r="H397" s="82" t="s">
        <v>1012</v>
      </c>
      <c r="I397" s="82">
        <v>152</v>
      </c>
      <c r="J397" s="231"/>
    </row>
    <row r="398" spans="1:10" x14ac:dyDescent="0.3">
      <c r="A398" s="72" t="s">
        <v>1620</v>
      </c>
      <c r="B398" s="73" t="s">
        <v>538</v>
      </c>
      <c r="C398" s="95" t="s">
        <v>1480</v>
      </c>
      <c r="D398" s="73" t="s">
        <v>1918</v>
      </c>
      <c r="E398" s="74" t="s">
        <v>1479</v>
      </c>
      <c r="F398" s="74" t="s">
        <v>1485</v>
      </c>
      <c r="G398" s="74" t="s">
        <v>2275</v>
      </c>
      <c r="H398" s="74"/>
      <c r="I398" s="74"/>
      <c r="J398" s="231"/>
    </row>
    <row r="399" spans="1:10" x14ac:dyDescent="0.3">
      <c r="A399" s="76"/>
      <c r="B399" s="77"/>
      <c r="C399" s="93"/>
      <c r="D399" s="77"/>
      <c r="E399" s="78" t="s">
        <v>1489</v>
      </c>
      <c r="F399" s="78" t="s">
        <v>2276</v>
      </c>
      <c r="G399" s="78" t="s">
        <v>1365</v>
      </c>
      <c r="H399" s="78" t="s">
        <v>1364</v>
      </c>
      <c r="I399" s="78"/>
      <c r="J399" s="231"/>
    </row>
    <row r="400" spans="1:10" ht="15" thickBot="1" x14ac:dyDescent="0.35">
      <c r="A400" s="76"/>
      <c r="B400" s="77"/>
      <c r="C400" s="93"/>
      <c r="D400" s="77"/>
      <c r="E400" s="78" t="s">
        <v>1493</v>
      </c>
      <c r="F400" s="78" t="s">
        <v>2276</v>
      </c>
      <c r="G400" s="78" t="s">
        <v>534</v>
      </c>
      <c r="H400" s="78" t="s">
        <v>533</v>
      </c>
      <c r="I400" s="78">
        <v>69</v>
      </c>
      <c r="J400" s="232"/>
    </row>
    <row r="401" spans="1:10" x14ac:dyDescent="0.3">
      <c r="A401" s="76"/>
      <c r="B401" s="77"/>
      <c r="C401" s="93"/>
      <c r="D401" s="77"/>
      <c r="E401" s="78" t="s">
        <v>1496</v>
      </c>
      <c r="F401" s="78" t="s">
        <v>2276</v>
      </c>
      <c r="G401" s="78" t="s">
        <v>1234</v>
      </c>
      <c r="H401" s="78" t="s">
        <v>1233</v>
      </c>
      <c r="I401" s="78"/>
      <c r="J401" s="230"/>
    </row>
    <row r="402" spans="1:10" ht="15" thickBot="1" x14ac:dyDescent="0.35">
      <c r="A402" s="81"/>
      <c r="B402" s="83"/>
      <c r="C402" s="96"/>
      <c r="D402" s="83"/>
      <c r="E402" s="82" t="s">
        <v>1499</v>
      </c>
      <c r="F402" s="82" t="s">
        <v>2276</v>
      </c>
      <c r="G402" s="82" t="s">
        <v>1018</v>
      </c>
      <c r="H402" s="82" t="s">
        <v>1017</v>
      </c>
      <c r="I402" s="82">
        <v>153</v>
      </c>
      <c r="J402" s="231"/>
    </row>
    <row r="403" spans="1:10" x14ac:dyDescent="0.3">
      <c r="A403" s="72" t="s">
        <v>1620</v>
      </c>
      <c r="B403" s="73" t="s">
        <v>41</v>
      </c>
      <c r="C403" s="95" t="s">
        <v>1480</v>
      </c>
      <c r="D403" s="73" t="s">
        <v>1721</v>
      </c>
      <c r="E403" s="74" t="s">
        <v>1479</v>
      </c>
      <c r="F403" s="74" t="s">
        <v>1485</v>
      </c>
      <c r="G403" s="74" t="s">
        <v>2275</v>
      </c>
      <c r="H403" s="74"/>
      <c r="I403" s="74"/>
      <c r="J403" s="231"/>
    </row>
    <row r="404" spans="1:10" x14ac:dyDescent="0.3">
      <c r="A404" s="76"/>
      <c r="B404" s="77"/>
      <c r="C404" s="93"/>
      <c r="D404" s="77"/>
      <c r="E404" s="78" t="s">
        <v>1489</v>
      </c>
      <c r="F404" s="78" t="s">
        <v>2276</v>
      </c>
      <c r="G404" s="78" t="s">
        <v>1162</v>
      </c>
      <c r="H404" s="78" t="s">
        <v>1161</v>
      </c>
      <c r="I404" s="78"/>
      <c r="J404" s="231"/>
    </row>
    <row r="405" spans="1:10" ht="15" thickBot="1" x14ac:dyDescent="0.35">
      <c r="A405" s="76"/>
      <c r="B405" s="77"/>
      <c r="C405" s="93"/>
      <c r="D405" s="77"/>
      <c r="E405" s="78" t="s">
        <v>1493</v>
      </c>
      <c r="F405" s="78" t="s">
        <v>2276</v>
      </c>
      <c r="G405" s="78" t="s">
        <v>37</v>
      </c>
      <c r="H405" s="78" t="s">
        <v>36</v>
      </c>
      <c r="I405" s="78">
        <v>2</v>
      </c>
      <c r="J405" s="232"/>
    </row>
    <row r="406" spans="1:10" ht="15" thickBot="1" x14ac:dyDescent="0.35">
      <c r="A406" s="81"/>
      <c r="B406" s="83"/>
      <c r="C406" s="96"/>
      <c r="D406" s="83"/>
      <c r="E406" s="82" t="s">
        <v>1496</v>
      </c>
      <c r="F406" s="82" t="s">
        <v>2276</v>
      </c>
      <c r="G406" s="82" t="s">
        <v>679</v>
      </c>
      <c r="H406" s="82" t="s">
        <v>678</v>
      </c>
      <c r="I406" s="82">
        <v>89</v>
      </c>
      <c r="J406" s="230"/>
    </row>
    <row r="407" spans="1:10" x14ac:dyDescent="0.3">
      <c r="A407" s="72" t="s">
        <v>1620</v>
      </c>
      <c r="B407" s="73" t="s">
        <v>549</v>
      </c>
      <c r="C407" s="95" t="s">
        <v>1480</v>
      </c>
      <c r="D407" s="73" t="s">
        <v>1922</v>
      </c>
      <c r="E407" s="74" t="s">
        <v>1479</v>
      </c>
      <c r="F407" s="74" t="s">
        <v>1485</v>
      </c>
      <c r="G407" s="74" t="s">
        <v>2275</v>
      </c>
      <c r="H407" s="74"/>
      <c r="I407" s="74"/>
      <c r="J407" s="231"/>
    </row>
    <row r="408" spans="1:10" x14ac:dyDescent="0.3">
      <c r="A408" s="76"/>
      <c r="B408" s="77"/>
      <c r="C408" s="93"/>
      <c r="D408" s="77"/>
      <c r="E408" s="78" t="s">
        <v>1489</v>
      </c>
      <c r="F408" s="78" t="s">
        <v>2276</v>
      </c>
      <c r="G408" s="78" t="s">
        <v>1370</v>
      </c>
      <c r="H408" s="78" t="s">
        <v>1369</v>
      </c>
      <c r="I408" s="78"/>
      <c r="J408" s="231"/>
    </row>
    <row r="409" spans="1:10" x14ac:dyDescent="0.3">
      <c r="A409" s="76"/>
      <c r="B409" s="77"/>
      <c r="C409" s="93"/>
      <c r="D409" s="77"/>
      <c r="E409" s="78" t="s">
        <v>1493</v>
      </c>
      <c r="F409" s="78" t="s">
        <v>2276</v>
      </c>
      <c r="G409" s="78" t="s">
        <v>545</v>
      </c>
      <c r="H409" s="78" t="s">
        <v>544</v>
      </c>
      <c r="I409" s="78">
        <v>70</v>
      </c>
      <c r="J409" s="231"/>
    </row>
    <row r="410" spans="1:10" ht="15" thickBot="1" x14ac:dyDescent="0.35">
      <c r="A410" s="76"/>
      <c r="B410" s="77"/>
      <c r="C410" s="93"/>
      <c r="D410" s="77"/>
      <c r="E410" s="78" t="s">
        <v>1496</v>
      </c>
      <c r="F410" s="78" t="s">
        <v>2276</v>
      </c>
      <c r="G410" s="78" t="s">
        <v>1238</v>
      </c>
      <c r="H410" s="78" t="s">
        <v>1237</v>
      </c>
      <c r="I410" s="78"/>
      <c r="J410" s="232"/>
    </row>
    <row r="411" spans="1:10" ht="15" thickBot="1" x14ac:dyDescent="0.35">
      <c r="A411" s="81"/>
      <c r="B411" s="83"/>
      <c r="C411" s="96"/>
      <c r="D411" s="83"/>
      <c r="E411" s="82" t="s">
        <v>1499</v>
      </c>
      <c r="F411" s="82" t="s">
        <v>2276</v>
      </c>
      <c r="G411" s="82" t="s">
        <v>1023</v>
      </c>
      <c r="H411" s="82" t="s">
        <v>1022</v>
      </c>
      <c r="I411" s="82">
        <v>154</v>
      </c>
      <c r="J411" s="230"/>
    </row>
    <row r="412" spans="1:10" x14ac:dyDescent="0.3">
      <c r="A412" s="72" t="s">
        <v>1620</v>
      </c>
      <c r="B412" s="73" t="s">
        <v>566</v>
      </c>
      <c r="C412" s="95" t="s">
        <v>1480</v>
      </c>
      <c r="D412" s="73" t="s">
        <v>1926</v>
      </c>
      <c r="E412" s="74" t="s">
        <v>1479</v>
      </c>
      <c r="F412" s="74" t="s">
        <v>1485</v>
      </c>
      <c r="G412" s="74" t="s">
        <v>2275</v>
      </c>
      <c r="H412" s="74"/>
      <c r="I412" s="74"/>
      <c r="J412" s="231"/>
    </row>
    <row r="413" spans="1:10" x14ac:dyDescent="0.3">
      <c r="A413" s="76"/>
      <c r="B413" s="77"/>
      <c r="C413" s="93"/>
      <c r="D413" s="77"/>
      <c r="E413" s="78" t="s">
        <v>1489</v>
      </c>
      <c r="F413" s="78" t="s">
        <v>2276</v>
      </c>
      <c r="G413" s="78" t="s">
        <v>1375</v>
      </c>
      <c r="H413" s="78" t="s">
        <v>1374</v>
      </c>
      <c r="I413" s="78"/>
      <c r="J413" s="231"/>
    </row>
    <row r="414" spans="1:10" x14ac:dyDescent="0.3">
      <c r="A414" s="76"/>
      <c r="B414" s="77"/>
      <c r="C414" s="93"/>
      <c r="D414" s="77"/>
      <c r="E414" s="78" t="s">
        <v>1493</v>
      </c>
      <c r="F414" s="78" t="s">
        <v>2276</v>
      </c>
      <c r="G414" s="78" t="s">
        <v>562</v>
      </c>
      <c r="H414" s="78" t="s">
        <v>561</v>
      </c>
      <c r="I414" s="78">
        <v>72</v>
      </c>
      <c r="J414" s="231"/>
    </row>
    <row r="415" spans="1:10" ht="15" thickBot="1" x14ac:dyDescent="0.35">
      <c r="A415" s="76"/>
      <c r="B415" s="77"/>
      <c r="C415" s="93"/>
      <c r="D415" s="77"/>
      <c r="E415" s="78" t="s">
        <v>1496</v>
      </c>
      <c r="F415" s="78" t="s">
        <v>2276</v>
      </c>
      <c r="G415" s="78" t="s">
        <v>1242</v>
      </c>
      <c r="H415" s="78" t="s">
        <v>1241</v>
      </c>
      <c r="I415" s="78"/>
      <c r="J415" s="232">
        <v>88</v>
      </c>
    </row>
    <row r="416" spans="1:10" ht="15" thickBot="1" x14ac:dyDescent="0.35">
      <c r="A416" s="81"/>
      <c r="B416" s="83"/>
      <c r="C416" s="96"/>
      <c r="D416" s="83"/>
      <c r="E416" s="82" t="s">
        <v>1499</v>
      </c>
      <c r="F416" s="82" t="s">
        <v>2276</v>
      </c>
      <c r="G416" s="82" t="s">
        <v>1034</v>
      </c>
      <c r="H416" s="82" t="s">
        <v>1033</v>
      </c>
      <c r="I416" s="82">
        <v>156</v>
      </c>
      <c r="J416" s="230"/>
    </row>
    <row r="417" spans="1:10" x14ac:dyDescent="0.3">
      <c r="A417" s="72" t="s">
        <v>1620</v>
      </c>
      <c r="B417" s="73" t="s">
        <v>572</v>
      </c>
      <c r="C417" s="95" t="s">
        <v>1480</v>
      </c>
      <c r="D417" s="73" t="s">
        <v>1930</v>
      </c>
      <c r="E417" s="74" t="s">
        <v>1479</v>
      </c>
      <c r="F417" s="74" t="s">
        <v>1485</v>
      </c>
      <c r="G417" s="74" t="s">
        <v>2275</v>
      </c>
      <c r="H417" s="74"/>
      <c r="I417" s="74"/>
      <c r="J417" s="231"/>
    </row>
    <row r="418" spans="1:10" x14ac:dyDescent="0.3">
      <c r="A418" s="76"/>
      <c r="B418" s="77"/>
      <c r="C418" s="93"/>
      <c r="D418" s="77"/>
      <c r="E418" s="78" t="s">
        <v>1489</v>
      </c>
      <c r="F418" s="78" t="s">
        <v>2276</v>
      </c>
      <c r="G418" s="78" t="s">
        <v>1380</v>
      </c>
      <c r="H418" s="78" t="s">
        <v>1379</v>
      </c>
      <c r="I418" s="78"/>
      <c r="J418" s="231"/>
    </row>
    <row r="419" spans="1:10" x14ac:dyDescent="0.3">
      <c r="A419" s="76"/>
      <c r="B419" s="77"/>
      <c r="C419" s="93"/>
      <c r="D419" s="77"/>
      <c r="E419" s="78" t="s">
        <v>1493</v>
      </c>
      <c r="F419" s="78" t="s">
        <v>2276</v>
      </c>
      <c r="G419" s="78" t="s">
        <v>569</v>
      </c>
      <c r="H419" s="78" t="s">
        <v>568</v>
      </c>
      <c r="I419" s="78">
        <v>73</v>
      </c>
      <c r="J419" s="231"/>
    </row>
    <row r="420" spans="1:10" ht="15" thickBot="1" x14ac:dyDescent="0.35">
      <c r="A420" s="76"/>
      <c r="B420" s="77"/>
      <c r="C420" s="93"/>
      <c r="D420" s="77"/>
      <c r="E420" s="78" t="s">
        <v>1496</v>
      </c>
      <c r="F420" s="78" t="s">
        <v>2276</v>
      </c>
      <c r="G420" s="78" t="s">
        <v>836</v>
      </c>
      <c r="H420" s="78" t="s">
        <v>835</v>
      </c>
      <c r="I420" s="78">
        <v>118</v>
      </c>
      <c r="J420" s="232"/>
    </row>
    <row r="421" spans="1:10" x14ac:dyDescent="0.3">
      <c r="A421" s="76"/>
      <c r="B421" s="77"/>
      <c r="C421" s="93"/>
      <c r="D421" s="77"/>
      <c r="E421" s="78" t="s">
        <v>1499</v>
      </c>
      <c r="F421" s="78" t="s">
        <v>2276</v>
      </c>
      <c r="G421" s="78" t="s">
        <v>960</v>
      </c>
      <c r="H421" s="78" t="s">
        <v>959</v>
      </c>
      <c r="I421" s="78">
        <v>139</v>
      </c>
      <c r="J421" s="230"/>
    </row>
    <row r="422" spans="1:10" ht="15" thickBot="1" x14ac:dyDescent="0.35">
      <c r="A422" s="81"/>
      <c r="B422" s="83"/>
      <c r="C422" s="96"/>
      <c r="D422" s="83"/>
      <c r="E422" s="82" t="s">
        <v>1502</v>
      </c>
      <c r="F422" s="82" t="s">
        <v>2276</v>
      </c>
      <c r="G422" s="82" t="s">
        <v>1246</v>
      </c>
      <c r="H422" s="82" t="s">
        <v>1245</v>
      </c>
      <c r="I422" s="82"/>
      <c r="J422" s="231"/>
    </row>
    <row r="423" spans="1:10" x14ac:dyDescent="0.3">
      <c r="A423" s="72" t="s">
        <v>1620</v>
      </c>
      <c r="B423" s="73" t="s">
        <v>592</v>
      </c>
      <c r="C423" s="95" t="s">
        <v>1480</v>
      </c>
      <c r="D423" s="73" t="s">
        <v>1935</v>
      </c>
      <c r="E423" s="74" t="s">
        <v>1479</v>
      </c>
      <c r="F423" s="74" t="s">
        <v>1485</v>
      </c>
      <c r="G423" s="74" t="s">
        <v>2275</v>
      </c>
      <c r="H423" s="74"/>
      <c r="I423" s="74"/>
      <c r="J423" s="231"/>
    </row>
    <row r="424" spans="1:10" ht="15" thickBot="1" x14ac:dyDescent="0.35">
      <c r="A424" s="76"/>
      <c r="B424" s="77"/>
      <c r="C424" s="93"/>
      <c r="D424" s="77"/>
      <c r="E424" s="78" t="s">
        <v>1489</v>
      </c>
      <c r="F424" s="78" t="s">
        <v>2276</v>
      </c>
      <c r="G424" s="78" t="s">
        <v>1385</v>
      </c>
      <c r="H424" s="78" t="s">
        <v>1384</v>
      </c>
      <c r="I424" s="78"/>
      <c r="J424" s="232"/>
    </row>
    <row r="425" spans="1:10" x14ac:dyDescent="0.3">
      <c r="A425" s="76"/>
      <c r="B425" s="77"/>
      <c r="C425" s="93"/>
      <c r="D425" s="77"/>
      <c r="E425" s="78" t="s">
        <v>1493</v>
      </c>
      <c r="F425" s="78" t="s">
        <v>2276</v>
      </c>
      <c r="G425" s="78" t="s">
        <v>589</v>
      </c>
      <c r="H425" s="78" t="s">
        <v>588</v>
      </c>
      <c r="I425" s="78">
        <v>75</v>
      </c>
      <c r="J425" s="230"/>
    </row>
    <row r="426" spans="1:10" x14ac:dyDescent="0.3">
      <c r="A426" s="76"/>
      <c r="B426" s="77"/>
      <c r="C426" s="93"/>
      <c r="D426" s="77"/>
      <c r="E426" s="78" t="s">
        <v>1496</v>
      </c>
      <c r="F426" s="78" t="s">
        <v>2276</v>
      </c>
      <c r="G426" s="78" t="s">
        <v>863</v>
      </c>
      <c r="H426" s="78" t="s">
        <v>862</v>
      </c>
      <c r="I426" s="78">
        <v>122</v>
      </c>
      <c r="J426" s="231"/>
    </row>
    <row r="427" spans="1:10" x14ac:dyDescent="0.3">
      <c r="A427" s="76"/>
      <c r="B427" s="77"/>
      <c r="C427" s="93"/>
      <c r="D427" s="77"/>
      <c r="E427" s="78" t="s">
        <v>1499</v>
      </c>
      <c r="F427" s="78" t="s">
        <v>2276</v>
      </c>
      <c r="G427" s="78" t="s">
        <v>976</v>
      </c>
      <c r="H427" s="78" t="s">
        <v>975</v>
      </c>
      <c r="I427" s="78">
        <v>142</v>
      </c>
      <c r="J427" s="231"/>
    </row>
    <row r="428" spans="1:10" ht="15" thickBot="1" x14ac:dyDescent="0.35">
      <c r="A428" s="81"/>
      <c r="B428" s="83"/>
      <c r="C428" s="96"/>
      <c r="D428" s="83"/>
      <c r="E428" s="82" t="s">
        <v>1502</v>
      </c>
      <c r="F428" s="82" t="s">
        <v>2276</v>
      </c>
      <c r="G428" s="82" t="s">
        <v>1250</v>
      </c>
      <c r="H428" s="82" t="s">
        <v>1249</v>
      </c>
      <c r="I428" s="82"/>
      <c r="J428" s="231"/>
    </row>
    <row r="429" spans="1:10" ht="15" thickBot="1" x14ac:dyDescent="0.35">
      <c r="A429" s="72" t="s">
        <v>1620</v>
      </c>
      <c r="B429" s="73" t="s">
        <v>52</v>
      </c>
      <c r="C429" s="95" t="s">
        <v>1480</v>
      </c>
      <c r="D429" s="73" t="s">
        <v>1727</v>
      </c>
      <c r="E429" s="74" t="s">
        <v>1479</v>
      </c>
      <c r="F429" s="74" t="s">
        <v>1485</v>
      </c>
      <c r="G429" s="74" t="s">
        <v>2275</v>
      </c>
      <c r="H429" s="74"/>
      <c r="I429" s="74"/>
      <c r="J429" s="232"/>
    </row>
    <row r="430" spans="1:10" x14ac:dyDescent="0.3">
      <c r="A430" s="76"/>
      <c r="B430" s="77"/>
      <c r="C430" s="93"/>
      <c r="D430" s="77"/>
      <c r="E430" s="78" t="s">
        <v>1489</v>
      </c>
      <c r="F430" s="78" t="s">
        <v>2276</v>
      </c>
      <c r="G430" s="78" t="s">
        <v>1166</v>
      </c>
      <c r="H430" s="78" t="s">
        <v>1165</v>
      </c>
      <c r="I430" s="78"/>
      <c r="J430" s="230"/>
    </row>
    <row r="431" spans="1:10" x14ac:dyDescent="0.3">
      <c r="A431" s="76"/>
      <c r="B431" s="77"/>
      <c r="C431" s="93"/>
      <c r="D431" s="77"/>
      <c r="E431" s="78" t="s">
        <v>1493</v>
      </c>
      <c r="F431" s="78" t="s">
        <v>2276</v>
      </c>
      <c r="G431" s="78" t="s">
        <v>48</v>
      </c>
      <c r="H431" s="78" t="s">
        <v>47</v>
      </c>
      <c r="I431" s="78">
        <v>3</v>
      </c>
      <c r="J431" s="231"/>
    </row>
    <row r="432" spans="1:10" ht="15" thickBot="1" x14ac:dyDescent="0.35">
      <c r="A432" s="81"/>
      <c r="B432" s="83"/>
      <c r="C432" s="96"/>
      <c r="D432" s="83"/>
      <c r="E432" s="82" t="s">
        <v>1496</v>
      </c>
      <c r="F432" s="82" t="s">
        <v>2276</v>
      </c>
      <c r="G432" s="82" t="s">
        <v>693</v>
      </c>
      <c r="H432" s="82" t="s">
        <v>692</v>
      </c>
      <c r="I432" s="82">
        <v>91</v>
      </c>
      <c r="J432" s="231"/>
    </row>
    <row r="433" spans="1:10" x14ac:dyDescent="0.3">
      <c r="A433" s="72" t="s">
        <v>1620</v>
      </c>
      <c r="B433" s="73" t="s">
        <v>94</v>
      </c>
      <c r="C433" s="95" t="s">
        <v>1480</v>
      </c>
      <c r="D433" s="73" t="s">
        <v>1730</v>
      </c>
      <c r="E433" s="74" t="s">
        <v>1479</v>
      </c>
      <c r="F433" s="74" t="s">
        <v>1485</v>
      </c>
      <c r="G433" s="74" t="s">
        <v>2275</v>
      </c>
      <c r="H433" s="74"/>
      <c r="I433" s="74"/>
      <c r="J433" s="231"/>
    </row>
    <row r="434" spans="1:10" ht="15" thickBot="1" x14ac:dyDescent="0.35">
      <c r="A434" s="76"/>
      <c r="B434" s="77"/>
      <c r="C434" s="93"/>
      <c r="D434" s="77"/>
      <c r="E434" s="78" t="s">
        <v>1489</v>
      </c>
      <c r="F434" s="78" t="s">
        <v>2276</v>
      </c>
      <c r="G434" s="78" t="s">
        <v>1170</v>
      </c>
      <c r="H434" s="78" t="s">
        <v>1169</v>
      </c>
      <c r="I434" s="78"/>
      <c r="J434" s="232"/>
    </row>
    <row r="435" spans="1:10" x14ac:dyDescent="0.3">
      <c r="A435" s="76"/>
      <c r="B435" s="77"/>
      <c r="C435" s="93"/>
      <c r="D435" s="77"/>
      <c r="E435" s="78" t="s">
        <v>1493</v>
      </c>
      <c r="F435" s="78" t="s">
        <v>2276</v>
      </c>
      <c r="G435" s="78" t="s">
        <v>88</v>
      </c>
      <c r="H435" s="78" t="s">
        <v>87</v>
      </c>
      <c r="I435" s="78">
        <v>6</v>
      </c>
      <c r="J435" s="230"/>
    </row>
    <row r="436" spans="1:10" ht="15" thickBot="1" x14ac:dyDescent="0.35">
      <c r="A436" s="81"/>
      <c r="B436" s="83"/>
      <c r="C436" s="96"/>
      <c r="D436" s="83"/>
      <c r="E436" s="82" t="s">
        <v>1496</v>
      </c>
      <c r="F436" s="82" t="s">
        <v>2276</v>
      </c>
      <c r="G436" s="82" t="s">
        <v>707</v>
      </c>
      <c r="H436" s="82" t="s">
        <v>706</v>
      </c>
      <c r="I436" s="82">
        <v>93</v>
      </c>
      <c r="J436" s="231"/>
    </row>
    <row r="437" spans="1:10" x14ac:dyDescent="0.3">
      <c r="A437" s="72" t="s">
        <v>1620</v>
      </c>
      <c r="B437" s="73" t="s">
        <v>748</v>
      </c>
      <c r="C437" s="95" t="s">
        <v>1480</v>
      </c>
      <c r="D437" s="73" t="s">
        <v>2066</v>
      </c>
      <c r="E437" s="74" t="s">
        <v>1479</v>
      </c>
      <c r="F437" s="74" t="s">
        <v>1485</v>
      </c>
      <c r="G437" s="74" t="s">
        <v>2275</v>
      </c>
      <c r="H437" s="74"/>
      <c r="I437" s="74"/>
      <c r="J437" s="231"/>
    </row>
    <row r="438" spans="1:10" x14ac:dyDescent="0.3">
      <c r="A438" s="76"/>
      <c r="B438" s="77"/>
      <c r="C438" s="93"/>
      <c r="D438" s="77"/>
      <c r="E438" s="78" t="s">
        <v>1489</v>
      </c>
      <c r="F438" s="78" t="s">
        <v>2276</v>
      </c>
      <c r="G438" s="78" t="s">
        <v>1174</v>
      </c>
      <c r="H438" s="78" t="s">
        <v>1173</v>
      </c>
      <c r="I438" s="78"/>
      <c r="J438" s="231"/>
    </row>
    <row r="439" spans="1:10" x14ac:dyDescent="0.3">
      <c r="A439" s="76"/>
      <c r="B439" s="77"/>
      <c r="C439" s="93"/>
      <c r="D439" s="77"/>
      <c r="E439" s="78" t="s">
        <v>1493</v>
      </c>
      <c r="F439" s="78" t="s">
        <v>2276</v>
      </c>
      <c r="G439" s="78" t="s">
        <v>745</v>
      </c>
      <c r="H439" s="78" t="s">
        <v>744</v>
      </c>
      <c r="I439" s="78">
        <v>99</v>
      </c>
      <c r="J439" s="231"/>
    </row>
    <row r="440" spans="1:10" ht="15" thickBot="1" x14ac:dyDescent="0.35">
      <c r="A440" s="81"/>
      <c r="B440" s="83"/>
      <c r="C440" s="96"/>
      <c r="D440" s="83"/>
      <c r="E440" s="82" t="s">
        <v>1496</v>
      </c>
      <c r="F440" s="82" t="s">
        <v>2276</v>
      </c>
      <c r="G440" s="82" t="s">
        <v>1039</v>
      </c>
      <c r="H440" s="82" t="s">
        <v>1038</v>
      </c>
      <c r="I440" s="82">
        <v>157</v>
      </c>
      <c r="J440" s="232"/>
    </row>
    <row r="441" spans="1:10" x14ac:dyDescent="0.3">
      <c r="A441" s="72" t="s">
        <v>1620</v>
      </c>
      <c r="B441" s="73" t="s">
        <v>759</v>
      </c>
      <c r="C441" s="95" t="s">
        <v>1480</v>
      </c>
      <c r="D441" s="73" t="s">
        <v>2068</v>
      </c>
      <c r="E441" s="74" t="s">
        <v>1479</v>
      </c>
      <c r="F441" s="74" t="s">
        <v>1485</v>
      </c>
      <c r="G441" s="74" t="s">
        <v>2275</v>
      </c>
      <c r="H441" s="74"/>
      <c r="I441" s="74"/>
      <c r="J441" s="230"/>
    </row>
    <row r="442" spans="1:10" x14ac:dyDescent="0.3">
      <c r="A442" s="76"/>
      <c r="B442" s="77"/>
      <c r="C442" s="93"/>
      <c r="D442" s="77"/>
      <c r="E442" s="78" t="s">
        <v>1489</v>
      </c>
      <c r="F442" s="78" t="s">
        <v>2276</v>
      </c>
      <c r="G442" s="78" t="s">
        <v>1178</v>
      </c>
      <c r="H442" s="78" t="s">
        <v>1177</v>
      </c>
      <c r="I442" s="78"/>
      <c r="J442" s="231"/>
    </row>
    <row r="443" spans="1:10" x14ac:dyDescent="0.3">
      <c r="A443" s="76"/>
      <c r="B443" s="77"/>
      <c r="C443" s="93"/>
      <c r="D443" s="77"/>
      <c r="E443" s="78" t="s">
        <v>1493</v>
      </c>
      <c r="F443" s="78" t="s">
        <v>2276</v>
      </c>
      <c r="G443" s="78" t="s">
        <v>1044</v>
      </c>
      <c r="H443" s="78" t="s">
        <v>1043</v>
      </c>
      <c r="I443" s="78">
        <v>158</v>
      </c>
      <c r="J443" s="231"/>
    </row>
    <row r="444" spans="1:10" ht="15" thickBot="1" x14ac:dyDescent="0.35">
      <c r="A444" s="81"/>
      <c r="B444" s="83"/>
      <c r="C444" s="96"/>
      <c r="D444" s="83"/>
      <c r="E444" s="82" t="s">
        <v>1496</v>
      </c>
      <c r="F444" s="82" t="s">
        <v>2276</v>
      </c>
      <c r="G444" s="82" t="s">
        <v>757</v>
      </c>
      <c r="H444" s="82" t="s">
        <v>756</v>
      </c>
      <c r="I444" s="82">
        <v>101</v>
      </c>
      <c r="J444" s="231"/>
    </row>
    <row r="445" spans="1:10" x14ac:dyDescent="0.3">
      <c r="A445" s="72" t="s">
        <v>1620</v>
      </c>
      <c r="B445" s="73" t="s">
        <v>770</v>
      </c>
      <c r="C445" s="95" t="s">
        <v>1480</v>
      </c>
      <c r="D445" s="73" t="s">
        <v>2072</v>
      </c>
      <c r="E445" s="74" t="s">
        <v>1479</v>
      </c>
      <c r="F445" s="74" t="s">
        <v>1485</v>
      </c>
      <c r="G445" s="74" t="s">
        <v>2275</v>
      </c>
      <c r="H445" s="74"/>
      <c r="I445" s="74"/>
      <c r="J445" s="231"/>
    </row>
    <row r="446" spans="1:10" ht="15" thickBot="1" x14ac:dyDescent="0.35">
      <c r="A446" s="76"/>
      <c r="B446" s="77"/>
      <c r="C446" s="93"/>
      <c r="D446" s="77"/>
      <c r="E446" s="78" t="s">
        <v>1489</v>
      </c>
      <c r="F446" s="78" t="s">
        <v>2276</v>
      </c>
      <c r="G446" s="78" t="s">
        <v>1182</v>
      </c>
      <c r="H446" s="78" t="s">
        <v>1181</v>
      </c>
      <c r="I446" s="78"/>
      <c r="J446" s="232"/>
    </row>
    <row r="447" spans="1:10" x14ac:dyDescent="0.3">
      <c r="A447" s="76"/>
      <c r="B447" s="77"/>
      <c r="C447" s="93"/>
      <c r="D447" s="77"/>
      <c r="E447" s="78" t="s">
        <v>1493</v>
      </c>
      <c r="F447" s="78" t="s">
        <v>2276</v>
      </c>
      <c r="G447" s="78" t="s">
        <v>768</v>
      </c>
      <c r="H447" s="78" t="s">
        <v>767</v>
      </c>
      <c r="I447" s="78">
        <v>103</v>
      </c>
      <c r="J447" s="230"/>
    </row>
    <row r="448" spans="1:10" ht="15" thickBot="1" x14ac:dyDescent="0.35">
      <c r="A448" s="81"/>
      <c r="B448" s="83"/>
      <c r="C448" s="96"/>
      <c r="D448" s="83"/>
      <c r="E448" s="82" t="s">
        <v>1496</v>
      </c>
      <c r="F448" s="82" t="s">
        <v>2276</v>
      </c>
      <c r="G448" s="82" t="s">
        <v>1076</v>
      </c>
      <c r="H448" s="82" t="s">
        <v>1075</v>
      </c>
      <c r="I448" s="82">
        <v>164</v>
      </c>
      <c r="J448" s="231"/>
    </row>
    <row r="449" spans="1:10" x14ac:dyDescent="0.3">
      <c r="A449" s="72" t="s">
        <v>1620</v>
      </c>
      <c r="B449" s="73" t="s">
        <v>911</v>
      </c>
      <c r="C449" s="95" t="s">
        <v>1480</v>
      </c>
      <c r="D449" s="73" t="s">
        <v>1626</v>
      </c>
      <c r="E449" s="74" t="s">
        <v>1479</v>
      </c>
      <c r="F449" s="74" t="s">
        <v>1485</v>
      </c>
      <c r="G449" s="74" t="s">
        <v>2275</v>
      </c>
      <c r="H449" s="74"/>
      <c r="I449" s="74"/>
      <c r="J449" s="231"/>
    </row>
    <row r="450" spans="1:10" ht="15" thickBot="1" x14ac:dyDescent="0.35">
      <c r="A450" s="76"/>
      <c r="B450" s="77"/>
      <c r="C450" s="93"/>
      <c r="D450" s="77"/>
      <c r="E450" s="78" t="s">
        <v>1489</v>
      </c>
      <c r="F450" s="78" t="s">
        <v>2276</v>
      </c>
      <c r="G450" s="78" t="s">
        <v>909</v>
      </c>
      <c r="H450" s="78" t="s">
        <v>908</v>
      </c>
      <c r="I450" s="78">
        <v>131</v>
      </c>
      <c r="J450" s="232"/>
    </row>
    <row r="451" spans="1:10" x14ac:dyDescent="0.3">
      <c r="A451" s="76"/>
      <c r="B451" s="77"/>
      <c r="C451" s="93"/>
      <c r="D451" s="77"/>
      <c r="E451" s="78" t="s">
        <v>1493</v>
      </c>
      <c r="F451" s="78" t="s">
        <v>2276</v>
      </c>
      <c r="G451" s="78" t="s">
        <v>1186</v>
      </c>
      <c r="H451" s="78" t="s">
        <v>1185</v>
      </c>
      <c r="I451" s="78"/>
      <c r="J451" s="230"/>
    </row>
    <row r="452" spans="1:10" ht="15" thickBot="1" x14ac:dyDescent="0.35">
      <c r="A452" s="81"/>
      <c r="B452" s="83"/>
      <c r="C452" s="96"/>
      <c r="D452" s="83"/>
      <c r="E452" s="82" t="s">
        <v>1496</v>
      </c>
      <c r="F452" s="82" t="s">
        <v>2276</v>
      </c>
      <c r="G452" s="82" t="s">
        <v>1113</v>
      </c>
      <c r="H452" s="82" t="s">
        <v>1112</v>
      </c>
      <c r="I452" s="82">
        <v>172</v>
      </c>
      <c r="J452" s="231"/>
    </row>
    <row r="453" spans="1:10" x14ac:dyDescent="0.3">
      <c r="A453" s="72" t="s">
        <v>1620</v>
      </c>
      <c r="B453" s="73" t="s">
        <v>187</v>
      </c>
      <c r="C453" s="95" t="s">
        <v>1480</v>
      </c>
      <c r="D453" s="73" t="s">
        <v>1747</v>
      </c>
      <c r="E453" s="74" t="s">
        <v>1479</v>
      </c>
      <c r="F453" s="74" t="s">
        <v>1485</v>
      </c>
      <c r="G453" s="74" t="s">
        <v>2275</v>
      </c>
      <c r="H453" s="74"/>
      <c r="I453" s="74"/>
      <c r="J453" s="231"/>
    </row>
    <row r="454" spans="1:10" ht="15" thickBot="1" x14ac:dyDescent="0.35">
      <c r="A454" s="76"/>
      <c r="B454" s="77"/>
      <c r="C454" s="93"/>
      <c r="D454" s="77"/>
      <c r="E454" s="78" t="s">
        <v>1489</v>
      </c>
      <c r="F454" s="78" t="s">
        <v>2276</v>
      </c>
      <c r="G454" s="78" t="s">
        <v>1190</v>
      </c>
      <c r="H454" s="78" t="s">
        <v>1189</v>
      </c>
      <c r="I454" s="78"/>
      <c r="J454" s="232"/>
    </row>
    <row r="455" spans="1:10" x14ac:dyDescent="0.3">
      <c r="A455" s="76"/>
      <c r="B455" s="77"/>
      <c r="C455" s="93"/>
      <c r="D455" s="77"/>
      <c r="E455" s="78" t="s">
        <v>1493</v>
      </c>
      <c r="F455" s="78" t="s">
        <v>2276</v>
      </c>
      <c r="G455" s="78" t="s">
        <v>183</v>
      </c>
      <c r="H455" s="78" t="s">
        <v>182</v>
      </c>
      <c r="I455" s="78">
        <v>15</v>
      </c>
      <c r="J455" s="230"/>
    </row>
    <row r="456" spans="1:10" x14ac:dyDescent="0.3">
      <c r="A456" s="76"/>
      <c r="B456" s="77"/>
      <c r="C456" s="93"/>
      <c r="D456" s="77"/>
      <c r="E456" s="78" t="s">
        <v>1496</v>
      </c>
      <c r="F456" s="78" t="s">
        <v>2276</v>
      </c>
      <c r="G456" s="78" t="s">
        <v>817</v>
      </c>
      <c r="H456" s="78" t="s">
        <v>816</v>
      </c>
      <c r="I456" s="78">
        <v>115</v>
      </c>
      <c r="J456" s="231"/>
    </row>
    <row r="457" spans="1:10" ht="15" thickBot="1" x14ac:dyDescent="0.35">
      <c r="A457" s="81"/>
      <c r="B457" s="83"/>
      <c r="C457" s="96"/>
      <c r="D457" s="83"/>
      <c r="E457" s="82" t="s">
        <v>1499</v>
      </c>
      <c r="F457" s="82" t="s">
        <v>2276</v>
      </c>
      <c r="G457" s="82" t="s">
        <v>940</v>
      </c>
      <c r="H457" s="82" t="s">
        <v>939</v>
      </c>
      <c r="I457" s="82">
        <v>136</v>
      </c>
      <c r="J457" s="231"/>
    </row>
    <row r="458" spans="1:10" ht="15" thickBot="1" x14ac:dyDescent="0.35">
      <c r="A458" s="72" t="s">
        <v>1620</v>
      </c>
      <c r="B458" s="73" t="s">
        <v>510</v>
      </c>
      <c r="C458" s="95" t="s">
        <v>1480</v>
      </c>
      <c r="D458" s="73" t="s">
        <v>1752</v>
      </c>
      <c r="E458" s="74" t="s">
        <v>1479</v>
      </c>
      <c r="F458" s="74" t="s">
        <v>1485</v>
      </c>
      <c r="G458" s="74" t="s">
        <v>2275</v>
      </c>
      <c r="H458" s="74"/>
      <c r="I458" s="74"/>
      <c r="J458" s="232"/>
    </row>
    <row r="459" spans="1:10" x14ac:dyDescent="0.3">
      <c r="A459" s="76"/>
      <c r="B459" s="77"/>
      <c r="C459" s="93"/>
      <c r="D459" s="77"/>
      <c r="E459" s="78" t="s">
        <v>1489</v>
      </c>
      <c r="F459" s="78" t="s">
        <v>2276</v>
      </c>
      <c r="G459" s="78" t="s">
        <v>1194</v>
      </c>
      <c r="H459" s="78" t="s">
        <v>1193</v>
      </c>
      <c r="I459" s="78"/>
      <c r="J459" s="230"/>
    </row>
    <row r="460" spans="1:10" x14ac:dyDescent="0.3">
      <c r="A460" s="76"/>
      <c r="B460" s="77"/>
      <c r="C460" s="93"/>
      <c r="D460" s="77"/>
      <c r="E460" s="78" t="s">
        <v>1493</v>
      </c>
      <c r="F460" s="78" t="s">
        <v>2276</v>
      </c>
      <c r="G460" s="78" t="s">
        <v>1418</v>
      </c>
      <c r="H460" s="78" t="s">
        <v>1417</v>
      </c>
      <c r="I460" s="78"/>
      <c r="J460" s="231"/>
    </row>
    <row r="461" spans="1:10" x14ac:dyDescent="0.3">
      <c r="A461" s="76"/>
      <c r="B461" s="77"/>
      <c r="C461" s="93"/>
      <c r="D461" s="77"/>
      <c r="E461" s="78" t="s">
        <v>1496</v>
      </c>
      <c r="F461" s="78" t="s">
        <v>2276</v>
      </c>
      <c r="G461" s="78" t="s">
        <v>916</v>
      </c>
      <c r="H461" s="78" t="s">
        <v>915</v>
      </c>
      <c r="I461" s="78">
        <v>132</v>
      </c>
      <c r="J461" s="231"/>
    </row>
    <row r="462" spans="1:10" ht="15" thickBot="1" x14ac:dyDescent="0.35">
      <c r="A462" s="81"/>
      <c r="B462" s="83"/>
      <c r="C462" s="96"/>
      <c r="D462" s="83"/>
      <c r="E462" s="82" t="s">
        <v>1499</v>
      </c>
      <c r="F462" s="82" t="s">
        <v>2276</v>
      </c>
      <c r="G462" s="82" t="s">
        <v>507</v>
      </c>
      <c r="H462" s="82" t="s">
        <v>506</v>
      </c>
      <c r="I462" s="82">
        <v>66</v>
      </c>
      <c r="J462" s="232"/>
    </row>
    <row r="463" spans="1:10" x14ac:dyDescent="0.3">
      <c r="A463" s="72" t="s">
        <v>1543</v>
      </c>
      <c r="B463" s="73" t="s">
        <v>83</v>
      </c>
      <c r="C463" s="95" t="s">
        <v>1480</v>
      </c>
      <c r="D463" s="73" t="s">
        <v>1554</v>
      </c>
      <c r="E463" s="74" t="s">
        <v>1479</v>
      </c>
      <c r="F463" s="74" t="s">
        <v>1485</v>
      </c>
      <c r="G463" s="74" t="s">
        <v>2275</v>
      </c>
      <c r="H463" s="74"/>
      <c r="I463" s="74"/>
      <c r="J463" s="230"/>
    </row>
    <row r="464" spans="1:10" x14ac:dyDescent="0.3">
      <c r="A464" s="76"/>
      <c r="B464" s="77"/>
      <c r="C464" s="93"/>
      <c r="D464" s="77"/>
      <c r="E464" s="78" t="s">
        <v>1489</v>
      </c>
      <c r="F464" s="78" t="s">
        <v>2276</v>
      </c>
      <c r="G464" s="78" t="s">
        <v>877</v>
      </c>
      <c r="H464" s="78" t="s">
        <v>876</v>
      </c>
      <c r="I464" s="78">
        <v>124</v>
      </c>
      <c r="J464" s="231"/>
    </row>
    <row r="465" spans="1:10" x14ac:dyDescent="0.3">
      <c r="A465" s="76"/>
      <c r="B465" s="77"/>
      <c r="C465" s="93"/>
      <c r="D465" s="77"/>
      <c r="E465" s="78" t="s">
        <v>1493</v>
      </c>
      <c r="F465" s="78" t="s">
        <v>2276</v>
      </c>
      <c r="G465" s="78" t="s">
        <v>73</v>
      </c>
      <c r="H465" s="78" t="s">
        <v>72</v>
      </c>
      <c r="I465" s="78">
        <v>5</v>
      </c>
      <c r="J465" s="231"/>
    </row>
    <row r="466" spans="1:10" ht="15" thickBot="1" x14ac:dyDescent="0.35">
      <c r="A466" s="81"/>
      <c r="B466" s="83"/>
      <c r="C466" s="96"/>
      <c r="D466" s="83"/>
      <c r="E466" s="82" t="s">
        <v>1496</v>
      </c>
      <c r="F466" s="82" t="s">
        <v>2276</v>
      </c>
      <c r="G466" s="82" t="s">
        <v>1214</v>
      </c>
      <c r="H466" s="82" t="s">
        <v>1213</v>
      </c>
      <c r="I466" s="82"/>
      <c r="J466" s="232"/>
    </row>
    <row r="467" spans="1:10" x14ac:dyDescent="0.3">
      <c r="A467" s="72" t="s">
        <v>1543</v>
      </c>
      <c r="B467" s="73" t="s">
        <v>69</v>
      </c>
      <c r="C467" s="95" t="s">
        <v>1480</v>
      </c>
      <c r="D467" s="73" t="s">
        <v>1568</v>
      </c>
      <c r="E467" s="74" t="s">
        <v>1479</v>
      </c>
      <c r="F467" s="74" t="s">
        <v>1485</v>
      </c>
      <c r="G467" s="74" t="s">
        <v>2275</v>
      </c>
      <c r="H467" s="74"/>
      <c r="I467" s="74"/>
      <c r="J467" s="230"/>
    </row>
    <row r="468" spans="1:10" x14ac:dyDescent="0.3">
      <c r="A468" s="76"/>
      <c r="B468" s="77"/>
      <c r="C468" s="93"/>
      <c r="D468" s="77"/>
      <c r="E468" s="78" t="s">
        <v>1489</v>
      </c>
      <c r="F468" s="78" t="s">
        <v>2276</v>
      </c>
      <c r="G468" s="78" t="s">
        <v>871</v>
      </c>
      <c r="H468" s="78" t="s">
        <v>870</v>
      </c>
      <c r="I468" s="78">
        <v>123</v>
      </c>
      <c r="J468" s="231"/>
    </row>
    <row r="469" spans="1:10" x14ac:dyDescent="0.3">
      <c r="A469" s="76"/>
      <c r="B469" s="77"/>
      <c r="C469" s="93"/>
      <c r="D469" s="77"/>
      <c r="E469" s="78" t="s">
        <v>1493</v>
      </c>
      <c r="F469" s="78" t="s">
        <v>2276</v>
      </c>
      <c r="G469" s="78" t="s">
        <v>58</v>
      </c>
      <c r="H469" s="78" t="s">
        <v>57</v>
      </c>
      <c r="I469" s="78">
        <v>4</v>
      </c>
      <c r="J469" s="231"/>
    </row>
    <row r="470" spans="1:10" ht="15" thickBot="1" x14ac:dyDescent="0.35">
      <c r="A470" s="81"/>
      <c r="B470" s="83"/>
      <c r="C470" s="96"/>
      <c r="D470" s="83"/>
      <c r="E470" s="82" t="s">
        <v>1496</v>
      </c>
      <c r="F470" s="82" t="s">
        <v>2276</v>
      </c>
      <c r="G470" s="82" t="s">
        <v>1218</v>
      </c>
      <c r="H470" s="82" t="s">
        <v>1217</v>
      </c>
      <c r="I470" s="82"/>
      <c r="J470" s="232">
        <v>100</v>
      </c>
    </row>
    <row r="471" spans="1:10" x14ac:dyDescent="0.3">
      <c r="A471" s="72" t="s">
        <v>1500</v>
      </c>
      <c r="B471" s="73" t="s">
        <v>92</v>
      </c>
      <c r="C471" s="95" t="s">
        <v>1480</v>
      </c>
      <c r="D471" s="73" t="s">
        <v>1649</v>
      </c>
      <c r="E471" s="74" t="s">
        <v>1479</v>
      </c>
      <c r="F471" s="74" t="s">
        <v>1485</v>
      </c>
      <c r="G471" s="74" t="s">
        <v>2275</v>
      </c>
      <c r="H471" s="74"/>
      <c r="I471" s="74"/>
      <c r="J471" s="230"/>
    </row>
    <row r="472" spans="1:10" x14ac:dyDescent="0.3">
      <c r="A472" s="76"/>
      <c r="B472" s="77"/>
      <c r="C472" s="93"/>
      <c r="D472" s="77"/>
      <c r="E472" s="78" t="s">
        <v>1489</v>
      </c>
      <c r="F472" s="78" t="s">
        <v>2276</v>
      </c>
      <c r="G472" s="78" t="s">
        <v>112</v>
      </c>
      <c r="H472" s="78" t="s">
        <v>111</v>
      </c>
      <c r="I472" s="78">
        <v>8</v>
      </c>
      <c r="J472" s="231"/>
    </row>
    <row r="473" spans="1:10" x14ac:dyDescent="0.3">
      <c r="A473" s="76"/>
      <c r="B473" s="77"/>
      <c r="C473" s="93"/>
      <c r="D473" s="77"/>
      <c r="E473" s="78" t="s">
        <v>1493</v>
      </c>
      <c r="F473" s="78" t="s">
        <v>2276</v>
      </c>
      <c r="G473" s="78" t="s">
        <v>1061</v>
      </c>
      <c r="H473" s="78" t="s">
        <v>1060</v>
      </c>
      <c r="I473" s="78">
        <v>161</v>
      </c>
      <c r="J473" s="231"/>
    </row>
    <row r="474" spans="1:10" x14ac:dyDescent="0.3">
      <c r="A474" s="76"/>
      <c r="B474" s="77"/>
      <c r="C474" s="93"/>
      <c r="D474" s="77"/>
      <c r="E474" s="78" t="s">
        <v>1496</v>
      </c>
      <c r="F474" s="78" t="s">
        <v>2276</v>
      </c>
      <c r="G474" s="78" t="s">
        <v>88</v>
      </c>
      <c r="H474" s="78" t="s">
        <v>87</v>
      </c>
      <c r="I474" s="78">
        <v>6</v>
      </c>
      <c r="J474" s="231"/>
    </row>
    <row r="475" spans="1:10" ht="15" thickBot="1" x14ac:dyDescent="0.35">
      <c r="A475" s="76"/>
      <c r="B475" s="77"/>
      <c r="C475" s="93"/>
      <c r="D475" s="77"/>
      <c r="E475" s="78" t="s">
        <v>1499</v>
      </c>
      <c r="F475" s="78" t="s">
        <v>2276</v>
      </c>
      <c r="G475" s="78" t="s">
        <v>757</v>
      </c>
      <c r="H475" s="78" t="s">
        <v>756</v>
      </c>
      <c r="I475" s="78">
        <v>101</v>
      </c>
      <c r="J475" s="232"/>
    </row>
    <row r="476" spans="1:10" x14ac:dyDescent="0.3">
      <c r="A476" s="76"/>
      <c r="B476" s="77"/>
      <c r="C476" s="93"/>
      <c r="D476" s="77"/>
      <c r="E476" s="78" t="s">
        <v>1502</v>
      </c>
      <c r="F476" s="78" t="s">
        <v>2276</v>
      </c>
      <c r="G476" s="78" t="s">
        <v>482</v>
      </c>
      <c r="H476" s="78" t="s">
        <v>481</v>
      </c>
      <c r="I476" s="78">
        <v>63</v>
      </c>
      <c r="J476" s="230"/>
    </row>
    <row r="477" spans="1:10" x14ac:dyDescent="0.3">
      <c r="A477" s="76"/>
      <c r="B477" s="77"/>
      <c r="C477" s="93"/>
      <c r="D477" s="77"/>
      <c r="E477" s="78" t="s">
        <v>1504</v>
      </c>
      <c r="F477" s="78" t="s">
        <v>2276</v>
      </c>
      <c r="G477" s="78" t="s">
        <v>322</v>
      </c>
      <c r="H477" s="78" t="s">
        <v>321</v>
      </c>
      <c r="I477" s="78">
        <v>39</v>
      </c>
      <c r="J477" s="231"/>
    </row>
    <row r="478" spans="1:10" ht="15" thickBot="1" x14ac:dyDescent="0.35">
      <c r="A478" s="81"/>
      <c r="B478" s="83"/>
      <c r="C478" s="96"/>
      <c r="D478" s="83"/>
      <c r="E478" s="82" t="s">
        <v>1507</v>
      </c>
      <c r="F478" s="82" t="s">
        <v>2276</v>
      </c>
      <c r="G478" s="82" t="s">
        <v>1174</v>
      </c>
      <c r="H478" s="82" t="s">
        <v>1173</v>
      </c>
      <c r="I478" s="82"/>
      <c r="J478" s="231"/>
    </row>
    <row r="479" spans="1:10" x14ac:dyDescent="0.3">
      <c r="A479" s="72" t="s">
        <v>1500</v>
      </c>
      <c r="B479" s="73" t="s">
        <v>106</v>
      </c>
      <c r="C479" s="95" t="s">
        <v>1480</v>
      </c>
      <c r="D479" s="73" t="s">
        <v>1656</v>
      </c>
      <c r="E479" s="74" t="s">
        <v>1479</v>
      </c>
      <c r="F479" s="74" t="s">
        <v>1485</v>
      </c>
      <c r="G479" s="74" t="s">
        <v>2275</v>
      </c>
      <c r="H479" s="74"/>
      <c r="I479" s="74"/>
      <c r="J479" s="231"/>
    </row>
    <row r="480" spans="1:10" ht="15" thickBot="1" x14ac:dyDescent="0.35">
      <c r="A480" s="76"/>
      <c r="B480" s="77"/>
      <c r="C480" s="93"/>
      <c r="D480" s="77"/>
      <c r="E480" s="78" t="s">
        <v>1489</v>
      </c>
      <c r="F480" s="78" t="s">
        <v>2276</v>
      </c>
      <c r="G480" s="78" t="s">
        <v>100</v>
      </c>
      <c r="H480" s="78" t="s">
        <v>99</v>
      </c>
      <c r="I480" s="78">
        <v>7</v>
      </c>
      <c r="J480" s="232">
        <v>44</v>
      </c>
    </row>
    <row r="481" spans="1:10" x14ac:dyDescent="0.3">
      <c r="A481" s="76"/>
      <c r="B481" s="77"/>
      <c r="C481" s="93"/>
      <c r="D481" s="77"/>
      <c r="E481" s="78" t="s">
        <v>1493</v>
      </c>
      <c r="F481" s="78" t="s">
        <v>2276</v>
      </c>
      <c r="G481" s="78" t="s">
        <v>1056</v>
      </c>
      <c r="H481" s="78" t="s">
        <v>1055</v>
      </c>
      <c r="I481" s="78">
        <v>160</v>
      </c>
      <c r="J481" s="230"/>
    </row>
    <row r="482" spans="1:10" x14ac:dyDescent="0.3">
      <c r="A482" s="76"/>
      <c r="B482" s="77"/>
      <c r="C482" s="93"/>
      <c r="D482" s="77"/>
      <c r="E482" s="78" t="s">
        <v>1496</v>
      </c>
      <c r="F482" s="78" t="s">
        <v>2276</v>
      </c>
      <c r="G482" s="78" t="s">
        <v>1410</v>
      </c>
      <c r="H482" s="78" t="s">
        <v>1409</v>
      </c>
      <c r="I482" s="78"/>
      <c r="J482" s="231">
        <v>73</v>
      </c>
    </row>
    <row r="483" spans="1:10" x14ac:dyDescent="0.3">
      <c r="A483" s="76"/>
      <c r="B483" s="77"/>
      <c r="C483" s="93"/>
      <c r="D483" s="77"/>
      <c r="E483" s="78" t="s">
        <v>1499</v>
      </c>
      <c r="F483" s="78" t="s">
        <v>2276</v>
      </c>
      <c r="G483" s="78" t="s">
        <v>768</v>
      </c>
      <c r="H483" s="78" t="s">
        <v>767</v>
      </c>
      <c r="I483" s="78">
        <v>103</v>
      </c>
      <c r="J483" s="231">
        <v>2</v>
      </c>
    </row>
    <row r="484" spans="1:10" ht="15" thickBot="1" x14ac:dyDescent="0.35">
      <c r="A484" s="76"/>
      <c r="B484" s="77"/>
      <c r="C484" s="93"/>
      <c r="D484" s="77"/>
      <c r="E484" s="78" t="s">
        <v>1502</v>
      </c>
      <c r="F484" s="78" t="s">
        <v>2276</v>
      </c>
      <c r="G484" s="78" t="s">
        <v>491</v>
      </c>
      <c r="H484" s="78" t="s">
        <v>490</v>
      </c>
      <c r="I484" s="78">
        <v>64</v>
      </c>
      <c r="J484" s="232"/>
    </row>
    <row r="485" spans="1:10" x14ac:dyDescent="0.3">
      <c r="A485" s="76"/>
      <c r="B485" s="77"/>
      <c r="C485" s="93"/>
      <c r="D485" s="77"/>
      <c r="E485" s="78" t="s">
        <v>1504</v>
      </c>
      <c r="F485" s="78" t="s">
        <v>2276</v>
      </c>
      <c r="G485" s="78" t="s">
        <v>347</v>
      </c>
      <c r="H485" s="78" t="s">
        <v>346</v>
      </c>
      <c r="I485" s="78">
        <v>42</v>
      </c>
      <c r="J485" s="230"/>
    </row>
    <row r="486" spans="1:10" x14ac:dyDescent="0.3">
      <c r="A486" s="76"/>
      <c r="B486" s="77"/>
      <c r="C486" s="93"/>
      <c r="D486" s="77"/>
      <c r="E486" s="78" t="s">
        <v>1507</v>
      </c>
      <c r="F486" s="78" t="s">
        <v>2276</v>
      </c>
      <c r="G486" s="78" t="s">
        <v>1418</v>
      </c>
      <c r="H486" s="78" t="s">
        <v>1417</v>
      </c>
      <c r="I486" s="78"/>
      <c r="J486" s="231">
        <v>72</v>
      </c>
    </row>
    <row r="487" spans="1:10" ht="15" thickBot="1" x14ac:dyDescent="0.35">
      <c r="A487" s="81"/>
      <c r="B487" s="83"/>
      <c r="C487" s="96"/>
      <c r="D487" s="83"/>
      <c r="E487" s="82" t="s">
        <v>1586</v>
      </c>
      <c r="F487" s="82" t="s">
        <v>2276</v>
      </c>
      <c r="G487" s="82" t="s">
        <v>1186</v>
      </c>
      <c r="H487" s="82" t="s">
        <v>1185</v>
      </c>
      <c r="I487" s="82"/>
      <c r="J487" s="231">
        <v>1</v>
      </c>
    </row>
    <row r="488" spans="1:10" ht="15" thickBot="1" x14ac:dyDescent="0.35">
      <c r="A488" s="72" t="s">
        <v>1500</v>
      </c>
      <c r="B488" s="73" t="s">
        <v>301</v>
      </c>
      <c r="C488" s="95" t="s">
        <v>1480</v>
      </c>
      <c r="D488" s="73" t="s">
        <v>1941</v>
      </c>
      <c r="E488" s="74" t="s">
        <v>1479</v>
      </c>
      <c r="F488" s="74" t="s">
        <v>1485</v>
      </c>
      <c r="G488" s="74" t="s">
        <v>2275</v>
      </c>
      <c r="H488" s="74"/>
      <c r="I488" s="74"/>
      <c r="J488" s="232"/>
    </row>
    <row r="489" spans="1:10" x14ac:dyDescent="0.3">
      <c r="A489" s="76"/>
      <c r="B489" s="77"/>
      <c r="C489" s="93"/>
      <c r="D489" s="77"/>
      <c r="E489" s="78" t="s">
        <v>1489</v>
      </c>
      <c r="F489" s="78" t="s">
        <v>2276</v>
      </c>
      <c r="G489" s="78" t="s">
        <v>295</v>
      </c>
      <c r="H489" s="78" t="s">
        <v>294</v>
      </c>
      <c r="I489" s="78">
        <v>35</v>
      </c>
      <c r="J489" s="230"/>
    </row>
    <row r="490" spans="1:10" x14ac:dyDescent="0.3">
      <c r="A490" s="76"/>
      <c r="B490" s="77"/>
      <c r="C490" s="93"/>
      <c r="D490" s="77"/>
      <c r="E490" s="78" t="s">
        <v>1493</v>
      </c>
      <c r="F490" s="78" t="s">
        <v>2276</v>
      </c>
      <c r="G490" s="78" t="s">
        <v>615</v>
      </c>
      <c r="H490" s="78" t="s">
        <v>614</v>
      </c>
      <c r="I490" s="78">
        <v>80</v>
      </c>
      <c r="J490" s="231">
        <v>4</v>
      </c>
    </row>
    <row r="491" spans="1:10" x14ac:dyDescent="0.3">
      <c r="A491" s="76"/>
      <c r="B491" s="77"/>
      <c r="C491" s="93"/>
      <c r="D491" s="77"/>
      <c r="E491" s="78" t="s">
        <v>1496</v>
      </c>
      <c r="F491" s="78" t="s">
        <v>2276</v>
      </c>
      <c r="G491" s="78" t="s">
        <v>965</v>
      </c>
      <c r="H491" s="78" t="s">
        <v>964</v>
      </c>
      <c r="I491" s="78">
        <v>140</v>
      </c>
      <c r="J491" s="231">
        <v>92</v>
      </c>
    </row>
    <row r="492" spans="1:10" x14ac:dyDescent="0.3">
      <c r="A492" s="76"/>
      <c r="B492" s="77"/>
      <c r="C492" s="93"/>
      <c r="D492" s="77"/>
      <c r="E492" s="78" t="s">
        <v>1499</v>
      </c>
      <c r="F492" s="78" t="s">
        <v>2276</v>
      </c>
      <c r="G492" s="78" t="s">
        <v>482</v>
      </c>
      <c r="H492" s="78" t="s">
        <v>481</v>
      </c>
      <c r="I492" s="78">
        <v>63</v>
      </c>
      <c r="J492" s="231"/>
    </row>
    <row r="493" spans="1:10" ht="15" thickBot="1" x14ac:dyDescent="0.35">
      <c r="A493" s="81"/>
      <c r="B493" s="83"/>
      <c r="C493" s="96"/>
      <c r="D493" s="83"/>
      <c r="E493" s="82" t="s">
        <v>1502</v>
      </c>
      <c r="F493" s="82" t="s">
        <v>2276</v>
      </c>
      <c r="G493" s="82" t="s">
        <v>1311</v>
      </c>
      <c r="H493" s="82" t="s">
        <v>1310</v>
      </c>
      <c r="I493" s="82"/>
      <c r="J493" s="231"/>
    </row>
    <row r="494" spans="1:10" x14ac:dyDescent="0.3">
      <c r="A494" s="72" t="s">
        <v>1500</v>
      </c>
      <c r="B494" s="73" t="s">
        <v>315</v>
      </c>
      <c r="C494" s="95" t="s">
        <v>1480</v>
      </c>
      <c r="D494" s="73" t="s">
        <v>1945</v>
      </c>
      <c r="E494" s="74" t="s">
        <v>1479</v>
      </c>
      <c r="F494" s="74" t="s">
        <v>1485</v>
      </c>
      <c r="G494" s="74" t="s">
        <v>2275</v>
      </c>
      <c r="H494" s="74"/>
      <c r="I494" s="74"/>
      <c r="J494" s="231">
        <v>41</v>
      </c>
    </row>
    <row r="495" spans="1:10" x14ac:dyDescent="0.3">
      <c r="A495" s="76"/>
      <c r="B495" s="77"/>
      <c r="C495" s="93"/>
      <c r="D495" s="77"/>
      <c r="E495" s="78" t="s">
        <v>1489</v>
      </c>
      <c r="F495" s="78" t="s">
        <v>2276</v>
      </c>
      <c r="G495" s="78" t="s">
        <v>309</v>
      </c>
      <c r="H495" s="78" t="s">
        <v>308</v>
      </c>
      <c r="I495" s="78">
        <v>36</v>
      </c>
      <c r="J495" s="231"/>
    </row>
    <row r="496" spans="1:10" ht="15" thickBot="1" x14ac:dyDescent="0.35">
      <c r="A496" s="76"/>
      <c r="B496" s="77"/>
      <c r="C496" s="93"/>
      <c r="D496" s="77"/>
      <c r="E496" s="78" t="s">
        <v>1493</v>
      </c>
      <c r="F496" s="78" t="s">
        <v>2276</v>
      </c>
      <c r="G496" s="78" t="s">
        <v>1423</v>
      </c>
      <c r="H496" s="78" t="s">
        <v>1422</v>
      </c>
      <c r="I496" s="78"/>
      <c r="J496" s="232"/>
    </row>
    <row r="497" spans="1:10" x14ac:dyDescent="0.3">
      <c r="A497" s="76"/>
      <c r="B497" s="77"/>
      <c r="C497" s="93"/>
      <c r="D497" s="77"/>
      <c r="E497" s="78" t="s">
        <v>1496</v>
      </c>
      <c r="F497" s="78" t="s">
        <v>2276</v>
      </c>
      <c r="G497" s="78" t="s">
        <v>971</v>
      </c>
      <c r="H497" s="78" t="s">
        <v>970</v>
      </c>
      <c r="I497" s="78">
        <v>141</v>
      </c>
      <c r="J497" s="230"/>
    </row>
    <row r="498" spans="1:10" x14ac:dyDescent="0.3">
      <c r="A498" s="76"/>
      <c r="B498" s="77"/>
      <c r="C498" s="93"/>
      <c r="D498" s="77"/>
      <c r="E498" s="78" t="s">
        <v>1499</v>
      </c>
      <c r="F498" s="78" t="s">
        <v>2276</v>
      </c>
      <c r="G498" s="78" t="s">
        <v>775</v>
      </c>
      <c r="H498" s="78" t="s">
        <v>774</v>
      </c>
      <c r="I498" s="78">
        <v>104</v>
      </c>
      <c r="J498" s="231">
        <v>3</v>
      </c>
    </row>
    <row r="499" spans="1:10" x14ac:dyDescent="0.3">
      <c r="A499" s="76"/>
      <c r="B499" s="77"/>
      <c r="C499" s="93"/>
      <c r="D499" s="77"/>
      <c r="E499" s="78" t="s">
        <v>1502</v>
      </c>
      <c r="F499" s="78" t="s">
        <v>2276</v>
      </c>
      <c r="G499" s="78" t="s">
        <v>491</v>
      </c>
      <c r="H499" s="78" t="s">
        <v>490</v>
      </c>
      <c r="I499" s="78">
        <v>64</v>
      </c>
      <c r="J499" s="231">
        <v>91</v>
      </c>
    </row>
    <row r="500" spans="1:10" x14ac:dyDescent="0.3">
      <c r="A500" s="76"/>
      <c r="B500" s="77"/>
      <c r="C500" s="93"/>
      <c r="D500" s="77"/>
      <c r="E500" s="78" t="s">
        <v>1504</v>
      </c>
      <c r="F500" s="78" t="s">
        <v>2276</v>
      </c>
      <c r="G500" s="78" t="s">
        <v>1039</v>
      </c>
      <c r="H500" s="78" t="s">
        <v>1038</v>
      </c>
      <c r="I500" s="78">
        <v>157</v>
      </c>
      <c r="J500" s="231"/>
    </row>
    <row r="501" spans="1:10" ht="15" thickBot="1" x14ac:dyDescent="0.35">
      <c r="A501" s="81"/>
      <c r="B501" s="83"/>
      <c r="C501" s="96"/>
      <c r="D501" s="83"/>
      <c r="E501" s="82" t="s">
        <v>1507</v>
      </c>
      <c r="F501" s="82" t="s">
        <v>2276</v>
      </c>
      <c r="G501" s="82" t="s">
        <v>1315</v>
      </c>
      <c r="H501" s="82" t="s">
        <v>1314</v>
      </c>
      <c r="I501" s="82"/>
      <c r="J501" s="231"/>
    </row>
    <row r="502" spans="1:10" x14ac:dyDescent="0.3">
      <c r="A502" s="72" t="s">
        <v>1500</v>
      </c>
      <c r="B502" s="73" t="s">
        <v>383</v>
      </c>
      <c r="C502" s="95" t="s">
        <v>1480</v>
      </c>
      <c r="D502" s="73" t="s">
        <v>1994</v>
      </c>
      <c r="E502" s="74" t="s">
        <v>1479</v>
      </c>
      <c r="F502" s="74" t="s">
        <v>1485</v>
      </c>
      <c r="G502" s="74" t="s">
        <v>2275</v>
      </c>
      <c r="H502" s="74"/>
      <c r="I502" s="74"/>
      <c r="J502" s="231">
        <v>42</v>
      </c>
    </row>
    <row r="503" spans="1:10" x14ac:dyDescent="0.3">
      <c r="A503" s="76"/>
      <c r="B503" s="77"/>
      <c r="C503" s="93"/>
      <c r="D503" s="77"/>
      <c r="E503" s="78" t="s">
        <v>1489</v>
      </c>
      <c r="F503" s="78" t="s">
        <v>2276</v>
      </c>
      <c r="G503" s="78" t="s">
        <v>378</v>
      </c>
      <c r="H503" s="78" t="s">
        <v>377</v>
      </c>
      <c r="I503" s="78">
        <v>46</v>
      </c>
      <c r="J503" s="231"/>
    </row>
    <row r="504" spans="1:10" x14ac:dyDescent="0.3">
      <c r="A504" s="76"/>
      <c r="B504" s="77"/>
      <c r="C504" s="93"/>
      <c r="D504" s="77"/>
      <c r="E504" s="78" t="s">
        <v>1493</v>
      </c>
      <c r="F504" s="78" t="s">
        <v>2276</v>
      </c>
      <c r="G504" s="78" t="s">
        <v>629</v>
      </c>
      <c r="H504" s="78" t="s">
        <v>628</v>
      </c>
      <c r="I504" s="78">
        <v>82</v>
      </c>
      <c r="J504" s="231"/>
    </row>
    <row r="505" spans="1:10" ht="15" thickBot="1" x14ac:dyDescent="0.35">
      <c r="A505" s="76"/>
      <c r="B505" s="77"/>
      <c r="C505" s="93"/>
      <c r="D505" s="77"/>
      <c r="E505" s="78" t="s">
        <v>1496</v>
      </c>
      <c r="F505" s="78" t="s">
        <v>2276</v>
      </c>
      <c r="G505" s="78" t="s">
        <v>739</v>
      </c>
      <c r="H505" s="78" t="s">
        <v>738</v>
      </c>
      <c r="I505" s="78">
        <v>98</v>
      </c>
      <c r="J505" s="232"/>
    </row>
    <row r="506" spans="1:10" x14ac:dyDescent="0.3">
      <c r="A506" s="76"/>
      <c r="B506" s="77"/>
      <c r="C506" s="93"/>
      <c r="D506" s="77"/>
      <c r="E506" s="78" t="s">
        <v>1499</v>
      </c>
      <c r="F506" s="78" t="s">
        <v>2276</v>
      </c>
      <c r="G506" s="78" t="s">
        <v>999</v>
      </c>
      <c r="H506" s="78" t="s">
        <v>998</v>
      </c>
      <c r="I506" s="78">
        <v>146</v>
      </c>
      <c r="J506" s="230"/>
    </row>
    <row r="507" spans="1:10" ht="15" thickBot="1" x14ac:dyDescent="0.35">
      <c r="A507" s="81"/>
      <c r="B507" s="83"/>
      <c r="C507" s="96"/>
      <c r="D507" s="83"/>
      <c r="E507" s="82" t="s">
        <v>1502</v>
      </c>
      <c r="F507" s="82" t="s">
        <v>2276</v>
      </c>
      <c r="G507" s="82" t="s">
        <v>1319</v>
      </c>
      <c r="H507" s="82" t="s">
        <v>1318</v>
      </c>
      <c r="I507" s="82"/>
      <c r="J507" s="231">
        <v>22</v>
      </c>
    </row>
    <row r="508" spans="1:10" x14ac:dyDescent="0.3">
      <c r="A508" s="72" t="s">
        <v>1500</v>
      </c>
      <c r="B508" s="73" t="s">
        <v>432</v>
      </c>
      <c r="C508" s="95" t="s">
        <v>1480</v>
      </c>
      <c r="D508" s="73" t="s">
        <v>2000</v>
      </c>
      <c r="E508" s="74" t="s">
        <v>1479</v>
      </c>
      <c r="F508" s="74" t="s">
        <v>1485</v>
      </c>
      <c r="G508" s="74" t="s">
        <v>2275</v>
      </c>
      <c r="H508" s="74"/>
      <c r="I508" s="74"/>
      <c r="J508" s="231"/>
    </row>
    <row r="509" spans="1:10" x14ac:dyDescent="0.3">
      <c r="A509" s="76"/>
      <c r="B509" s="77"/>
      <c r="C509" s="93"/>
      <c r="D509" s="77"/>
      <c r="E509" s="78" t="s">
        <v>1489</v>
      </c>
      <c r="F509" s="78" t="s">
        <v>2276</v>
      </c>
      <c r="G509" s="78" t="s">
        <v>428</v>
      </c>
      <c r="H509" s="78" t="s">
        <v>427</v>
      </c>
      <c r="I509" s="78">
        <v>52</v>
      </c>
      <c r="J509" s="231">
        <v>80</v>
      </c>
    </row>
    <row r="510" spans="1:10" x14ac:dyDescent="0.3">
      <c r="A510" s="76"/>
      <c r="B510" s="77"/>
      <c r="C510" s="93"/>
      <c r="D510" s="77"/>
      <c r="E510" s="78" t="s">
        <v>1493</v>
      </c>
      <c r="F510" s="78" t="s">
        <v>2276</v>
      </c>
      <c r="G510" s="78" t="s">
        <v>645</v>
      </c>
      <c r="H510" s="78" t="s">
        <v>644</v>
      </c>
      <c r="I510" s="78">
        <v>84</v>
      </c>
      <c r="J510" s="231">
        <v>41</v>
      </c>
    </row>
    <row r="511" spans="1:10" ht="15" thickBot="1" x14ac:dyDescent="0.35">
      <c r="A511" s="76"/>
      <c r="B511" s="77"/>
      <c r="C511" s="93"/>
      <c r="D511" s="77"/>
      <c r="E511" s="78" t="s">
        <v>1496</v>
      </c>
      <c r="F511" s="78" t="s">
        <v>2276</v>
      </c>
      <c r="G511" s="78" t="s">
        <v>733</v>
      </c>
      <c r="H511" s="78" t="s">
        <v>732</v>
      </c>
      <c r="I511" s="78">
        <v>97</v>
      </c>
      <c r="J511" s="232"/>
    </row>
    <row r="512" spans="1:10" x14ac:dyDescent="0.3">
      <c r="A512" s="76"/>
      <c r="B512" s="77"/>
      <c r="C512" s="93"/>
      <c r="D512" s="77"/>
      <c r="E512" s="78" t="s">
        <v>1499</v>
      </c>
      <c r="F512" s="78" t="s">
        <v>2276</v>
      </c>
      <c r="G512" s="78" t="s">
        <v>1004</v>
      </c>
      <c r="H512" s="78" t="s">
        <v>1003</v>
      </c>
      <c r="I512" s="78">
        <v>147</v>
      </c>
      <c r="J512" s="230"/>
    </row>
    <row r="513" spans="1:10" ht="15" thickBot="1" x14ac:dyDescent="0.35">
      <c r="A513" s="81"/>
      <c r="B513" s="83"/>
      <c r="C513" s="96"/>
      <c r="D513" s="83"/>
      <c r="E513" s="82" t="s">
        <v>1502</v>
      </c>
      <c r="F513" s="82" t="s">
        <v>2276</v>
      </c>
      <c r="G513" s="82" t="s">
        <v>1339</v>
      </c>
      <c r="H513" s="82" t="s">
        <v>1338</v>
      </c>
      <c r="I513" s="82"/>
      <c r="J513" s="231">
        <v>23</v>
      </c>
    </row>
    <row r="514" spans="1:10" x14ac:dyDescent="0.3">
      <c r="A514" s="72" t="s">
        <v>1500</v>
      </c>
      <c r="B514" s="73" t="s">
        <v>503</v>
      </c>
      <c r="C514" s="95" t="s">
        <v>1480</v>
      </c>
      <c r="D514" s="73" t="s">
        <v>1684</v>
      </c>
      <c r="E514" s="74" t="s">
        <v>1479</v>
      </c>
      <c r="F514" s="74" t="s">
        <v>1485</v>
      </c>
      <c r="G514" s="74" t="s">
        <v>2275</v>
      </c>
      <c r="H514" s="74"/>
      <c r="I514" s="74"/>
      <c r="J514" s="231"/>
    </row>
    <row r="515" spans="1:10" x14ac:dyDescent="0.3">
      <c r="A515" s="76"/>
      <c r="B515" s="77"/>
      <c r="C515" s="93"/>
      <c r="D515" s="77"/>
      <c r="E515" s="78" t="s">
        <v>1489</v>
      </c>
      <c r="F515" s="78" t="s">
        <v>2276</v>
      </c>
      <c r="G515" s="78" t="s">
        <v>499</v>
      </c>
      <c r="H515" s="78" t="s">
        <v>498</v>
      </c>
      <c r="I515" s="78">
        <v>65</v>
      </c>
      <c r="J515" s="231">
        <v>81</v>
      </c>
    </row>
    <row r="516" spans="1:10" x14ac:dyDescent="0.3">
      <c r="A516" s="76"/>
      <c r="B516" s="77"/>
      <c r="C516" s="93"/>
      <c r="D516" s="77"/>
      <c r="E516" s="78" t="s">
        <v>1493</v>
      </c>
      <c r="F516" s="78" t="s">
        <v>2276</v>
      </c>
      <c r="G516" s="78" t="s">
        <v>652</v>
      </c>
      <c r="H516" s="78" t="s">
        <v>651</v>
      </c>
      <c r="I516" s="78">
        <v>85</v>
      </c>
      <c r="J516" s="231"/>
    </row>
    <row r="517" spans="1:10" x14ac:dyDescent="0.3">
      <c r="A517" s="76"/>
      <c r="B517" s="77"/>
      <c r="C517" s="93"/>
      <c r="D517" s="77"/>
      <c r="E517" s="78" t="s">
        <v>1496</v>
      </c>
      <c r="F517" s="78" t="s">
        <v>2276</v>
      </c>
      <c r="G517" s="78" t="s">
        <v>720</v>
      </c>
      <c r="H517" s="78" t="s">
        <v>719</v>
      </c>
      <c r="I517" s="78">
        <v>95</v>
      </c>
      <c r="J517" s="231">
        <v>42</v>
      </c>
    </row>
    <row r="518" spans="1:10" x14ac:dyDescent="0.3">
      <c r="A518" s="76"/>
      <c r="B518" s="77"/>
      <c r="C518" s="93"/>
      <c r="D518" s="77"/>
      <c r="E518" s="78" t="s">
        <v>1499</v>
      </c>
      <c r="F518" s="78" t="s">
        <v>2276</v>
      </c>
      <c r="G518" s="78" t="s">
        <v>1013</v>
      </c>
      <c r="H518" s="78" t="s">
        <v>1012</v>
      </c>
      <c r="I518" s="78">
        <v>152</v>
      </c>
      <c r="J518" s="231"/>
    </row>
    <row r="519" spans="1:10" ht="15" thickBot="1" x14ac:dyDescent="0.35">
      <c r="A519" s="81"/>
      <c r="B519" s="83"/>
      <c r="C519" s="96"/>
      <c r="D519" s="83"/>
      <c r="E519" s="82" t="s">
        <v>1502</v>
      </c>
      <c r="F519" s="82" t="s">
        <v>2276</v>
      </c>
      <c r="G519" s="82" t="s">
        <v>1347</v>
      </c>
      <c r="H519" s="82" t="s">
        <v>1346</v>
      </c>
      <c r="I519" s="82"/>
      <c r="J519" s="232"/>
    </row>
    <row r="520" spans="1:10" x14ac:dyDescent="0.3">
      <c r="A520" s="72" t="s">
        <v>1500</v>
      </c>
      <c r="B520" s="73" t="s">
        <v>439</v>
      </c>
      <c r="C520" s="95" t="s">
        <v>1480</v>
      </c>
      <c r="D520" s="73" t="s">
        <v>1914</v>
      </c>
      <c r="E520" s="74" t="s">
        <v>1479</v>
      </c>
      <c r="F520" s="74" t="s">
        <v>1485</v>
      </c>
      <c r="G520" s="74" t="s">
        <v>2275</v>
      </c>
      <c r="H520" s="74"/>
      <c r="I520" s="74"/>
      <c r="J520" s="230"/>
    </row>
    <row r="521" spans="1:10" x14ac:dyDescent="0.3">
      <c r="A521" s="76"/>
      <c r="B521" s="77"/>
      <c r="C521" s="93"/>
      <c r="D521" s="77"/>
      <c r="E521" s="78" t="s">
        <v>1489</v>
      </c>
      <c r="F521" s="78" t="s">
        <v>2276</v>
      </c>
      <c r="G521" s="78" t="s">
        <v>507</v>
      </c>
      <c r="H521" s="78" t="s">
        <v>506</v>
      </c>
      <c r="I521" s="78">
        <v>66</v>
      </c>
      <c r="J521" s="231">
        <v>26</v>
      </c>
    </row>
    <row r="522" spans="1:10" x14ac:dyDescent="0.3">
      <c r="A522" s="76"/>
      <c r="B522" s="77"/>
      <c r="C522" s="93"/>
      <c r="D522" s="77"/>
      <c r="E522" s="78" t="s">
        <v>1493</v>
      </c>
      <c r="F522" s="78" t="s">
        <v>2276</v>
      </c>
      <c r="G522" s="78" t="s">
        <v>660</v>
      </c>
      <c r="H522" s="78" t="s">
        <v>659</v>
      </c>
      <c r="I522" s="78">
        <v>86</v>
      </c>
      <c r="J522" s="231"/>
    </row>
    <row r="523" spans="1:10" x14ac:dyDescent="0.3">
      <c r="A523" s="76"/>
      <c r="B523" s="77"/>
      <c r="C523" s="93"/>
      <c r="D523" s="77"/>
      <c r="E523" s="78" t="s">
        <v>1496</v>
      </c>
      <c r="F523" s="78" t="s">
        <v>2276</v>
      </c>
      <c r="G523" s="78" t="s">
        <v>685</v>
      </c>
      <c r="H523" s="78" t="s">
        <v>684</v>
      </c>
      <c r="I523" s="78">
        <v>90</v>
      </c>
      <c r="J523" s="231">
        <v>56</v>
      </c>
    </row>
    <row r="524" spans="1:10" x14ac:dyDescent="0.3">
      <c r="A524" s="76"/>
      <c r="B524" s="77"/>
      <c r="C524" s="93"/>
      <c r="D524" s="77"/>
      <c r="E524" s="78" t="s">
        <v>1499</v>
      </c>
      <c r="F524" s="78" t="s">
        <v>2276</v>
      </c>
      <c r="G524" s="78" t="s">
        <v>437</v>
      </c>
      <c r="H524" s="78" t="s">
        <v>436</v>
      </c>
      <c r="I524" s="78">
        <v>53</v>
      </c>
      <c r="J524" s="231">
        <v>84</v>
      </c>
    </row>
    <row r="525" spans="1:10" ht="15" thickBot="1" x14ac:dyDescent="0.35">
      <c r="A525" s="76"/>
      <c r="B525" s="77"/>
      <c r="C525" s="93"/>
      <c r="D525" s="77"/>
      <c r="E525" s="78" t="s">
        <v>1502</v>
      </c>
      <c r="F525" s="78" t="s">
        <v>2276</v>
      </c>
      <c r="G525" s="78" t="s">
        <v>516</v>
      </c>
      <c r="H525" s="78" t="s">
        <v>515</v>
      </c>
      <c r="I525" s="78">
        <v>67</v>
      </c>
      <c r="J525" s="232"/>
    </row>
    <row r="526" spans="1:10" ht="15" thickBot="1" x14ac:dyDescent="0.35">
      <c r="A526" s="81"/>
      <c r="B526" s="83"/>
      <c r="C526" s="96"/>
      <c r="D526" s="83"/>
      <c r="E526" s="82" t="s">
        <v>1504</v>
      </c>
      <c r="F526" s="82" t="s">
        <v>2276</v>
      </c>
      <c r="G526" s="82" t="s">
        <v>1351</v>
      </c>
      <c r="H526" s="82" t="s">
        <v>1350</v>
      </c>
      <c r="I526" s="82"/>
      <c r="J526" s="230"/>
    </row>
    <row r="527" spans="1:10" x14ac:dyDescent="0.3">
      <c r="A527" s="72" t="s">
        <v>1500</v>
      </c>
      <c r="B527" s="73" t="s">
        <v>557</v>
      </c>
      <c r="C527" s="95" t="s">
        <v>1480</v>
      </c>
      <c r="D527" s="73" t="s">
        <v>2021</v>
      </c>
      <c r="E527" s="74" t="s">
        <v>1479</v>
      </c>
      <c r="F527" s="74" t="s">
        <v>1485</v>
      </c>
      <c r="G527" s="74" t="s">
        <v>2275</v>
      </c>
      <c r="H527" s="74"/>
      <c r="I527" s="74"/>
      <c r="J527" s="231">
        <v>32</v>
      </c>
    </row>
    <row r="528" spans="1:10" x14ac:dyDescent="0.3">
      <c r="A528" s="76"/>
      <c r="B528" s="77"/>
      <c r="C528" s="93"/>
      <c r="D528" s="77"/>
      <c r="E528" s="78" t="s">
        <v>1489</v>
      </c>
      <c r="F528" s="78" t="s">
        <v>2276</v>
      </c>
      <c r="G528" s="78" t="s">
        <v>552</v>
      </c>
      <c r="H528" s="78" t="s">
        <v>551</v>
      </c>
      <c r="I528" s="78">
        <v>71</v>
      </c>
      <c r="J528" s="231"/>
    </row>
    <row r="529" spans="1:10" x14ac:dyDescent="0.3">
      <c r="A529" s="76"/>
      <c r="B529" s="77"/>
      <c r="C529" s="93"/>
      <c r="D529" s="77"/>
      <c r="E529" s="78" t="s">
        <v>1493</v>
      </c>
      <c r="F529" s="78" t="s">
        <v>2276</v>
      </c>
      <c r="G529" s="78" t="s">
        <v>666</v>
      </c>
      <c r="H529" s="78" t="s">
        <v>665</v>
      </c>
      <c r="I529" s="78">
        <v>87</v>
      </c>
      <c r="J529" s="231">
        <v>55</v>
      </c>
    </row>
    <row r="530" spans="1:10" x14ac:dyDescent="0.3">
      <c r="A530" s="76"/>
      <c r="B530" s="77"/>
      <c r="C530" s="93"/>
      <c r="D530" s="77"/>
      <c r="E530" s="78" t="s">
        <v>1496</v>
      </c>
      <c r="F530" s="78" t="s">
        <v>2276</v>
      </c>
      <c r="G530" s="78" t="s">
        <v>621</v>
      </c>
      <c r="H530" s="78" t="s">
        <v>620</v>
      </c>
      <c r="I530" s="78">
        <v>81</v>
      </c>
      <c r="J530" s="231">
        <v>85</v>
      </c>
    </row>
    <row r="531" spans="1:10" ht="15" thickBot="1" x14ac:dyDescent="0.35">
      <c r="A531" s="81"/>
      <c r="B531" s="83"/>
      <c r="C531" s="96"/>
      <c r="D531" s="83"/>
      <c r="E531" s="82" t="s">
        <v>1499</v>
      </c>
      <c r="F531" s="82" t="s">
        <v>2276</v>
      </c>
      <c r="G531" s="82" t="s">
        <v>1355</v>
      </c>
      <c r="H531" s="82" t="s">
        <v>1354</v>
      </c>
      <c r="I531" s="82"/>
      <c r="J531" s="232"/>
    </row>
    <row r="532" spans="1:10" x14ac:dyDescent="0.3">
      <c r="A532" s="72" t="s">
        <v>1500</v>
      </c>
      <c r="B532" s="73" t="s">
        <v>584</v>
      </c>
      <c r="C532" s="95" t="s">
        <v>1480</v>
      </c>
      <c r="D532" s="73" t="s">
        <v>1806</v>
      </c>
      <c r="E532" s="74" t="s">
        <v>1479</v>
      </c>
      <c r="F532" s="74" t="s">
        <v>1485</v>
      </c>
      <c r="G532" s="74" t="s">
        <v>2275</v>
      </c>
      <c r="H532" s="74"/>
      <c r="I532" s="74"/>
      <c r="J532" s="230"/>
    </row>
    <row r="533" spans="1:10" x14ac:dyDescent="0.3">
      <c r="A533" s="76"/>
      <c r="B533" s="77"/>
      <c r="C533" s="93"/>
      <c r="D533" s="77"/>
      <c r="E533" s="78" t="s">
        <v>1489</v>
      </c>
      <c r="F533" s="78" t="s">
        <v>2276</v>
      </c>
      <c r="G533" s="78" t="s">
        <v>577</v>
      </c>
      <c r="H533" s="78" t="s">
        <v>576</v>
      </c>
      <c r="I533" s="78">
        <v>74</v>
      </c>
      <c r="J533" s="231">
        <v>43</v>
      </c>
    </row>
    <row r="534" spans="1:10" x14ac:dyDescent="0.3">
      <c r="A534" s="76"/>
      <c r="B534" s="77"/>
      <c r="C534" s="93"/>
      <c r="D534" s="77"/>
      <c r="E534" s="78" t="s">
        <v>1493</v>
      </c>
      <c r="F534" s="78" t="s">
        <v>2276</v>
      </c>
      <c r="G534" s="78" t="s">
        <v>672</v>
      </c>
      <c r="H534" s="78" t="s">
        <v>671</v>
      </c>
      <c r="I534" s="78">
        <v>88</v>
      </c>
      <c r="J534" s="231"/>
    </row>
    <row r="535" spans="1:10" ht="15" thickBot="1" x14ac:dyDescent="0.35">
      <c r="A535" s="81"/>
      <c r="B535" s="83"/>
      <c r="C535" s="96"/>
      <c r="D535" s="83"/>
      <c r="E535" s="82" t="s">
        <v>1496</v>
      </c>
      <c r="F535" s="82" t="s">
        <v>2276</v>
      </c>
      <c r="G535" s="82" t="s">
        <v>1360</v>
      </c>
      <c r="H535" s="82" t="s">
        <v>1359</v>
      </c>
      <c r="I535" s="82"/>
      <c r="J535" s="231">
        <v>54</v>
      </c>
    </row>
    <row r="536" spans="1:10" x14ac:dyDescent="0.3">
      <c r="A536" s="72" t="s">
        <v>1500</v>
      </c>
      <c r="B536" s="73" t="s">
        <v>609</v>
      </c>
      <c r="C536" s="95" t="s">
        <v>1480</v>
      </c>
      <c r="D536" s="73" t="s">
        <v>1798</v>
      </c>
      <c r="E536" s="74" t="s">
        <v>1479</v>
      </c>
      <c r="F536" s="74" t="s">
        <v>1485</v>
      </c>
      <c r="G536" s="74" t="s">
        <v>2275</v>
      </c>
      <c r="H536" s="74"/>
      <c r="I536" s="74"/>
      <c r="J536" s="231">
        <v>88</v>
      </c>
    </row>
    <row r="537" spans="1:10" ht="15" thickBot="1" x14ac:dyDescent="0.35">
      <c r="A537" s="76"/>
      <c r="B537" s="77"/>
      <c r="C537" s="93"/>
      <c r="D537" s="77"/>
      <c r="E537" s="78" t="s">
        <v>1489</v>
      </c>
      <c r="F537" s="78" t="s">
        <v>2276</v>
      </c>
      <c r="G537" s="78" t="s">
        <v>604</v>
      </c>
      <c r="H537" s="78" t="s">
        <v>603</v>
      </c>
      <c r="I537" s="78">
        <v>79</v>
      </c>
      <c r="J537" s="232"/>
    </row>
    <row r="538" spans="1:10" x14ac:dyDescent="0.3">
      <c r="A538" s="76"/>
      <c r="B538" s="77"/>
      <c r="C538" s="93"/>
      <c r="D538" s="77"/>
      <c r="E538" s="78" t="s">
        <v>1493</v>
      </c>
      <c r="F538" s="78" t="s">
        <v>2276</v>
      </c>
      <c r="G538" s="78" t="s">
        <v>679</v>
      </c>
      <c r="H538" s="78" t="s">
        <v>678</v>
      </c>
      <c r="I538" s="78">
        <v>89</v>
      </c>
      <c r="J538" s="230"/>
    </row>
    <row r="539" spans="1:10" ht="15" thickBot="1" x14ac:dyDescent="0.35">
      <c r="A539" s="81"/>
      <c r="B539" s="83"/>
      <c r="C539" s="96"/>
      <c r="D539" s="83"/>
      <c r="E539" s="82" t="s">
        <v>1496</v>
      </c>
      <c r="F539" s="82" t="s">
        <v>2276</v>
      </c>
      <c r="G539" s="82" t="s">
        <v>1365</v>
      </c>
      <c r="H539" s="82" t="s">
        <v>1364</v>
      </c>
      <c r="I539" s="82"/>
      <c r="J539" s="231">
        <v>44</v>
      </c>
    </row>
    <row r="540" spans="1:10" x14ac:dyDescent="0.3">
      <c r="A540" s="72" t="s">
        <v>1500</v>
      </c>
      <c r="B540" s="73" t="s">
        <v>638</v>
      </c>
      <c r="C540" s="95" t="s">
        <v>1480</v>
      </c>
      <c r="D540" s="73" t="s">
        <v>1603</v>
      </c>
      <c r="E540" s="74" t="s">
        <v>1479</v>
      </c>
      <c r="F540" s="74" t="s">
        <v>1485</v>
      </c>
      <c r="G540" s="74" t="s">
        <v>2275</v>
      </c>
      <c r="H540" s="74"/>
      <c r="I540" s="74"/>
      <c r="J540" s="231"/>
    </row>
    <row r="541" spans="1:10" x14ac:dyDescent="0.3">
      <c r="A541" s="76"/>
      <c r="B541" s="77"/>
      <c r="C541" s="93"/>
      <c r="D541" s="77"/>
      <c r="E541" s="78" t="s">
        <v>1489</v>
      </c>
      <c r="F541" s="78" t="s">
        <v>2276</v>
      </c>
      <c r="G541" s="78" t="s">
        <v>783</v>
      </c>
      <c r="H541" s="78" t="s">
        <v>782</v>
      </c>
      <c r="I541" s="78">
        <v>109</v>
      </c>
      <c r="J541" s="231">
        <v>51</v>
      </c>
    </row>
    <row r="542" spans="1:10" x14ac:dyDescent="0.3">
      <c r="A542" s="76"/>
      <c r="B542" s="77"/>
      <c r="C542" s="93"/>
      <c r="D542" s="77"/>
      <c r="E542" s="78" t="s">
        <v>1493</v>
      </c>
      <c r="F542" s="78" t="s">
        <v>2276</v>
      </c>
      <c r="G542" s="78" t="s">
        <v>693</v>
      </c>
      <c r="H542" s="78" t="s">
        <v>692</v>
      </c>
      <c r="I542" s="78">
        <v>91</v>
      </c>
      <c r="J542" s="231">
        <v>33</v>
      </c>
    </row>
    <row r="543" spans="1:10" x14ac:dyDescent="0.3">
      <c r="A543" s="76"/>
      <c r="B543" s="77"/>
      <c r="C543" s="93"/>
      <c r="D543" s="77"/>
      <c r="E543" s="78" t="s">
        <v>1496</v>
      </c>
      <c r="F543" s="78" t="s">
        <v>2276</v>
      </c>
      <c r="G543" s="78" t="s">
        <v>685</v>
      </c>
      <c r="H543" s="78" t="s">
        <v>684</v>
      </c>
      <c r="I543" s="78">
        <v>90</v>
      </c>
      <c r="J543" s="231"/>
    </row>
    <row r="544" spans="1:10" ht="15" thickBot="1" x14ac:dyDescent="0.35">
      <c r="A544" s="76"/>
      <c r="B544" s="77"/>
      <c r="C544" s="93"/>
      <c r="D544" s="77"/>
      <c r="E544" s="78" t="s">
        <v>1499</v>
      </c>
      <c r="F544" s="78" t="s">
        <v>2276</v>
      </c>
      <c r="G544" s="78" t="s">
        <v>763</v>
      </c>
      <c r="H544" s="78" t="s">
        <v>762</v>
      </c>
      <c r="I544" s="78">
        <v>102</v>
      </c>
      <c r="J544" s="232"/>
    </row>
    <row r="545" spans="1:10" x14ac:dyDescent="0.3">
      <c r="A545" s="76"/>
      <c r="B545" s="77"/>
      <c r="C545" s="93"/>
      <c r="D545" s="77"/>
      <c r="E545" s="78" t="s">
        <v>1502</v>
      </c>
      <c r="F545" s="78" t="s">
        <v>2276</v>
      </c>
      <c r="G545" s="78" t="s">
        <v>636</v>
      </c>
      <c r="H545" s="78" t="s">
        <v>635</v>
      </c>
      <c r="I545" s="78">
        <v>83</v>
      </c>
      <c r="J545" s="230"/>
    </row>
    <row r="546" spans="1:10" ht="15" thickBot="1" x14ac:dyDescent="0.35">
      <c r="A546" s="81"/>
      <c r="B546" s="83"/>
      <c r="C546" s="96"/>
      <c r="D546" s="83"/>
      <c r="E546" s="82" t="s">
        <v>1504</v>
      </c>
      <c r="F546" s="82" t="s">
        <v>2276</v>
      </c>
      <c r="G546" s="82" t="s">
        <v>1370</v>
      </c>
      <c r="H546" s="82" t="s">
        <v>1369</v>
      </c>
      <c r="I546" s="82"/>
      <c r="J546" s="231">
        <v>46</v>
      </c>
    </row>
    <row r="547" spans="1:10" x14ac:dyDescent="0.3">
      <c r="A547" s="72" t="s">
        <v>1500</v>
      </c>
      <c r="B547" s="73" t="s">
        <v>79</v>
      </c>
      <c r="C547" s="95" t="s">
        <v>1480</v>
      </c>
      <c r="D547" s="73" t="s">
        <v>1521</v>
      </c>
      <c r="E547" s="74" t="s">
        <v>1479</v>
      </c>
      <c r="F547" s="74" t="s">
        <v>1485</v>
      </c>
      <c r="G547" s="74" t="s">
        <v>2275</v>
      </c>
      <c r="H547" s="74"/>
      <c r="I547" s="74"/>
      <c r="J547" s="231"/>
    </row>
    <row r="548" spans="1:10" x14ac:dyDescent="0.3">
      <c r="A548" s="76"/>
      <c r="B548" s="77"/>
      <c r="C548" s="93"/>
      <c r="D548" s="77"/>
      <c r="E548" s="78" t="s">
        <v>1489</v>
      </c>
      <c r="F548" s="78" t="s">
        <v>2276</v>
      </c>
      <c r="G548" s="78" t="s">
        <v>73</v>
      </c>
      <c r="H548" s="78" t="s">
        <v>72</v>
      </c>
      <c r="I548" s="78">
        <v>5</v>
      </c>
      <c r="J548" s="231">
        <v>49</v>
      </c>
    </row>
    <row r="549" spans="1:10" ht="15" thickBot="1" x14ac:dyDescent="0.35">
      <c r="A549" s="76"/>
      <c r="B549" s="77"/>
      <c r="C549" s="93"/>
      <c r="D549" s="77"/>
      <c r="E549" s="78" t="s">
        <v>1493</v>
      </c>
      <c r="F549" s="78" t="s">
        <v>2276</v>
      </c>
      <c r="G549" s="78" t="s">
        <v>946</v>
      </c>
      <c r="H549" s="78" t="s">
        <v>945</v>
      </c>
      <c r="I549" s="78">
        <v>137</v>
      </c>
      <c r="J549" s="232"/>
    </row>
    <row r="550" spans="1:10" x14ac:dyDescent="0.3">
      <c r="A550" s="76"/>
      <c r="B550" s="77"/>
      <c r="C550" s="93"/>
      <c r="D550" s="77"/>
      <c r="E550" s="78" t="s">
        <v>1496</v>
      </c>
      <c r="F550" s="78" t="s">
        <v>2276</v>
      </c>
      <c r="G550" s="78" t="s">
        <v>1414</v>
      </c>
      <c r="H550" s="78" t="s">
        <v>1413</v>
      </c>
      <c r="I550" s="78"/>
      <c r="J550" s="230"/>
    </row>
    <row r="551" spans="1:10" x14ac:dyDescent="0.3">
      <c r="A551" s="76"/>
      <c r="B551" s="77"/>
      <c r="C551" s="93"/>
      <c r="D551" s="77"/>
      <c r="E551" s="78" t="s">
        <v>1499</v>
      </c>
      <c r="F551" s="78" t="s">
        <v>2276</v>
      </c>
      <c r="G551" s="78" t="s">
        <v>1118</v>
      </c>
      <c r="H551" s="78" t="s">
        <v>1117</v>
      </c>
      <c r="I551" s="78"/>
      <c r="J551" s="231">
        <v>47</v>
      </c>
    </row>
    <row r="552" spans="1:10" x14ac:dyDescent="0.3">
      <c r="A552" s="76"/>
      <c r="B552" s="77"/>
      <c r="C552" s="93"/>
      <c r="D552" s="77"/>
      <c r="E552" s="78" t="s">
        <v>1502</v>
      </c>
      <c r="F552" s="78" t="s">
        <v>2276</v>
      </c>
      <c r="G552" s="78" t="s">
        <v>354</v>
      </c>
      <c r="H552" s="78" t="s">
        <v>353</v>
      </c>
      <c r="I552" s="78">
        <v>43</v>
      </c>
      <c r="J552" s="231"/>
    </row>
    <row r="553" spans="1:10" ht="15" thickBot="1" x14ac:dyDescent="0.35">
      <c r="A553" s="76"/>
      <c r="B553" s="77"/>
      <c r="C553" s="93"/>
      <c r="D553" s="77"/>
      <c r="E553" s="78" t="s">
        <v>1504</v>
      </c>
      <c r="F553" s="78" t="s">
        <v>2276</v>
      </c>
      <c r="G553" s="78" t="s">
        <v>183</v>
      </c>
      <c r="H553" s="78" t="s">
        <v>182</v>
      </c>
      <c r="I553" s="78">
        <v>15</v>
      </c>
      <c r="J553" s="232"/>
    </row>
    <row r="554" spans="1:10" x14ac:dyDescent="0.3">
      <c r="A554" s="76"/>
      <c r="B554" s="77"/>
      <c r="C554" s="93"/>
      <c r="D554" s="77"/>
      <c r="E554" s="78" t="s">
        <v>1507</v>
      </c>
      <c r="F554" s="78" t="s">
        <v>2276</v>
      </c>
      <c r="G554" s="78" t="s">
        <v>728</v>
      </c>
      <c r="H554" s="78" t="s">
        <v>727</v>
      </c>
      <c r="I554" s="78">
        <v>96</v>
      </c>
      <c r="J554" s="230"/>
    </row>
    <row r="555" spans="1:10" x14ac:dyDescent="0.3">
      <c r="A555" s="76"/>
      <c r="B555" s="77"/>
      <c r="C555" s="93"/>
      <c r="D555" s="77"/>
      <c r="E555" s="78" t="s">
        <v>1586</v>
      </c>
      <c r="F555" s="78" t="s">
        <v>2276</v>
      </c>
      <c r="G555" s="78" t="s">
        <v>1066</v>
      </c>
      <c r="H555" s="78" t="s">
        <v>1065</v>
      </c>
      <c r="I555" s="78">
        <v>162</v>
      </c>
      <c r="J555" s="231">
        <v>48</v>
      </c>
    </row>
    <row r="556" spans="1:10" ht="15" thickBot="1" x14ac:dyDescent="0.35">
      <c r="A556" s="81"/>
      <c r="B556" s="83"/>
      <c r="C556" s="96"/>
      <c r="D556" s="83"/>
      <c r="E556" s="82" t="s">
        <v>1759</v>
      </c>
      <c r="F556" s="82" t="s">
        <v>2276</v>
      </c>
      <c r="G556" s="82" t="s">
        <v>1190</v>
      </c>
      <c r="H556" s="82" t="s">
        <v>1189</v>
      </c>
      <c r="I556" s="82"/>
      <c r="J556" s="231"/>
    </row>
    <row r="557" spans="1:10" ht="15" thickBot="1" x14ac:dyDescent="0.35">
      <c r="A557" s="72" t="s">
        <v>1500</v>
      </c>
      <c r="B557" s="73" t="s">
        <v>709</v>
      </c>
      <c r="C557" s="95" t="s">
        <v>1480</v>
      </c>
      <c r="D557" s="73" t="s">
        <v>1897</v>
      </c>
      <c r="E557" s="74" t="s">
        <v>1479</v>
      </c>
      <c r="F557" s="74" t="s">
        <v>1485</v>
      </c>
      <c r="G557" s="74" t="s">
        <v>2275</v>
      </c>
      <c r="H557" s="74"/>
      <c r="I557" s="74"/>
      <c r="J557" s="232"/>
    </row>
    <row r="558" spans="1:10" x14ac:dyDescent="0.3">
      <c r="A558" s="76"/>
      <c r="B558" s="77"/>
      <c r="C558" s="93"/>
      <c r="D558" s="77"/>
      <c r="E558" s="78" t="s">
        <v>1489</v>
      </c>
      <c r="F558" s="78" t="s">
        <v>2276</v>
      </c>
      <c r="G558" s="78" t="s">
        <v>788</v>
      </c>
      <c r="H558" s="78" t="s">
        <v>787</v>
      </c>
      <c r="I558" s="78">
        <v>110</v>
      </c>
      <c r="J558" s="230"/>
    </row>
    <row r="559" spans="1:10" x14ac:dyDescent="0.3">
      <c r="A559" s="76"/>
      <c r="B559" s="77"/>
      <c r="C559" s="93"/>
      <c r="D559" s="77"/>
      <c r="E559" s="78" t="s">
        <v>1493</v>
      </c>
      <c r="F559" s="78" t="s">
        <v>2276</v>
      </c>
      <c r="G559" s="78" t="s">
        <v>707</v>
      </c>
      <c r="H559" s="78" t="s">
        <v>706</v>
      </c>
      <c r="I559" s="78">
        <v>93</v>
      </c>
      <c r="J559" s="231"/>
    </row>
    <row r="560" spans="1:10" ht="15" thickBot="1" x14ac:dyDescent="0.35">
      <c r="A560" s="81"/>
      <c r="B560" s="83"/>
      <c r="C560" s="96"/>
      <c r="D560" s="83"/>
      <c r="E560" s="82" t="s">
        <v>1496</v>
      </c>
      <c r="F560" s="82" t="s">
        <v>2276</v>
      </c>
      <c r="G560" s="82" t="s">
        <v>1375</v>
      </c>
      <c r="H560" s="82" t="s">
        <v>1374</v>
      </c>
      <c r="I560" s="82"/>
      <c r="J560" s="231"/>
    </row>
    <row r="561" spans="1:10" x14ac:dyDescent="0.3">
      <c r="A561" s="72" t="s">
        <v>1500</v>
      </c>
      <c r="B561" s="73" t="s">
        <v>730</v>
      </c>
      <c r="C561" s="95" t="s">
        <v>1480</v>
      </c>
      <c r="D561" s="73" t="s">
        <v>1892</v>
      </c>
      <c r="E561" s="74" t="s">
        <v>1479</v>
      </c>
      <c r="F561" s="74" t="s">
        <v>1485</v>
      </c>
      <c r="G561" s="74" t="s">
        <v>2275</v>
      </c>
      <c r="H561" s="74"/>
      <c r="I561" s="74"/>
      <c r="J561" s="231">
        <v>51</v>
      </c>
    </row>
    <row r="562" spans="1:10" x14ac:dyDescent="0.3">
      <c r="A562" s="76"/>
      <c r="B562" s="77"/>
      <c r="C562" s="93"/>
      <c r="D562" s="77"/>
      <c r="E562" s="78" t="s">
        <v>1489</v>
      </c>
      <c r="F562" s="78" t="s">
        <v>2276</v>
      </c>
      <c r="G562" s="78" t="s">
        <v>801</v>
      </c>
      <c r="H562" s="78" t="s">
        <v>800</v>
      </c>
      <c r="I562" s="78">
        <v>112</v>
      </c>
      <c r="J562" s="231">
        <v>58</v>
      </c>
    </row>
    <row r="563" spans="1:10" x14ac:dyDescent="0.3">
      <c r="A563" s="76"/>
      <c r="B563" s="77"/>
      <c r="C563" s="93"/>
      <c r="D563" s="77"/>
      <c r="E563" s="78" t="s">
        <v>1493</v>
      </c>
      <c r="F563" s="78" t="s">
        <v>2276</v>
      </c>
      <c r="G563" s="78" t="s">
        <v>728</v>
      </c>
      <c r="H563" s="78" t="s">
        <v>727</v>
      </c>
      <c r="I563" s="78">
        <v>96</v>
      </c>
      <c r="J563" s="231">
        <v>50</v>
      </c>
    </row>
    <row r="564" spans="1:10" ht="15" thickBot="1" x14ac:dyDescent="0.35">
      <c r="A564" s="81"/>
      <c r="B564" s="83"/>
      <c r="C564" s="96"/>
      <c r="D564" s="83"/>
      <c r="E564" s="82" t="s">
        <v>1496</v>
      </c>
      <c r="F564" s="82" t="s">
        <v>2276</v>
      </c>
      <c r="G564" s="82" t="s">
        <v>1380</v>
      </c>
      <c r="H564" s="82" t="s">
        <v>1379</v>
      </c>
      <c r="I564" s="82"/>
      <c r="J564" s="232"/>
    </row>
    <row r="565" spans="1:10" x14ac:dyDescent="0.3">
      <c r="A565" s="72" t="s">
        <v>1500</v>
      </c>
      <c r="B565" s="73" t="s">
        <v>747</v>
      </c>
      <c r="C565" s="95" t="s">
        <v>1480</v>
      </c>
      <c r="D565" s="73" t="s">
        <v>1886</v>
      </c>
      <c r="E565" s="74" t="s">
        <v>1479</v>
      </c>
      <c r="F565" s="74" t="s">
        <v>1485</v>
      </c>
      <c r="G565" s="74" t="s">
        <v>2275</v>
      </c>
      <c r="H565" s="74"/>
      <c r="I565" s="74"/>
      <c r="J565" s="230"/>
    </row>
    <row r="566" spans="1:10" x14ac:dyDescent="0.3">
      <c r="A566" s="76"/>
      <c r="B566" s="77"/>
      <c r="C566" s="93"/>
      <c r="D566" s="77"/>
      <c r="E566" s="78" t="s">
        <v>1489</v>
      </c>
      <c r="F566" s="78" t="s">
        <v>2276</v>
      </c>
      <c r="G566" s="78" t="s">
        <v>806</v>
      </c>
      <c r="H566" s="78" t="s">
        <v>805</v>
      </c>
      <c r="I566" s="78">
        <v>113</v>
      </c>
      <c r="J566" s="231">
        <v>2</v>
      </c>
    </row>
    <row r="567" spans="1:10" x14ac:dyDescent="0.3">
      <c r="A567" s="76"/>
      <c r="B567" s="77"/>
      <c r="C567" s="93"/>
      <c r="D567" s="77"/>
      <c r="E567" s="78" t="s">
        <v>1493</v>
      </c>
      <c r="F567" s="78" t="s">
        <v>2276</v>
      </c>
      <c r="G567" s="78" t="s">
        <v>745</v>
      </c>
      <c r="H567" s="78" t="s">
        <v>744</v>
      </c>
      <c r="I567" s="78">
        <v>99</v>
      </c>
      <c r="J567" s="231">
        <v>79</v>
      </c>
    </row>
    <row r="568" spans="1:10" ht="15" thickBot="1" x14ac:dyDescent="0.35">
      <c r="A568" s="81"/>
      <c r="B568" s="83"/>
      <c r="C568" s="96"/>
      <c r="D568" s="83"/>
      <c r="E568" s="82" t="s">
        <v>1496</v>
      </c>
      <c r="F568" s="82" t="s">
        <v>2276</v>
      </c>
      <c r="G568" s="82" t="s">
        <v>1385</v>
      </c>
      <c r="H568" s="82" t="s">
        <v>1384</v>
      </c>
      <c r="I568" s="82"/>
      <c r="J568" s="231"/>
    </row>
    <row r="569" spans="1:10" x14ac:dyDescent="0.3">
      <c r="A569" s="72" t="s">
        <v>1500</v>
      </c>
      <c r="B569" s="73" t="s">
        <v>760</v>
      </c>
      <c r="C569" s="95" t="s">
        <v>1480</v>
      </c>
      <c r="D569" s="73" t="s">
        <v>1879</v>
      </c>
      <c r="E569" s="74" t="s">
        <v>1479</v>
      </c>
      <c r="F569" s="74" t="s">
        <v>1485</v>
      </c>
      <c r="G569" s="74" t="s">
        <v>2275</v>
      </c>
      <c r="H569" s="74"/>
      <c r="I569" s="74"/>
      <c r="J569" s="231"/>
    </row>
    <row r="570" spans="1:10" x14ac:dyDescent="0.3">
      <c r="A570" s="76"/>
      <c r="B570" s="77"/>
      <c r="C570" s="93"/>
      <c r="D570" s="77"/>
      <c r="E570" s="78" t="s">
        <v>1489</v>
      </c>
      <c r="F570" s="78" t="s">
        <v>2276</v>
      </c>
      <c r="G570" s="78" t="s">
        <v>811</v>
      </c>
      <c r="H570" s="78" t="s">
        <v>810</v>
      </c>
      <c r="I570" s="78">
        <v>114</v>
      </c>
      <c r="J570" s="231"/>
    </row>
    <row r="571" spans="1:10" x14ac:dyDescent="0.3">
      <c r="A571" s="76"/>
      <c r="B571" s="77"/>
      <c r="C571" s="93"/>
      <c r="D571" s="77"/>
      <c r="E571" s="78" t="s">
        <v>1493</v>
      </c>
      <c r="F571" s="78" t="s">
        <v>2276</v>
      </c>
      <c r="G571" s="78" t="s">
        <v>757</v>
      </c>
      <c r="H571" s="78" t="s">
        <v>756</v>
      </c>
      <c r="I571" s="78">
        <v>101</v>
      </c>
      <c r="J571" s="231"/>
    </row>
    <row r="572" spans="1:10" ht="15" thickBot="1" x14ac:dyDescent="0.35">
      <c r="A572" s="81"/>
      <c r="B572" s="83"/>
      <c r="C572" s="96"/>
      <c r="D572" s="83"/>
      <c r="E572" s="82" t="s">
        <v>1496</v>
      </c>
      <c r="F572" s="82" t="s">
        <v>2276</v>
      </c>
      <c r="G572" s="82" t="s">
        <v>1390</v>
      </c>
      <c r="H572" s="82" t="s">
        <v>1389</v>
      </c>
      <c r="I572" s="82"/>
      <c r="J572" s="231"/>
    </row>
    <row r="573" spans="1:10" x14ac:dyDescent="0.3">
      <c r="A573" s="72" t="s">
        <v>1500</v>
      </c>
      <c r="B573" s="73" t="s">
        <v>771</v>
      </c>
      <c r="C573" s="95" t="s">
        <v>1480</v>
      </c>
      <c r="D573" s="73" t="s">
        <v>1872</v>
      </c>
      <c r="E573" s="74" t="s">
        <v>1479</v>
      </c>
      <c r="F573" s="74" t="s">
        <v>1485</v>
      </c>
      <c r="G573" s="74" t="s">
        <v>2275</v>
      </c>
      <c r="H573" s="74"/>
      <c r="I573" s="74"/>
      <c r="J573" s="231">
        <v>93</v>
      </c>
    </row>
    <row r="574" spans="1:10" ht="15" thickBot="1" x14ac:dyDescent="0.35">
      <c r="A574" s="76"/>
      <c r="B574" s="77"/>
      <c r="C574" s="93"/>
      <c r="D574" s="77"/>
      <c r="E574" s="78" t="s">
        <v>1489</v>
      </c>
      <c r="F574" s="78" t="s">
        <v>2276</v>
      </c>
      <c r="G574" s="78" t="s">
        <v>824</v>
      </c>
      <c r="H574" s="78" t="s">
        <v>823</v>
      </c>
      <c r="I574" s="78">
        <v>116</v>
      </c>
      <c r="J574" s="232"/>
    </row>
    <row r="575" spans="1:10" x14ac:dyDescent="0.3">
      <c r="A575" s="76"/>
      <c r="B575" s="77"/>
      <c r="C575" s="93"/>
      <c r="D575" s="77"/>
      <c r="E575" s="78" t="s">
        <v>1493</v>
      </c>
      <c r="F575" s="78" t="s">
        <v>2276</v>
      </c>
      <c r="G575" s="78" t="s">
        <v>768</v>
      </c>
      <c r="H575" s="78" t="s">
        <v>767</v>
      </c>
      <c r="I575" s="78">
        <v>103</v>
      </c>
      <c r="J575" s="230"/>
    </row>
    <row r="576" spans="1:10" ht="15" thickBot="1" x14ac:dyDescent="0.35">
      <c r="A576" s="81"/>
      <c r="B576" s="83"/>
      <c r="C576" s="96"/>
      <c r="D576" s="83"/>
      <c r="E576" s="82" t="s">
        <v>1496</v>
      </c>
      <c r="F576" s="82" t="s">
        <v>2276</v>
      </c>
      <c r="G576" s="82" t="s">
        <v>1395</v>
      </c>
      <c r="H576" s="82" t="s">
        <v>1394</v>
      </c>
      <c r="I576" s="82"/>
      <c r="J576" s="231">
        <v>63</v>
      </c>
    </row>
    <row r="577" spans="1:10" x14ac:dyDescent="0.3">
      <c r="A577" s="72" t="s">
        <v>1500</v>
      </c>
      <c r="B577" s="73" t="s">
        <v>796</v>
      </c>
      <c r="C577" s="95" t="s">
        <v>1480</v>
      </c>
      <c r="D577" s="73" t="s">
        <v>1862</v>
      </c>
      <c r="E577" s="74" t="s">
        <v>1479</v>
      </c>
      <c r="F577" s="74" t="s">
        <v>1485</v>
      </c>
      <c r="G577" s="74" t="s">
        <v>2275</v>
      </c>
      <c r="H577" s="74"/>
      <c r="I577" s="74"/>
      <c r="J577" s="231"/>
    </row>
    <row r="578" spans="1:10" ht="15" thickBot="1" x14ac:dyDescent="0.35">
      <c r="A578" s="76"/>
      <c r="B578" s="77"/>
      <c r="C578" s="93"/>
      <c r="D578" s="77"/>
      <c r="E578" s="78" t="s">
        <v>1489</v>
      </c>
      <c r="F578" s="78" t="s">
        <v>2276</v>
      </c>
      <c r="G578" s="78" t="s">
        <v>830</v>
      </c>
      <c r="H578" s="78" t="s">
        <v>829</v>
      </c>
      <c r="I578" s="78">
        <v>117</v>
      </c>
      <c r="J578" s="232"/>
    </row>
    <row r="579" spans="1:10" x14ac:dyDescent="0.3">
      <c r="A579" s="76"/>
      <c r="B579" s="77"/>
      <c r="C579" s="93"/>
      <c r="D579" s="77"/>
      <c r="E579" s="78" t="s">
        <v>1493</v>
      </c>
      <c r="F579" s="78" t="s">
        <v>2276</v>
      </c>
      <c r="G579" s="78" t="s">
        <v>794</v>
      </c>
      <c r="H579" s="78" t="s">
        <v>793</v>
      </c>
      <c r="I579" s="78">
        <v>111</v>
      </c>
      <c r="J579" s="230"/>
    </row>
    <row r="580" spans="1:10" ht="15" thickBot="1" x14ac:dyDescent="0.35">
      <c r="A580" s="81"/>
      <c r="B580" s="83"/>
      <c r="C580" s="96"/>
      <c r="D580" s="83"/>
      <c r="E580" s="82" t="s">
        <v>1496</v>
      </c>
      <c r="F580" s="82" t="s">
        <v>2276</v>
      </c>
      <c r="G580" s="82" t="s">
        <v>1400</v>
      </c>
      <c r="H580" s="82" t="s">
        <v>1399</v>
      </c>
      <c r="I580" s="82"/>
      <c r="J580" s="231">
        <v>64</v>
      </c>
    </row>
    <row r="581" spans="1:10" x14ac:dyDescent="0.3">
      <c r="A581" s="72" t="s">
        <v>1500</v>
      </c>
      <c r="B581" s="73" t="s">
        <v>819</v>
      </c>
      <c r="C581" s="95" t="s">
        <v>1480</v>
      </c>
      <c r="D581" s="73" t="s">
        <v>1853</v>
      </c>
      <c r="E581" s="74" t="s">
        <v>1479</v>
      </c>
      <c r="F581" s="74" t="s">
        <v>1485</v>
      </c>
      <c r="G581" s="74" t="s">
        <v>2275</v>
      </c>
      <c r="H581" s="74"/>
      <c r="I581" s="74"/>
      <c r="J581" s="231"/>
    </row>
    <row r="582" spans="1:10" ht="15" thickBot="1" x14ac:dyDescent="0.35">
      <c r="A582" s="76"/>
      <c r="B582" s="77"/>
      <c r="C582" s="93"/>
      <c r="D582" s="77"/>
      <c r="E582" s="78" t="s">
        <v>1489</v>
      </c>
      <c r="F582" s="78" t="s">
        <v>2276</v>
      </c>
      <c r="G582" s="78" t="s">
        <v>889</v>
      </c>
      <c r="H582" s="78" t="s">
        <v>888</v>
      </c>
      <c r="I582" s="78">
        <v>126</v>
      </c>
      <c r="J582" s="232"/>
    </row>
    <row r="583" spans="1:10" x14ac:dyDescent="0.3">
      <c r="A583" s="76"/>
      <c r="B583" s="77"/>
      <c r="C583" s="93"/>
      <c r="D583" s="77"/>
      <c r="E583" s="78" t="s">
        <v>1493</v>
      </c>
      <c r="F583" s="78" t="s">
        <v>2276</v>
      </c>
      <c r="G583" s="78" t="s">
        <v>817</v>
      </c>
      <c r="H583" s="78" t="s">
        <v>816</v>
      </c>
      <c r="I583" s="78">
        <v>115</v>
      </c>
      <c r="J583" s="230"/>
    </row>
    <row r="584" spans="1:10" ht="15" thickBot="1" x14ac:dyDescent="0.35">
      <c r="A584" s="81"/>
      <c r="B584" s="83"/>
      <c r="C584" s="96"/>
      <c r="D584" s="83"/>
      <c r="E584" s="82" t="s">
        <v>1496</v>
      </c>
      <c r="F584" s="82" t="s">
        <v>2276</v>
      </c>
      <c r="G584" s="82" t="s">
        <v>1405</v>
      </c>
      <c r="H584" s="82" t="s">
        <v>1404</v>
      </c>
      <c r="I584" s="82"/>
      <c r="J584" s="231">
        <v>65</v>
      </c>
    </row>
    <row r="585" spans="1:10" x14ac:dyDescent="0.3">
      <c r="A585" s="72" t="s">
        <v>1500</v>
      </c>
      <c r="B585" s="73" t="s">
        <v>838</v>
      </c>
      <c r="C585" s="95" t="s">
        <v>1480</v>
      </c>
      <c r="D585" s="73" t="s">
        <v>1845</v>
      </c>
      <c r="E585" s="74" t="s">
        <v>1479</v>
      </c>
      <c r="F585" s="74" t="s">
        <v>1485</v>
      </c>
      <c r="G585" s="74" t="s">
        <v>2275</v>
      </c>
      <c r="H585" s="74"/>
      <c r="I585" s="74"/>
      <c r="J585" s="231"/>
    </row>
    <row r="586" spans="1:10" ht="15" thickBot="1" x14ac:dyDescent="0.35">
      <c r="A586" s="76"/>
      <c r="B586" s="77"/>
      <c r="C586" s="93"/>
      <c r="D586" s="77"/>
      <c r="E586" s="78" t="s">
        <v>1489</v>
      </c>
      <c r="F586" s="78" t="s">
        <v>2276</v>
      </c>
      <c r="G586" s="78" t="s">
        <v>898</v>
      </c>
      <c r="H586" s="78" t="s">
        <v>897</v>
      </c>
      <c r="I586" s="78">
        <v>129</v>
      </c>
      <c r="J586" s="232"/>
    </row>
    <row r="587" spans="1:10" ht="15" thickBot="1" x14ac:dyDescent="0.35">
      <c r="A587" s="81"/>
      <c r="B587" s="83"/>
      <c r="C587" s="96"/>
      <c r="D587" s="83"/>
      <c r="E587" s="82" t="s">
        <v>1493</v>
      </c>
      <c r="F587" s="82" t="s">
        <v>2276</v>
      </c>
      <c r="G587" s="82" t="s">
        <v>836</v>
      </c>
      <c r="H587" s="82" t="s">
        <v>835</v>
      </c>
      <c r="I587" s="82">
        <v>118</v>
      </c>
      <c r="J587" s="230"/>
    </row>
    <row r="588" spans="1:10" x14ac:dyDescent="0.3">
      <c r="A588" s="72" t="s">
        <v>1500</v>
      </c>
      <c r="B588" s="73" t="s">
        <v>865</v>
      </c>
      <c r="C588" s="95" t="s">
        <v>1480</v>
      </c>
      <c r="D588" s="73" t="s">
        <v>1838</v>
      </c>
      <c r="E588" s="74" t="s">
        <v>1479</v>
      </c>
      <c r="F588" s="74" t="s">
        <v>1485</v>
      </c>
      <c r="G588" s="74" t="s">
        <v>2275</v>
      </c>
      <c r="H588" s="74"/>
      <c r="I588" s="74"/>
      <c r="J588" s="231">
        <v>66</v>
      </c>
    </row>
    <row r="589" spans="1:10" x14ac:dyDescent="0.3">
      <c r="A589" s="76"/>
      <c r="B589" s="77"/>
      <c r="C589" s="93"/>
      <c r="D589" s="77"/>
      <c r="E589" s="78" t="s">
        <v>1489</v>
      </c>
      <c r="F589" s="78" t="s">
        <v>2276</v>
      </c>
      <c r="G589" s="78" t="s">
        <v>904</v>
      </c>
      <c r="H589" s="78" t="s">
        <v>903</v>
      </c>
      <c r="I589" s="78">
        <v>130</v>
      </c>
      <c r="J589" s="231"/>
    </row>
    <row r="590" spans="1:10" ht="15" thickBot="1" x14ac:dyDescent="0.35">
      <c r="A590" s="81"/>
      <c r="B590" s="83"/>
      <c r="C590" s="96"/>
      <c r="D590" s="83"/>
      <c r="E590" s="82" t="s">
        <v>1493</v>
      </c>
      <c r="F590" s="82" t="s">
        <v>2276</v>
      </c>
      <c r="G590" s="82" t="s">
        <v>863</v>
      </c>
      <c r="H590" s="82" t="s">
        <v>862</v>
      </c>
      <c r="I590" s="82">
        <v>122</v>
      </c>
      <c r="J590" s="232"/>
    </row>
    <row r="591" spans="1:10" x14ac:dyDescent="0.3">
      <c r="A591" s="72" t="s">
        <v>1500</v>
      </c>
      <c r="B591" s="73" t="s">
        <v>884</v>
      </c>
      <c r="C591" s="95" t="s">
        <v>1480</v>
      </c>
      <c r="D591" s="73" t="s">
        <v>1830</v>
      </c>
      <c r="E591" s="74" t="s">
        <v>1479</v>
      </c>
      <c r="F591" s="74" t="s">
        <v>1485</v>
      </c>
      <c r="G591" s="74" t="s">
        <v>2275</v>
      </c>
      <c r="H591" s="74"/>
      <c r="I591" s="74"/>
      <c r="J591" s="230"/>
    </row>
    <row r="592" spans="1:10" x14ac:dyDescent="0.3">
      <c r="A592" s="76"/>
      <c r="B592" s="77"/>
      <c r="C592" s="93"/>
      <c r="D592" s="77"/>
      <c r="E592" s="78" t="s">
        <v>1489</v>
      </c>
      <c r="F592" s="78" t="s">
        <v>2276</v>
      </c>
      <c r="G592" s="78" t="s">
        <v>922</v>
      </c>
      <c r="H592" s="78" t="s">
        <v>921</v>
      </c>
      <c r="I592" s="78">
        <v>133</v>
      </c>
      <c r="J592" s="231">
        <v>67</v>
      </c>
    </row>
    <row r="593" spans="1:10" ht="15" thickBot="1" x14ac:dyDescent="0.35">
      <c r="A593" s="81"/>
      <c r="B593" s="83"/>
      <c r="C593" s="96"/>
      <c r="D593" s="83"/>
      <c r="E593" s="82" t="s">
        <v>1493</v>
      </c>
      <c r="F593" s="82" t="s">
        <v>2276</v>
      </c>
      <c r="G593" s="82" t="s">
        <v>882</v>
      </c>
      <c r="H593" s="82" t="s">
        <v>881</v>
      </c>
      <c r="I593" s="82">
        <v>125</v>
      </c>
      <c r="J593" s="231"/>
    </row>
    <row r="594" spans="1:10" ht="15" thickBot="1" x14ac:dyDescent="0.35">
      <c r="A594" s="72" t="s">
        <v>1500</v>
      </c>
      <c r="B594" s="73" t="s">
        <v>65</v>
      </c>
      <c r="C594" s="95" t="s">
        <v>1480</v>
      </c>
      <c r="D594" s="73" t="s">
        <v>1538</v>
      </c>
      <c r="E594" s="74" t="s">
        <v>1479</v>
      </c>
      <c r="F594" s="74" t="s">
        <v>1485</v>
      </c>
      <c r="G594" s="74" t="s">
        <v>2275</v>
      </c>
      <c r="H594" s="74"/>
      <c r="I594" s="74"/>
      <c r="J594" s="232"/>
    </row>
    <row r="595" spans="1:10" x14ac:dyDescent="0.3">
      <c r="A595" s="76"/>
      <c r="B595" s="77"/>
      <c r="C595" s="93"/>
      <c r="D595" s="77"/>
      <c r="E595" s="78" t="s">
        <v>1489</v>
      </c>
      <c r="F595" s="78" t="s">
        <v>2276</v>
      </c>
      <c r="G595" s="78" t="s">
        <v>933</v>
      </c>
      <c r="H595" s="78" t="s">
        <v>932</v>
      </c>
      <c r="I595" s="78">
        <v>135</v>
      </c>
      <c r="J595" s="230"/>
    </row>
    <row r="596" spans="1:10" x14ac:dyDescent="0.3">
      <c r="A596" s="76"/>
      <c r="B596" s="77"/>
      <c r="C596" s="93"/>
      <c r="D596" s="77"/>
      <c r="E596" s="78" t="s">
        <v>1493</v>
      </c>
      <c r="F596" s="78" t="s">
        <v>2276</v>
      </c>
      <c r="G596" s="78" t="s">
        <v>58</v>
      </c>
      <c r="H596" s="78" t="s">
        <v>57</v>
      </c>
      <c r="I596" s="78">
        <v>4</v>
      </c>
      <c r="J596" s="231">
        <v>68</v>
      </c>
    </row>
    <row r="597" spans="1:10" x14ac:dyDescent="0.3">
      <c r="A597" s="76"/>
      <c r="B597" s="77"/>
      <c r="C597" s="93"/>
      <c r="D597" s="77"/>
      <c r="E597" s="78" t="s">
        <v>1496</v>
      </c>
      <c r="F597" s="78" t="s">
        <v>2276</v>
      </c>
      <c r="G597" s="78" t="s">
        <v>176</v>
      </c>
      <c r="H597" s="78" t="s">
        <v>175</v>
      </c>
      <c r="I597" s="78">
        <v>14</v>
      </c>
      <c r="J597" s="231"/>
    </row>
    <row r="598" spans="1:10" ht="15" thickBot="1" x14ac:dyDescent="0.35">
      <c r="A598" s="76"/>
      <c r="B598" s="77"/>
      <c r="C598" s="93"/>
      <c r="D598" s="77"/>
      <c r="E598" s="78" t="s">
        <v>1499</v>
      </c>
      <c r="F598" s="78" t="s">
        <v>2276</v>
      </c>
      <c r="G598" s="78" t="s">
        <v>1122</v>
      </c>
      <c r="H598" s="78" t="s">
        <v>1121</v>
      </c>
      <c r="I598" s="78"/>
      <c r="J598" s="232"/>
    </row>
    <row r="599" spans="1:10" x14ac:dyDescent="0.3">
      <c r="A599" s="76"/>
      <c r="B599" s="77"/>
      <c r="C599" s="93"/>
      <c r="D599" s="77"/>
      <c r="E599" s="78" t="s">
        <v>1502</v>
      </c>
      <c r="F599" s="78" t="s">
        <v>2276</v>
      </c>
      <c r="G599" s="78" t="s">
        <v>362</v>
      </c>
      <c r="H599" s="78" t="s">
        <v>361</v>
      </c>
      <c r="I599" s="78">
        <v>44</v>
      </c>
      <c r="J599" s="230"/>
    </row>
    <row r="600" spans="1:10" x14ac:dyDescent="0.3">
      <c r="A600" s="76"/>
      <c r="B600" s="77"/>
      <c r="C600" s="93"/>
      <c r="D600" s="77"/>
      <c r="E600" s="78" t="s">
        <v>1504</v>
      </c>
      <c r="F600" s="78" t="s">
        <v>2276</v>
      </c>
      <c r="G600" s="78" t="s">
        <v>745</v>
      </c>
      <c r="H600" s="78" t="s">
        <v>744</v>
      </c>
      <c r="I600" s="78">
        <v>99</v>
      </c>
      <c r="J600" s="231">
        <v>74</v>
      </c>
    </row>
    <row r="601" spans="1:10" x14ac:dyDescent="0.3">
      <c r="A601" s="76"/>
      <c r="B601" s="77"/>
      <c r="C601" s="93"/>
      <c r="D601" s="77"/>
      <c r="E601" s="78" t="s">
        <v>1507</v>
      </c>
      <c r="F601" s="78" t="s">
        <v>2276</v>
      </c>
      <c r="G601" s="78" t="s">
        <v>1071</v>
      </c>
      <c r="H601" s="78" t="s">
        <v>1070</v>
      </c>
      <c r="I601" s="78">
        <v>163</v>
      </c>
      <c r="J601" s="231"/>
    </row>
    <row r="602" spans="1:10" ht="15" thickBot="1" x14ac:dyDescent="0.35">
      <c r="A602" s="81"/>
      <c r="B602" s="83"/>
      <c r="C602" s="96"/>
      <c r="D602" s="83"/>
      <c r="E602" s="82" t="s">
        <v>1586</v>
      </c>
      <c r="F602" s="82" t="s">
        <v>2276</v>
      </c>
      <c r="G602" s="82" t="s">
        <v>1214</v>
      </c>
      <c r="H602" s="82" t="s">
        <v>1213</v>
      </c>
      <c r="I602" s="82"/>
      <c r="J602" s="232"/>
    </row>
    <row r="603" spans="1:10" x14ac:dyDescent="0.3">
      <c r="A603" s="72" t="s">
        <v>1500</v>
      </c>
      <c r="B603" s="73" t="s">
        <v>912</v>
      </c>
      <c r="C603" s="95" t="s">
        <v>1480</v>
      </c>
      <c r="D603" s="73" t="s">
        <v>1702</v>
      </c>
      <c r="E603" s="74" t="s">
        <v>1479</v>
      </c>
      <c r="F603" s="74" t="s">
        <v>1485</v>
      </c>
      <c r="G603" s="74" t="s">
        <v>2275</v>
      </c>
      <c r="H603" s="74"/>
      <c r="I603" s="74"/>
      <c r="J603" s="230"/>
    </row>
    <row r="604" spans="1:10" x14ac:dyDescent="0.3">
      <c r="A604" s="76"/>
      <c r="B604" s="77"/>
      <c r="C604" s="93"/>
      <c r="D604" s="77"/>
      <c r="E604" s="78" t="s">
        <v>1489</v>
      </c>
      <c r="F604" s="78" t="s">
        <v>2276</v>
      </c>
      <c r="G604" s="78" t="s">
        <v>981</v>
      </c>
      <c r="H604" s="78" t="s">
        <v>980</v>
      </c>
      <c r="I604" s="78">
        <v>143</v>
      </c>
      <c r="J604" s="231">
        <v>75</v>
      </c>
    </row>
    <row r="605" spans="1:10" ht="15" thickBot="1" x14ac:dyDescent="0.35">
      <c r="A605" s="81"/>
      <c r="B605" s="83"/>
      <c r="C605" s="96"/>
      <c r="D605" s="83"/>
      <c r="E605" s="82" t="s">
        <v>1493</v>
      </c>
      <c r="F605" s="82" t="s">
        <v>2276</v>
      </c>
      <c r="G605" s="82" t="s">
        <v>909</v>
      </c>
      <c r="H605" s="82" t="s">
        <v>908</v>
      </c>
      <c r="I605" s="82">
        <v>131</v>
      </c>
      <c r="J605" s="232"/>
    </row>
    <row r="606" spans="1:10" x14ac:dyDescent="0.3">
      <c r="A606" s="72" t="s">
        <v>1500</v>
      </c>
      <c r="B606" s="73" t="s">
        <v>918</v>
      </c>
      <c r="C606" s="95" t="s">
        <v>1480</v>
      </c>
      <c r="D606" s="73" t="s">
        <v>1692</v>
      </c>
      <c r="E606" s="74" t="s">
        <v>1479</v>
      </c>
      <c r="F606" s="74" t="s">
        <v>1485</v>
      </c>
      <c r="G606" s="74" t="s">
        <v>2275</v>
      </c>
      <c r="H606" s="74"/>
      <c r="I606" s="74"/>
      <c r="J606" s="230"/>
    </row>
    <row r="607" spans="1:10" x14ac:dyDescent="0.3">
      <c r="A607" s="76"/>
      <c r="B607" s="77"/>
      <c r="C607" s="93"/>
      <c r="D607" s="77"/>
      <c r="E607" s="78" t="s">
        <v>1489</v>
      </c>
      <c r="F607" s="78" t="s">
        <v>2276</v>
      </c>
      <c r="G607" s="78" t="s">
        <v>993</v>
      </c>
      <c r="H607" s="78" t="s">
        <v>992</v>
      </c>
      <c r="I607" s="78">
        <v>145</v>
      </c>
      <c r="J607" s="231">
        <v>76</v>
      </c>
    </row>
    <row r="608" spans="1:10" ht="15" thickBot="1" x14ac:dyDescent="0.35">
      <c r="A608" s="81"/>
      <c r="B608" s="83"/>
      <c r="C608" s="96"/>
      <c r="D608" s="83"/>
      <c r="E608" s="82" t="s">
        <v>1493</v>
      </c>
      <c r="F608" s="82" t="s">
        <v>2276</v>
      </c>
      <c r="G608" s="82" t="s">
        <v>916</v>
      </c>
      <c r="H608" s="82" t="s">
        <v>915</v>
      </c>
      <c r="I608" s="82">
        <v>132</v>
      </c>
      <c r="J608" s="232"/>
    </row>
    <row r="609" spans="1:10" x14ac:dyDescent="0.3">
      <c r="A609" s="72" t="s">
        <v>1500</v>
      </c>
      <c r="B609" s="73" t="s">
        <v>142</v>
      </c>
      <c r="C609" s="95" t="s">
        <v>1480</v>
      </c>
      <c r="D609" s="73" t="s">
        <v>1556</v>
      </c>
      <c r="E609" s="74" t="s">
        <v>1479</v>
      </c>
      <c r="F609" s="74" t="s">
        <v>1485</v>
      </c>
      <c r="G609" s="74" t="s">
        <v>2275</v>
      </c>
      <c r="H609" s="74"/>
      <c r="I609" s="74"/>
      <c r="J609" s="230"/>
    </row>
    <row r="610" spans="1:10" x14ac:dyDescent="0.3">
      <c r="A610" s="76"/>
      <c r="B610" s="77"/>
      <c r="C610" s="93"/>
      <c r="D610" s="77"/>
      <c r="E610" s="78" t="s">
        <v>1489</v>
      </c>
      <c r="F610" s="78" t="s">
        <v>2276</v>
      </c>
      <c r="G610" s="78" t="s">
        <v>856</v>
      </c>
      <c r="H610" s="78" t="s">
        <v>855</v>
      </c>
      <c r="I610" s="78">
        <v>121</v>
      </c>
      <c r="J610" s="231">
        <v>77</v>
      </c>
    </row>
    <row r="611" spans="1:10" ht="15" thickBot="1" x14ac:dyDescent="0.35">
      <c r="A611" s="76"/>
      <c r="B611" s="77"/>
      <c r="C611" s="93"/>
      <c r="D611" s="77"/>
      <c r="E611" s="78" t="s">
        <v>1493</v>
      </c>
      <c r="F611" s="78" t="s">
        <v>2276</v>
      </c>
      <c r="G611" s="78" t="s">
        <v>136</v>
      </c>
      <c r="H611" s="78" t="s">
        <v>135</v>
      </c>
      <c r="I611" s="78">
        <v>10</v>
      </c>
      <c r="J611" s="232"/>
    </row>
    <row r="612" spans="1:10" x14ac:dyDescent="0.3">
      <c r="A612" s="76"/>
      <c r="B612" s="77"/>
      <c r="C612" s="93"/>
      <c r="D612" s="77"/>
      <c r="E612" s="78" t="s">
        <v>1496</v>
      </c>
      <c r="F612" s="78" t="s">
        <v>2276</v>
      </c>
      <c r="G612" s="78" t="s">
        <v>877</v>
      </c>
      <c r="H612" s="78" t="s">
        <v>876</v>
      </c>
      <c r="I612" s="78">
        <v>124</v>
      </c>
      <c r="J612" s="230"/>
    </row>
    <row r="613" spans="1:10" x14ac:dyDescent="0.3">
      <c r="A613" s="76"/>
      <c r="B613" s="77"/>
      <c r="C613" s="93"/>
      <c r="D613" s="77"/>
      <c r="E613" s="78" t="s">
        <v>1499</v>
      </c>
      <c r="F613" s="78" t="s">
        <v>2276</v>
      </c>
      <c r="G613" s="78" t="s">
        <v>988</v>
      </c>
      <c r="H613" s="78" t="s">
        <v>987</v>
      </c>
      <c r="I613" s="78">
        <v>144</v>
      </c>
      <c r="J613" s="231">
        <v>78</v>
      </c>
    </row>
    <row r="614" spans="1:10" x14ac:dyDescent="0.3">
      <c r="A614" s="76"/>
      <c r="B614" s="77"/>
      <c r="C614" s="93"/>
      <c r="D614" s="77"/>
      <c r="E614" s="78" t="s">
        <v>1502</v>
      </c>
      <c r="F614" s="78" t="s">
        <v>2276</v>
      </c>
      <c r="G614" s="78" t="s">
        <v>369</v>
      </c>
      <c r="H614" s="78" t="s">
        <v>368</v>
      </c>
      <c r="I614" s="78">
        <v>45</v>
      </c>
      <c r="J614" s="231">
        <v>1</v>
      </c>
    </row>
    <row r="615" spans="1:10" x14ac:dyDescent="0.3">
      <c r="A615" s="76"/>
      <c r="B615" s="77"/>
      <c r="C615" s="93"/>
      <c r="D615" s="77"/>
      <c r="E615" s="78" t="s">
        <v>1504</v>
      </c>
      <c r="F615" s="78" t="s">
        <v>2276</v>
      </c>
      <c r="G615" s="78" t="s">
        <v>534</v>
      </c>
      <c r="H615" s="78" t="s">
        <v>533</v>
      </c>
      <c r="I615" s="78">
        <v>69</v>
      </c>
      <c r="J615" s="231"/>
    </row>
    <row r="616" spans="1:10" x14ac:dyDescent="0.3">
      <c r="A616" s="76"/>
      <c r="B616" s="77"/>
      <c r="C616" s="93"/>
      <c r="D616" s="77"/>
      <c r="E616" s="78" t="s">
        <v>1507</v>
      </c>
      <c r="F616" s="78" t="s">
        <v>2276</v>
      </c>
      <c r="G616" s="78" t="s">
        <v>1081</v>
      </c>
      <c r="H616" s="78" t="s">
        <v>1080</v>
      </c>
      <c r="I616" s="78">
        <v>165</v>
      </c>
      <c r="J616" s="231"/>
    </row>
    <row r="617" spans="1:10" ht="15" thickBot="1" x14ac:dyDescent="0.35">
      <c r="A617" s="81"/>
      <c r="B617" s="83"/>
      <c r="C617" s="96"/>
      <c r="D617" s="83"/>
      <c r="E617" s="82" t="s">
        <v>1586</v>
      </c>
      <c r="F617" s="82" t="s">
        <v>2276</v>
      </c>
      <c r="G617" s="82" t="s">
        <v>1238</v>
      </c>
      <c r="H617" s="82" t="s">
        <v>1237</v>
      </c>
      <c r="I617" s="82"/>
      <c r="J617" s="231"/>
    </row>
    <row r="618" spans="1:10" x14ac:dyDescent="0.3">
      <c r="A618" s="72" t="s">
        <v>1500</v>
      </c>
      <c r="B618" s="73" t="s">
        <v>130</v>
      </c>
      <c r="C618" s="95" t="s">
        <v>1480</v>
      </c>
      <c r="D618" s="73" t="s">
        <v>1570</v>
      </c>
      <c r="E618" s="74" t="s">
        <v>1479</v>
      </c>
      <c r="F618" s="74" t="s">
        <v>1485</v>
      </c>
      <c r="G618" s="74" t="s">
        <v>2275</v>
      </c>
      <c r="H618" s="74"/>
      <c r="I618" s="74"/>
      <c r="J618" s="231"/>
    </row>
    <row r="619" spans="1:10" x14ac:dyDescent="0.3">
      <c r="A619" s="76"/>
      <c r="B619" s="77"/>
      <c r="C619" s="93"/>
      <c r="D619" s="77"/>
      <c r="E619" s="78" t="s">
        <v>1489</v>
      </c>
      <c r="F619" s="78" t="s">
        <v>2276</v>
      </c>
      <c r="G619" s="78" t="s">
        <v>124</v>
      </c>
      <c r="H619" s="78" t="s">
        <v>123</v>
      </c>
      <c r="I619" s="78">
        <v>9</v>
      </c>
      <c r="J619" s="231">
        <v>94</v>
      </c>
    </row>
    <row r="620" spans="1:10" ht="15" thickBot="1" x14ac:dyDescent="0.35">
      <c r="A620" s="76"/>
      <c r="B620" s="77"/>
      <c r="C620" s="93"/>
      <c r="D620" s="77"/>
      <c r="E620" s="78" t="s">
        <v>1493</v>
      </c>
      <c r="F620" s="78" t="s">
        <v>2276</v>
      </c>
      <c r="G620" s="78" t="s">
        <v>849</v>
      </c>
      <c r="H620" s="78" t="s">
        <v>848</v>
      </c>
      <c r="I620" s="78">
        <v>120</v>
      </c>
      <c r="J620" s="232"/>
    </row>
    <row r="621" spans="1:10" x14ac:dyDescent="0.3">
      <c r="A621" s="76"/>
      <c r="B621" s="77"/>
      <c r="C621" s="93"/>
      <c r="D621" s="77"/>
      <c r="E621" s="78" t="s">
        <v>1496</v>
      </c>
      <c r="F621" s="78" t="s">
        <v>2276</v>
      </c>
      <c r="G621" s="78" t="s">
        <v>871</v>
      </c>
      <c r="H621" s="78" t="s">
        <v>870</v>
      </c>
      <c r="I621" s="78">
        <v>123</v>
      </c>
      <c r="J621" s="230"/>
    </row>
    <row r="622" spans="1:10" x14ac:dyDescent="0.3">
      <c r="A622" s="76"/>
      <c r="B622" s="77"/>
      <c r="C622" s="93"/>
      <c r="D622" s="77"/>
      <c r="E622" s="78" t="s">
        <v>1499</v>
      </c>
      <c r="F622" s="78" t="s">
        <v>2276</v>
      </c>
      <c r="G622" s="78" t="s">
        <v>976</v>
      </c>
      <c r="H622" s="78" t="s">
        <v>975</v>
      </c>
      <c r="I622" s="78">
        <v>142</v>
      </c>
      <c r="J622" s="231">
        <v>82</v>
      </c>
    </row>
    <row r="623" spans="1:10" ht="15" thickBot="1" x14ac:dyDescent="0.35">
      <c r="A623" s="76"/>
      <c r="B623" s="77"/>
      <c r="C623" s="93"/>
      <c r="D623" s="77"/>
      <c r="E623" s="78" t="s">
        <v>1502</v>
      </c>
      <c r="F623" s="78" t="s">
        <v>2276</v>
      </c>
      <c r="G623" s="78" t="s">
        <v>148</v>
      </c>
      <c r="H623" s="78" t="s">
        <v>147</v>
      </c>
      <c r="I623" s="78">
        <v>11</v>
      </c>
      <c r="J623" s="232"/>
    </row>
    <row r="624" spans="1:10" x14ac:dyDescent="0.3">
      <c r="A624" s="76"/>
      <c r="B624" s="77"/>
      <c r="C624" s="93"/>
      <c r="D624" s="77"/>
      <c r="E624" s="78" t="s">
        <v>1504</v>
      </c>
      <c r="F624" s="78" t="s">
        <v>2276</v>
      </c>
      <c r="G624" s="78" t="s">
        <v>545</v>
      </c>
      <c r="H624" s="78" t="s">
        <v>544</v>
      </c>
      <c r="I624" s="78">
        <v>70</v>
      </c>
      <c r="J624" s="230"/>
    </row>
    <row r="625" spans="1:10" x14ac:dyDescent="0.3">
      <c r="A625" s="76"/>
      <c r="B625" s="77"/>
      <c r="C625" s="93"/>
      <c r="D625" s="77"/>
      <c r="E625" s="78" t="s">
        <v>1507</v>
      </c>
      <c r="F625" s="78" t="s">
        <v>2276</v>
      </c>
      <c r="G625" s="78" t="s">
        <v>470</v>
      </c>
      <c r="H625" s="78" t="s">
        <v>469</v>
      </c>
      <c r="I625" s="78">
        <v>61</v>
      </c>
      <c r="J625" s="231">
        <v>83</v>
      </c>
    </row>
    <row r="626" spans="1:10" ht="15" thickBot="1" x14ac:dyDescent="0.35">
      <c r="A626" s="76"/>
      <c r="B626" s="77"/>
      <c r="C626" s="93"/>
      <c r="D626" s="77"/>
      <c r="E626" s="78" t="s">
        <v>1586</v>
      </c>
      <c r="F626" s="78" t="s">
        <v>2276</v>
      </c>
      <c r="G626" s="78" t="s">
        <v>1088</v>
      </c>
      <c r="H626" s="78" t="s">
        <v>1087</v>
      </c>
      <c r="I626" s="78">
        <v>166</v>
      </c>
      <c r="J626" s="232"/>
    </row>
    <row r="627" spans="1:10" x14ac:dyDescent="0.3">
      <c r="A627" s="76"/>
      <c r="B627" s="77"/>
      <c r="C627" s="93"/>
      <c r="D627" s="77"/>
      <c r="E627" s="78" t="s">
        <v>1759</v>
      </c>
      <c r="F627" s="78" t="s">
        <v>2276</v>
      </c>
      <c r="G627" s="78" t="s">
        <v>233</v>
      </c>
      <c r="H627" s="78" t="s">
        <v>232</v>
      </c>
      <c r="I627" s="78">
        <v>28</v>
      </c>
      <c r="J627" s="230"/>
    </row>
    <row r="628" spans="1:10" x14ac:dyDescent="0.3">
      <c r="A628" s="76"/>
      <c r="B628" s="77"/>
      <c r="C628" s="93"/>
      <c r="D628" s="77"/>
      <c r="E628" s="78" t="s">
        <v>2197</v>
      </c>
      <c r="F628" s="78" t="s">
        <v>2276</v>
      </c>
      <c r="G628" s="78" t="s">
        <v>1039</v>
      </c>
      <c r="H628" s="78" t="s">
        <v>1038</v>
      </c>
      <c r="I628" s="78">
        <v>157</v>
      </c>
      <c r="J628" s="231">
        <v>71</v>
      </c>
    </row>
    <row r="629" spans="1:10" ht="15" thickBot="1" x14ac:dyDescent="0.35">
      <c r="A629" s="81"/>
      <c r="B629" s="83"/>
      <c r="C629" s="96"/>
      <c r="D629" s="83"/>
      <c r="E629" s="82" t="s">
        <v>2229</v>
      </c>
      <c r="F629" s="82" t="s">
        <v>2276</v>
      </c>
      <c r="G629" s="82" t="s">
        <v>1242</v>
      </c>
      <c r="H629" s="82" t="s">
        <v>1241</v>
      </c>
      <c r="I629" s="82"/>
      <c r="J629" s="231">
        <v>6</v>
      </c>
    </row>
    <row r="630" spans="1:10" x14ac:dyDescent="0.3">
      <c r="A630" s="72" t="s">
        <v>1500</v>
      </c>
      <c r="B630" s="73" t="s">
        <v>171</v>
      </c>
      <c r="C630" s="95" t="s">
        <v>1480</v>
      </c>
      <c r="D630" s="73" t="s">
        <v>1585</v>
      </c>
      <c r="E630" s="74" t="s">
        <v>1479</v>
      </c>
      <c r="F630" s="74" t="s">
        <v>1485</v>
      </c>
      <c r="G630" s="74" t="s">
        <v>2275</v>
      </c>
      <c r="H630" s="74"/>
      <c r="I630" s="74"/>
      <c r="J630" s="231">
        <v>73</v>
      </c>
    </row>
    <row r="631" spans="1:10" x14ac:dyDescent="0.3">
      <c r="A631" s="76"/>
      <c r="B631" s="77"/>
      <c r="C631" s="93"/>
      <c r="D631" s="77"/>
      <c r="E631" s="78" t="s">
        <v>1489</v>
      </c>
      <c r="F631" s="78" t="s">
        <v>2276</v>
      </c>
      <c r="G631" s="78" t="s">
        <v>164</v>
      </c>
      <c r="H631" s="78" t="s">
        <v>163</v>
      </c>
      <c r="I631" s="78">
        <v>13</v>
      </c>
      <c r="J631" s="231"/>
    </row>
    <row r="632" spans="1:10" x14ac:dyDescent="0.3">
      <c r="A632" s="76"/>
      <c r="B632" s="77"/>
      <c r="C632" s="93"/>
      <c r="D632" s="77"/>
      <c r="E632" s="78" t="s">
        <v>1493</v>
      </c>
      <c r="F632" s="78" t="s">
        <v>2276</v>
      </c>
      <c r="G632" s="78" t="s">
        <v>1113</v>
      </c>
      <c r="H632" s="78" t="s">
        <v>1112</v>
      </c>
      <c r="I632" s="78">
        <v>172</v>
      </c>
      <c r="J632" s="231"/>
    </row>
    <row r="633" spans="1:10" x14ac:dyDescent="0.3">
      <c r="A633" s="76"/>
      <c r="B633" s="77"/>
      <c r="C633" s="93"/>
      <c r="D633" s="77"/>
      <c r="E633" s="78" t="s">
        <v>1496</v>
      </c>
      <c r="F633" s="78" t="s">
        <v>2276</v>
      </c>
      <c r="G633" s="78" t="s">
        <v>856</v>
      </c>
      <c r="H633" s="78" t="s">
        <v>855</v>
      </c>
      <c r="I633" s="78">
        <v>121</v>
      </c>
      <c r="J633" s="231"/>
    </row>
    <row r="634" spans="1:10" x14ac:dyDescent="0.3">
      <c r="A634" s="76"/>
      <c r="B634" s="77"/>
      <c r="C634" s="93"/>
      <c r="D634" s="77"/>
      <c r="E634" s="78" t="s">
        <v>1499</v>
      </c>
      <c r="F634" s="78" t="s">
        <v>2276</v>
      </c>
      <c r="G634" s="78" t="s">
        <v>960</v>
      </c>
      <c r="H634" s="78" t="s">
        <v>959</v>
      </c>
      <c r="I634" s="78">
        <v>139</v>
      </c>
      <c r="J634" s="231">
        <v>95</v>
      </c>
    </row>
    <row r="635" spans="1:10" ht="15" thickBot="1" x14ac:dyDescent="0.35">
      <c r="A635" s="76"/>
      <c r="B635" s="77"/>
      <c r="C635" s="93"/>
      <c r="D635" s="77"/>
      <c r="E635" s="78" t="s">
        <v>1502</v>
      </c>
      <c r="F635" s="78" t="s">
        <v>2276</v>
      </c>
      <c r="G635" s="78" t="s">
        <v>562</v>
      </c>
      <c r="H635" s="78" t="s">
        <v>561</v>
      </c>
      <c r="I635" s="78">
        <v>72</v>
      </c>
      <c r="J635" s="232"/>
    </row>
    <row r="636" spans="1:10" x14ac:dyDescent="0.3">
      <c r="A636" s="76"/>
      <c r="B636" s="77"/>
      <c r="C636" s="93"/>
      <c r="D636" s="77"/>
      <c r="E636" s="78" t="s">
        <v>1504</v>
      </c>
      <c r="F636" s="78" t="s">
        <v>2276</v>
      </c>
      <c r="G636" s="78" t="s">
        <v>223</v>
      </c>
      <c r="H636" s="78" t="s">
        <v>222</v>
      </c>
      <c r="I636" s="78">
        <v>27</v>
      </c>
      <c r="J636" s="230"/>
    </row>
    <row r="637" spans="1:10" x14ac:dyDescent="0.3">
      <c r="A637" s="76"/>
      <c r="B637" s="77"/>
      <c r="C637" s="93"/>
      <c r="D637" s="77"/>
      <c r="E637" s="78" t="s">
        <v>1507</v>
      </c>
      <c r="F637" s="78" t="s">
        <v>2276</v>
      </c>
      <c r="G637" s="78" t="s">
        <v>295</v>
      </c>
      <c r="H637" s="78" t="s">
        <v>294</v>
      </c>
      <c r="I637" s="78">
        <v>35</v>
      </c>
      <c r="J637" s="231">
        <v>5</v>
      </c>
    </row>
    <row r="638" spans="1:10" x14ac:dyDescent="0.3">
      <c r="A638" s="76"/>
      <c r="B638" s="77"/>
      <c r="C638" s="93"/>
      <c r="D638" s="77"/>
      <c r="E638" s="78" t="s">
        <v>1586</v>
      </c>
      <c r="F638" s="78" t="s">
        <v>2276</v>
      </c>
      <c r="G638" s="78" t="s">
        <v>1101</v>
      </c>
      <c r="H638" s="78" t="s">
        <v>1100</v>
      </c>
      <c r="I638" s="78">
        <v>170</v>
      </c>
      <c r="J638" s="231">
        <v>70</v>
      </c>
    </row>
    <row r="639" spans="1:10" x14ac:dyDescent="0.3">
      <c r="A639" s="76"/>
      <c r="B639" s="77"/>
      <c r="C639" s="93"/>
      <c r="D639" s="77"/>
      <c r="E639" s="78" t="s">
        <v>1759</v>
      </c>
      <c r="F639" s="78" t="s">
        <v>2276</v>
      </c>
      <c r="G639" s="78" t="s">
        <v>629</v>
      </c>
      <c r="H639" s="78" t="s">
        <v>628</v>
      </c>
      <c r="I639" s="78">
        <v>82</v>
      </c>
      <c r="J639" s="231">
        <v>72</v>
      </c>
    </row>
    <row r="640" spans="1:10" ht="15" thickBot="1" x14ac:dyDescent="0.35">
      <c r="A640" s="81"/>
      <c r="B640" s="83"/>
      <c r="C640" s="96"/>
      <c r="D640" s="83"/>
      <c r="E640" s="82" t="s">
        <v>2197</v>
      </c>
      <c r="F640" s="82" t="s">
        <v>2276</v>
      </c>
      <c r="G640" s="82" t="s">
        <v>1258</v>
      </c>
      <c r="H640" s="82" t="s">
        <v>1257</v>
      </c>
      <c r="I640" s="82"/>
      <c r="J640" s="231"/>
    </row>
    <row r="641" spans="1:10" x14ac:dyDescent="0.3">
      <c r="A641" s="72" t="s">
        <v>1500</v>
      </c>
      <c r="B641" s="73" t="s">
        <v>158</v>
      </c>
      <c r="C641" s="95" t="s">
        <v>1480</v>
      </c>
      <c r="D641" s="73" t="s">
        <v>1636</v>
      </c>
      <c r="E641" s="74" t="s">
        <v>1479</v>
      </c>
      <c r="F641" s="74" t="s">
        <v>1485</v>
      </c>
      <c r="G641" s="74" t="s">
        <v>2275</v>
      </c>
      <c r="H641" s="74"/>
      <c r="I641" s="74"/>
      <c r="J641" s="231">
        <v>7</v>
      </c>
    </row>
    <row r="642" spans="1:10" x14ac:dyDescent="0.3">
      <c r="A642" s="76"/>
      <c r="B642" s="77"/>
      <c r="C642" s="93"/>
      <c r="D642" s="77"/>
      <c r="E642" s="78" t="s">
        <v>1489</v>
      </c>
      <c r="F642" s="78" t="s">
        <v>2276</v>
      </c>
      <c r="G642" s="78" t="s">
        <v>155</v>
      </c>
      <c r="H642" s="78" t="s">
        <v>154</v>
      </c>
      <c r="I642" s="78">
        <v>12</v>
      </c>
      <c r="J642" s="231"/>
    </row>
    <row r="643" spans="1:10" x14ac:dyDescent="0.3">
      <c r="A643" s="76"/>
      <c r="B643" s="77"/>
      <c r="C643" s="93"/>
      <c r="D643" s="77"/>
      <c r="E643" s="78" t="s">
        <v>1493</v>
      </c>
      <c r="F643" s="78" t="s">
        <v>2276</v>
      </c>
      <c r="G643" s="78" t="s">
        <v>1107</v>
      </c>
      <c r="H643" s="78" t="s">
        <v>1106</v>
      </c>
      <c r="I643" s="78">
        <v>171</v>
      </c>
      <c r="J643" s="231">
        <v>39</v>
      </c>
    </row>
    <row r="644" spans="1:10" x14ac:dyDescent="0.3">
      <c r="A644" s="76"/>
      <c r="B644" s="77"/>
      <c r="C644" s="93"/>
      <c r="D644" s="77"/>
      <c r="E644" s="78" t="s">
        <v>1496</v>
      </c>
      <c r="F644" s="78" t="s">
        <v>2276</v>
      </c>
      <c r="G644" s="78" t="s">
        <v>849</v>
      </c>
      <c r="H644" s="78" t="s">
        <v>848</v>
      </c>
      <c r="I644" s="78">
        <v>120</v>
      </c>
      <c r="J644" s="231">
        <v>96</v>
      </c>
    </row>
    <row r="645" spans="1:10" x14ac:dyDescent="0.3">
      <c r="A645" s="76"/>
      <c r="B645" s="77"/>
      <c r="C645" s="93"/>
      <c r="D645" s="77"/>
      <c r="E645" s="78" t="s">
        <v>1499</v>
      </c>
      <c r="F645" s="78" t="s">
        <v>2276</v>
      </c>
      <c r="G645" s="78" t="s">
        <v>909</v>
      </c>
      <c r="H645" s="78" t="s">
        <v>908</v>
      </c>
      <c r="I645" s="78">
        <v>131</v>
      </c>
      <c r="J645" s="231"/>
    </row>
    <row r="646" spans="1:10" x14ac:dyDescent="0.3">
      <c r="A646" s="76"/>
      <c r="B646" s="77"/>
      <c r="C646" s="93"/>
      <c r="D646" s="77"/>
      <c r="E646" s="78" t="s">
        <v>1502</v>
      </c>
      <c r="F646" s="78" t="s">
        <v>2276</v>
      </c>
      <c r="G646" s="78" t="s">
        <v>215</v>
      </c>
      <c r="H646" s="78" t="s">
        <v>214</v>
      </c>
      <c r="I646" s="78">
        <v>26</v>
      </c>
      <c r="J646" s="231"/>
    </row>
    <row r="647" spans="1:10" ht="15" thickBot="1" x14ac:dyDescent="0.35">
      <c r="A647" s="76"/>
      <c r="B647" s="77"/>
      <c r="C647" s="93"/>
      <c r="D647" s="77"/>
      <c r="E647" s="78" t="s">
        <v>1504</v>
      </c>
      <c r="F647" s="78" t="s">
        <v>2276</v>
      </c>
      <c r="G647" s="78" t="s">
        <v>569</v>
      </c>
      <c r="H647" s="78" t="s">
        <v>568</v>
      </c>
      <c r="I647" s="78">
        <v>73</v>
      </c>
      <c r="J647" s="232"/>
    </row>
    <row r="648" spans="1:10" x14ac:dyDescent="0.3">
      <c r="A648" s="76"/>
      <c r="B648" s="77"/>
      <c r="C648" s="93"/>
      <c r="D648" s="77"/>
      <c r="E648" s="78" t="s">
        <v>1507</v>
      </c>
      <c r="F648" s="78" t="s">
        <v>2276</v>
      </c>
      <c r="G648" s="78" t="s">
        <v>338</v>
      </c>
      <c r="H648" s="78" t="s">
        <v>337</v>
      </c>
      <c r="I648" s="78">
        <v>41</v>
      </c>
      <c r="J648" s="230"/>
    </row>
    <row r="649" spans="1:10" ht="15" thickBot="1" x14ac:dyDescent="0.35">
      <c r="A649" s="81"/>
      <c r="B649" s="83"/>
      <c r="C649" s="96"/>
      <c r="D649" s="83"/>
      <c r="E649" s="82" t="s">
        <v>1586</v>
      </c>
      <c r="F649" s="82" t="s">
        <v>2276</v>
      </c>
      <c r="G649" s="82" t="s">
        <v>1270</v>
      </c>
      <c r="H649" s="82" t="s">
        <v>1269</v>
      </c>
      <c r="I649" s="82"/>
      <c r="J649" s="231"/>
    </row>
    <row r="650" spans="1:10" x14ac:dyDescent="0.3">
      <c r="A650" s="72" t="s">
        <v>1500</v>
      </c>
      <c r="B650" s="73" t="s">
        <v>246</v>
      </c>
      <c r="C650" s="95" t="s">
        <v>1480</v>
      </c>
      <c r="D650" s="73" t="s">
        <v>1676</v>
      </c>
      <c r="E650" s="74" t="s">
        <v>1479</v>
      </c>
      <c r="F650" s="74" t="s">
        <v>1485</v>
      </c>
      <c r="G650" s="74" t="s">
        <v>2275</v>
      </c>
      <c r="H650" s="74"/>
      <c r="I650" s="74"/>
      <c r="J650" s="231">
        <v>100</v>
      </c>
    </row>
    <row r="651" spans="1:10" x14ac:dyDescent="0.3">
      <c r="A651" s="76"/>
      <c r="B651" s="77"/>
      <c r="C651" s="93"/>
      <c r="D651" s="77"/>
      <c r="E651" s="78" t="s">
        <v>1489</v>
      </c>
      <c r="F651" s="78" t="s">
        <v>2276</v>
      </c>
      <c r="G651" s="78" t="s">
        <v>241</v>
      </c>
      <c r="H651" s="78" t="s">
        <v>240</v>
      </c>
      <c r="I651" s="78">
        <v>29</v>
      </c>
      <c r="J651" s="231">
        <v>71</v>
      </c>
    </row>
    <row r="652" spans="1:10" x14ac:dyDescent="0.3">
      <c r="A652" s="76"/>
      <c r="B652" s="77"/>
      <c r="C652" s="93"/>
      <c r="D652" s="77"/>
      <c r="E652" s="78" t="s">
        <v>1493</v>
      </c>
      <c r="F652" s="78" t="s">
        <v>2276</v>
      </c>
      <c r="G652" s="78" t="s">
        <v>589</v>
      </c>
      <c r="H652" s="78" t="s">
        <v>588</v>
      </c>
      <c r="I652" s="78">
        <v>75</v>
      </c>
      <c r="J652" s="231"/>
    </row>
    <row r="653" spans="1:10" x14ac:dyDescent="0.3">
      <c r="A653" s="76"/>
      <c r="B653" s="77"/>
      <c r="C653" s="93"/>
      <c r="D653" s="77"/>
      <c r="E653" s="78" t="s">
        <v>1496</v>
      </c>
      <c r="F653" s="78" t="s">
        <v>2276</v>
      </c>
      <c r="G653" s="78" t="s">
        <v>824</v>
      </c>
      <c r="H653" s="78" t="s">
        <v>823</v>
      </c>
      <c r="I653" s="78">
        <v>116</v>
      </c>
      <c r="J653" s="231"/>
    </row>
    <row r="654" spans="1:10" x14ac:dyDescent="0.3">
      <c r="A654" s="76"/>
      <c r="B654" s="77"/>
      <c r="C654" s="93"/>
      <c r="D654" s="77"/>
      <c r="E654" s="78" t="s">
        <v>1499</v>
      </c>
      <c r="F654" s="78" t="s">
        <v>2276</v>
      </c>
      <c r="G654" s="78" t="s">
        <v>1028</v>
      </c>
      <c r="H654" s="78" t="s">
        <v>1027</v>
      </c>
      <c r="I654" s="78">
        <v>155</v>
      </c>
      <c r="J654" s="231">
        <v>18</v>
      </c>
    </row>
    <row r="655" spans="1:10" x14ac:dyDescent="0.3">
      <c r="A655" s="76"/>
      <c r="B655" s="77"/>
      <c r="C655" s="93"/>
      <c r="D655" s="77"/>
      <c r="E655" s="78" t="s">
        <v>1502</v>
      </c>
      <c r="F655" s="78" t="s">
        <v>2276</v>
      </c>
      <c r="G655" s="78" t="s">
        <v>378</v>
      </c>
      <c r="H655" s="78" t="s">
        <v>377</v>
      </c>
      <c r="I655" s="78">
        <v>46</v>
      </c>
      <c r="J655" s="231">
        <v>22</v>
      </c>
    </row>
    <row r="656" spans="1:10" ht="15" thickBot="1" x14ac:dyDescent="0.35">
      <c r="A656" s="81"/>
      <c r="B656" s="83"/>
      <c r="C656" s="96"/>
      <c r="D656" s="83"/>
      <c r="E656" s="82" t="s">
        <v>1504</v>
      </c>
      <c r="F656" s="82" t="s">
        <v>2276</v>
      </c>
      <c r="G656" s="82" t="s">
        <v>1275</v>
      </c>
      <c r="H656" s="82" t="s">
        <v>1274</v>
      </c>
      <c r="I656" s="82"/>
      <c r="J656" s="231">
        <v>98</v>
      </c>
    </row>
    <row r="657" spans="1:10" x14ac:dyDescent="0.3">
      <c r="A657" s="72" t="s">
        <v>1500</v>
      </c>
      <c r="B657" s="73" t="s">
        <v>264</v>
      </c>
      <c r="C657" s="95" t="s">
        <v>1480</v>
      </c>
      <c r="D657" s="73" t="s">
        <v>1614</v>
      </c>
      <c r="E657" s="74" t="s">
        <v>1479</v>
      </c>
      <c r="F657" s="74" t="s">
        <v>1485</v>
      </c>
      <c r="G657" s="74" t="s">
        <v>2275</v>
      </c>
      <c r="H657" s="74"/>
      <c r="I657" s="74"/>
      <c r="J657" s="231"/>
    </row>
    <row r="658" spans="1:10" ht="15" thickBot="1" x14ac:dyDescent="0.35">
      <c r="A658" s="76"/>
      <c r="B658" s="77"/>
      <c r="C658" s="93"/>
      <c r="D658" s="77"/>
      <c r="E658" s="78" t="s">
        <v>1489</v>
      </c>
      <c r="F658" s="78" t="s">
        <v>2276</v>
      </c>
      <c r="G658" s="78" t="s">
        <v>259</v>
      </c>
      <c r="H658" s="78" t="s">
        <v>258</v>
      </c>
      <c r="I658" s="78">
        <v>31</v>
      </c>
      <c r="J658" s="232"/>
    </row>
    <row r="659" spans="1:10" x14ac:dyDescent="0.3">
      <c r="A659" s="76"/>
      <c r="B659" s="77"/>
      <c r="C659" s="93"/>
      <c r="D659" s="77"/>
      <c r="E659" s="78" t="s">
        <v>1493</v>
      </c>
      <c r="F659" s="78" t="s">
        <v>2276</v>
      </c>
      <c r="G659" s="78" t="s">
        <v>595</v>
      </c>
      <c r="H659" s="78" t="s">
        <v>594</v>
      </c>
      <c r="I659" s="78">
        <v>76</v>
      </c>
      <c r="J659" s="230"/>
    </row>
    <row r="660" spans="1:10" x14ac:dyDescent="0.3">
      <c r="A660" s="76"/>
      <c r="B660" s="77"/>
      <c r="C660" s="93"/>
      <c r="D660" s="77"/>
      <c r="E660" s="78" t="s">
        <v>1496</v>
      </c>
      <c r="F660" s="78" t="s">
        <v>2276</v>
      </c>
      <c r="G660" s="78" t="s">
        <v>752</v>
      </c>
      <c r="H660" s="78" t="s">
        <v>751</v>
      </c>
      <c r="I660" s="78">
        <v>100</v>
      </c>
      <c r="J660" s="231"/>
    </row>
    <row r="661" spans="1:10" x14ac:dyDescent="0.3">
      <c r="A661" s="76"/>
      <c r="B661" s="77"/>
      <c r="C661" s="93"/>
      <c r="D661" s="77"/>
      <c r="E661" s="78" t="s">
        <v>1499</v>
      </c>
      <c r="F661" s="78" t="s">
        <v>2276</v>
      </c>
      <c r="G661" s="78" t="s">
        <v>1049</v>
      </c>
      <c r="H661" s="78" t="s">
        <v>1048</v>
      </c>
      <c r="I661" s="78">
        <v>159</v>
      </c>
      <c r="J661" s="231">
        <v>99</v>
      </c>
    </row>
    <row r="662" spans="1:10" ht="15" thickBot="1" x14ac:dyDescent="0.35">
      <c r="A662" s="81"/>
      <c r="B662" s="83"/>
      <c r="C662" s="96"/>
      <c r="D662" s="83"/>
      <c r="E662" s="82" t="s">
        <v>1502</v>
      </c>
      <c r="F662" s="82" t="s">
        <v>2276</v>
      </c>
      <c r="G662" s="82" t="s">
        <v>1283</v>
      </c>
      <c r="H662" s="82" t="s">
        <v>1282</v>
      </c>
      <c r="I662" s="82"/>
      <c r="J662" s="231">
        <v>70</v>
      </c>
    </row>
    <row r="663" spans="1:10" x14ac:dyDescent="0.3">
      <c r="A663" s="72" t="s">
        <v>1774</v>
      </c>
      <c r="B663" s="73" t="s">
        <v>717</v>
      </c>
      <c r="C663" s="95" t="s">
        <v>1480</v>
      </c>
      <c r="D663" s="73" t="s">
        <v>1788</v>
      </c>
      <c r="E663" s="74" t="s">
        <v>1479</v>
      </c>
      <c r="F663" s="74" t="s">
        <v>1485</v>
      </c>
      <c r="G663" s="74" t="s">
        <v>2305</v>
      </c>
      <c r="H663" s="74"/>
      <c r="I663" s="74"/>
      <c r="J663" s="231"/>
    </row>
    <row r="664" spans="1:10" x14ac:dyDescent="0.3">
      <c r="A664" s="76"/>
      <c r="B664" s="77"/>
      <c r="C664" s="93"/>
      <c r="D664" s="77"/>
      <c r="E664" s="78" t="s">
        <v>1489</v>
      </c>
      <c r="F664" s="78" t="s">
        <v>2276</v>
      </c>
      <c r="G664" s="78" t="s">
        <v>713</v>
      </c>
      <c r="H664" s="78" t="s">
        <v>712</v>
      </c>
      <c r="I664" s="78">
        <v>94</v>
      </c>
      <c r="J664" s="231"/>
    </row>
    <row r="665" spans="1:10" x14ac:dyDescent="0.3">
      <c r="A665" s="76"/>
      <c r="B665" s="77"/>
      <c r="C665" s="93"/>
      <c r="D665" s="77"/>
      <c r="E665" s="78" t="s">
        <v>1493</v>
      </c>
      <c r="F665" s="78" t="s">
        <v>2276</v>
      </c>
      <c r="G665" s="78" t="s">
        <v>882</v>
      </c>
      <c r="H665" s="78" t="s">
        <v>881</v>
      </c>
      <c r="I665" s="78">
        <v>125</v>
      </c>
      <c r="J665" s="231"/>
    </row>
    <row r="666" spans="1:10" x14ac:dyDescent="0.3">
      <c r="A666" s="76"/>
      <c r="B666" s="77"/>
      <c r="C666" s="93"/>
      <c r="D666" s="77"/>
      <c r="E666" s="78" t="s">
        <v>1496</v>
      </c>
      <c r="F666" s="78" t="s">
        <v>2276</v>
      </c>
      <c r="G666" s="78" t="s">
        <v>1427</v>
      </c>
      <c r="H666" s="78" t="s">
        <v>1426</v>
      </c>
      <c r="I666" s="78"/>
      <c r="J666" s="231"/>
    </row>
    <row r="667" spans="1:10" ht="15" thickBot="1" x14ac:dyDescent="0.35">
      <c r="A667" s="81"/>
      <c r="B667" s="83"/>
      <c r="C667" s="96"/>
      <c r="D667" s="83"/>
      <c r="E667" s="82" t="s">
        <v>1499</v>
      </c>
      <c r="F667" s="82" t="s">
        <v>2276</v>
      </c>
      <c r="G667" s="82" t="s">
        <v>1202</v>
      </c>
      <c r="H667" s="82" t="s">
        <v>1201</v>
      </c>
      <c r="I667" s="82"/>
      <c r="J667" s="232"/>
    </row>
    <row r="668" spans="1:10" x14ac:dyDescent="0.3">
      <c r="A668" s="72" t="s">
        <v>1582</v>
      </c>
      <c r="B668" s="73" t="s">
        <v>1089</v>
      </c>
      <c r="C668" s="95" t="s">
        <v>1480</v>
      </c>
      <c r="D668" s="73" t="s">
        <v>1972</v>
      </c>
      <c r="E668" s="74" t="s">
        <v>1479</v>
      </c>
      <c r="F668" s="74" t="s">
        <v>2276</v>
      </c>
      <c r="G668" s="74" t="s">
        <v>1088</v>
      </c>
      <c r="H668" s="74" t="s">
        <v>1087</v>
      </c>
      <c r="I668" s="74">
        <v>166</v>
      </c>
      <c r="J668" s="230"/>
    </row>
    <row r="669" spans="1:10" ht="15" thickBot="1" x14ac:dyDescent="0.35">
      <c r="A669" s="81"/>
      <c r="B669" s="83"/>
      <c r="C669" s="96"/>
      <c r="D669" s="83"/>
      <c r="E669" s="82" t="s">
        <v>1489</v>
      </c>
      <c r="F669" s="82" t="s">
        <v>1485</v>
      </c>
      <c r="G669" s="82" t="s">
        <v>2275</v>
      </c>
      <c r="H669" s="82"/>
      <c r="I669" s="82"/>
      <c r="J669" s="231">
        <v>19</v>
      </c>
    </row>
    <row r="670" spans="1:10" x14ac:dyDescent="0.3">
      <c r="A670" s="72" t="s">
        <v>1582</v>
      </c>
      <c r="B670" s="73" t="s">
        <v>1082</v>
      </c>
      <c r="C670" s="95" t="s">
        <v>1480</v>
      </c>
      <c r="D670" s="73" t="s">
        <v>1977</v>
      </c>
      <c r="E670" s="74" t="s">
        <v>1479</v>
      </c>
      <c r="F670" s="74" t="s">
        <v>2276</v>
      </c>
      <c r="G670" s="74" t="s">
        <v>1081</v>
      </c>
      <c r="H670" s="74" t="s">
        <v>1080</v>
      </c>
      <c r="I670" s="74">
        <v>165</v>
      </c>
      <c r="J670" s="231"/>
    </row>
    <row r="671" spans="1:10" ht="15" thickBot="1" x14ac:dyDescent="0.35">
      <c r="A671" s="81"/>
      <c r="B671" s="83"/>
      <c r="C671" s="96"/>
      <c r="D671" s="83"/>
      <c r="E671" s="82" t="s">
        <v>1489</v>
      </c>
      <c r="F671" s="82" t="s">
        <v>1485</v>
      </c>
      <c r="G671" s="82" t="s">
        <v>2275</v>
      </c>
      <c r="H671" s="82"/>
      <c r="I671" s="82"/>
      <c r="J671" s="231">
        <v>67</v>
      </c>
    </row>
    <row r="672" spans="1:10" x14ac:dyDescent="0.3">
      <c r="A672" s="72" t="s">
        <v>1582</v>
      </c>
      <c r="B672" s="73" t="s">
        <v>1102</v>
      </c>
      <c r="C672" s="95" t="s">
        <v>1480</v>
      </c>
      <c r="D672" s="73" t="s">
        <v>1587</v>
      </c>
      <c r="E672" s="74" t="s">
        <v>1479</v>
      </c>
      <c r="F672" s="74" t="s">
        <v>2276</v>
      </c>
      <c r="G672" s="74" t="s">
        <v>1101</v>
      </c>
      <c r="H672" s="74" t="s">
        <v>1100</v>
      </c>
      <c r="I672" s="74">
        <v>170</v>
      </c>
      <c r="J672" s="231">
        <v>89</v>
      </c>
    </row>
    <row r="673" spans="1:10" ht="15" thickBot="1" x14ac:dyDescent="0.35">
      <c r="A673" s="81"/>
      <c r="B673" s="83"/>
      <c r="C673" s="96"/>
      <c r="D673" s="83"/>
      <c r="E673" s="82" t="s">
        <v>1489</v>
      </c>
      <c r="F673" s="82" t="s">
        <v>1485</v>
      </c>
      <c r="G673" s="82" t="s">
        <v>2275</v>
      </c>
      <c r="H673" s="82"/>
      <c r="I673" s="82"/>
      <c r="J673" s="231">
        <v>26</v>
      </c>
    </row>
    <row r="674" spans="1:10" ht="15" thickBot="1" x14ac:dyDescent="0.35">
      <c r="A674" s="72" t="s">
        <v>1771</v>
      </c>
      <c r="B674" s="73" t="s">
        <v>893</v>
      </c>
      <c r="C674" s="95" t="s">
        <v>1480</v>
      </c>
      <c r="D674" s="73" t="s">
        <v>1854</v>
      </c>
      <c r="E674" s="74" t="s">
        <v>1479</v>
      </c>
      <c r="F674" s="74" t="s">
        <v>1485</v>
      </c>
      <c r="G674" s="74" t="s">
        <v>2275</v>
      </c>
      <c r="H674" s="74"/>
      <c r="I674" s="74"/>
      <c r="J674" s="232"/>
    </row>
    <row r="675" spans="1:10" x14ac:dyDescent="0.3">
      <c r="A675" s="76"/>
      <c r="B675" s="77"/>
      <c r="C675" s="93"/>
      <c r="D675" s="77"/>
      <c r="E675" s="78" t="s">
        <v>1489</v>
      </c>
      <c r="F675" s="78" t="s">
        <v>2276</v>
      </c>
      <c r="G675" s="78" t="s">
        <v>889</v>
      </c>
      <c r="H675" s="78" t="s">
        <v>888</v>
      </c>
      <c r="I675" s="78">
        <v>126</v>
      </c>
      <c r="J675" s="230"/>
    </row>
    <row r="676" spans="1:10" ht="15" thickBot="1" x14ac:dyDescent="0.35">
      <c r="A676" s="81"/>
      <c r="B676" s="83"/>
      <c r="C676" s="96"/>
      <c r="D676" s="83"/>
      <c r="E676" s="82" t="s">
        <v>1493</v>
      </c>
      <c r="F676" s="82" t="s">
        <v>2276</v>
      </c>
      <c r="G676" s="82" t="s">
        <v>965</v>
      </c>
      <c r="H676" s="82" t="s">
        <v>964</v>
      </c>
      <c r="I676" s="82">
        <v>140</v>
      </c>
      <c r="J676" s="231">
        <v>20</v>
      </c>
    </row>
    <row r="677" spans="1:10" x14ac:dyDescent="0.3">
      <c r="A677" s="72" t="s">
        <v>1771</v>
      </c>
      <c r="B677" s="73" t="s">
        <v>331</v>
      </c>
      <c r="C677" s="95" t="s">
        <v>1480</v>
      </c>
      <c r="D677" s="73" t="s">
        <v>1995</v>
      </c>
      <c r="E677" s="74" t="s">
        <v>1479</v>
      </c>
      <c r="F677" s="74" t="s">
        <v>1485</v>
      </c>
      <c r="G677" s="74" t="s">
        <v>2275</v>
      </c>
      <c r="H677" s="74"/>
      <c r="I677" s="74"/>
      <c r="J677" s="231"/>
    </row>
    <row r="678" spans="1:10" x14ac:dyDescent="0.3">
      <c r="A678" s="76"/>
      <c r="B678" s="77"/>
      <c r="C678" s="93"/>
      <c r="D678" s="77"/>
      <c r="E678" s="78" t="s">
        <v>1489</v>
      </c>
      <c r="F678" s="78" t="s">
        <v>2276</v>
      </c>
      <c r="G678" s="78" t="s">
        <v>739</v>
      </c>
      <c r="H678" s="78" t="s">
        <v>738</v>
      </c>
      <c r="I678" s="78">
        <v>98</v>
      </c>
      <c r="J678" s="231">
        <v>57</v>
      </c>
    </row>
    <row r="679" spans="1:10" x14ac:dyDescent="0.3">
      <c r="A679" s="76"/>
      <c r="B679" s="77"/>
      <c r="C679" s="93"/>
      <c r="D679" s="77"/>
      <c r="E679" s="78" t="s">
        <v>1493</v>
      </c>
      <c r="F679" s="78" t="s">
        <v>2276</v>
      </c>
      <c r="G679" s="78" t="s">
        <v>328</v>
      </c>
      <c r="H679" s="78" t="s">
        <v>327</v>
      </c>
      <c r="I679" s="78">
        <v>40</v>
      </c>
      <c r="J679" s="231">
        <v>90</v>
      </c>
    </row>
    <row r="680" spans="1:10" ht="15" thickBot="1" x14ac:dyDescent="0.35">
      <c r="A680" s="81"/>
      <c r="B680" s="83"/>
      <c r="C680" s="96"/>
      <c r="D680" s="83"/>
      <c r="E680" s="82" t="s">
        <v>1496</v>
      </c>
      <c r="F680" s="82" t="s">
        <v>2276</v>
      </c>
      <c r="G680" s="82" t="s">
        <v>1238</v>
      </c>
      <c r="H680" s="82" t="s">
        <v>1237</v>
      </c>
      <c r="I680" s="82"/>
      <c r="J680" s="232"/>
    </row>
    <row r="681" spans="1:10" x14ac:dyDescent="0.3">
      <c r="A681" s="72" t="s">
        <v>1771</v>
      </c>
      <c r="B681" s="73" t="s">
        <v>715</v>
      </c>
      <c r="C681" s="95" t="s">
        <v>1480</v>
      </c>
      <c r="D681" s="73" t="s">
        <v>1787</v>
      </c>
      <c r="E681" s="74" t="s">
        <v>1479</v>
      </c>
      <c r="F681" s="74" t="s">
        <v>1485</v>
      </c>
      <c r="G681" s="74" t="s">
        <v>2275</v>
      </c>
      <c r="H681" s="74"/>
      <c r="I681" s="74"/>
      <c r="J681" s="230"/>
    </row>
    <row r="682" spans="1:10" ht="15" thickBot="1" x14ac:dyDescent="0.35">
      <c r="A682" s="81"/>
      <c r="B682" s="83"/>
      <c r="C682" s="96"/>
      <c r="D682" s="83"/>
      <c r="E682" s="82" t="s">
        <v>1489</v>
      </c>
      <c r="F682" s="82" t="s">
        <v>2276</v>
      </c>
      <c r="G682" s="82" t="s">
        <v>713</v>
      </c>
      <c r="H682" s="82" t="s">
        <v>712</v>
      </c>
      <c r="I682" s="82">
        <v>94</v>
      </c>
      <c r="J682" s="231">
        <v>53</v>
      </c>
    </row>
    <row r="683" spans="1:10" x14ac:dyDescent="0.3">
      <c r="A683" s="72" t="s">
        <v>1771</v>
      </c>
      <c r="B683" s="73" t="s">
        <v>341</v>
      </c>
      <c r="C683" s="95" t="s">
        <v>1480</v>
      </c>
      <c r="D683" s="73" t="s">
        <v>2001</v>
      </c>
      <c r="E683" s="74" t="s">
        <v>1479</v>
      </c>
      <c r="F683" s="74" t="s">
        <v>1485</v>
      </c>
      <c r="G683" s="74" t="s">
        <v>2275</v>
      </c>
      <c r="H683" s="74"/>
      <c r="I683" s="74"/>
      <c r="J683" s="231"/>
    </row>
    <row r="684" spans="1:10" x14ac:dyDescent="0.3">
      <c r="A684" s="76"/>
      <c r="B684" s="77"/>
      <c r="C684" s="93"/>
      <c r="D684" s="77"/>
      <c r="E684" s="78" t="s">
        <v>1489</v>
      </c>
      <c r="F684" s="78" t="s">
        <v>2276</v>
      </c>
      <c r="G684" s="78" t="s">
        <v>733</v>
      </c>
      <c r="H684" s="78" t="s">
        <v>732</v>
      </c>
      <c r="I684" s="78">
        <v>97</v>
      </c>
      <c r="J684" s="231"/>
    </row>
    <row r="685" spans="1:10" ht="15" thickBot="1" x14ac:dyDescent="0.35">
      <c r="A685" s="76"/>
      <c r="B685" s="77"/>
      <c r="C685" s="93"/>
      <c r="D685" s="77"/>
      <c r="E685" s="78" t="s">
        <v>1493</v>
      </c>
      <c r="F685" s="78" t="s">
        <v>2276</v>
      </c>
      <c r="G685" s="78" t="s">
        <v>338</v>
      </c>
      <c r="H685" s="78" t="s">
        <v>337</v>
      </c>
      <c r="I685" s="78">
        <v>41</v>
      </c>
      <c r="J685" s="232"/>
    </row>
    <row r="686" spans="1:10" ht="15" thickBot="1" x14ac:dyDescent="0.35">
      <c r="A686" s="81"/>
      <c r="B686" s="83"/>
      <c r="C686" s="96"/>
      <c r="D686" s="83"/>
      <c r="E686" s="82" t="s">
        <v>1496</v>
      </c>
      <c r="F686" s="82" t="s">
        <v>2276</v>
      </c>
      <c r="G686" s="82" t="s">
        <v>1242</v>
      </c>
      <c r="H686" s="82" t="s">
        <v>1241</v>
      </c>
      <c r="I686" s="82"/>
      <c r="J686" s="230">
        <v>96</v>
      </c>
    </row>
    <row r="687" spans="1:10" ht="15" thickBot="1" x14ac:dyDescent="0.35">
      <c r="A687" s="72" t="s">
        <v>1771</v>
      </c>
      <c r="B687" s="73" t="s">
        <v>722</v>
      </c>
      <c r="C687" s="95" t="s">
        <v>1480</v>
      </c>
      <c r="D687" s="73" t="s">
        <v>1780</v>
      </c>
      <c r="E687" s="74" t="s">
        <v>1479</v>
      </c>
      <c r="F687" s="74" t="s">
        <v>1485</v>
      </c>
      <c r="G687" s="74" t="s">
        <v>2275</v>
      </c>
      <c r="H687" s="74"/>
      <c r="I687" s="74"/>
      <c r="J687" s="232"/>
    </row>
    <row r="688" spans="1:10" ht="15" thickBot="1" x14ac:dyDescent="0.35">
      <c r="A688" s="81"/>
      <c r="B688" s="83"/>
      <c r="C688" s="96"/>
      <c r="D688" s="83"/>
      <c r="E688" s="82" t="s">
        <v>1489</v>
      </c>
      <c r="F688" s="82" t="s">
        <v>2276</v>
      </c>
      <c r="G688" s="82" t="s">
        <v>720</v>
      </c>
      <c r="H688" s="82" t="s">
        <v>719</v>
      </c>
      <c r="I688" s="82">
        <v>95</v>
      </c>
      <c r="J688" s="230">
        <v>95</v>
      </c>
    </row>
    <row r="689" spans="1:10" ht="15" thickBot="1" x14ac:dyDescent="0.35">
      <c r="A689" s="72" t="s">
        <v>1980</v>
      </c>
      <c r="B689" s="73" t="s">
        <v>449</v>
      </c>
      <c r="C689" s="95" t="s">
        <v>1480</v>
      </c>
      <c r="D689" s="73" t="s">
        <v>1979</v>
      </c>
      <c r="E689" s="74" t="s">
        <v>1479</v>
      </c>
      <c r="F689" s="74" t="s">
        <v>1485</v>
      </c>
      <c r="G689" s="74" t="s">
        <v>2275</v>
      </c>
      <c r="H689" s="74"/>
      <c r="I689" s="74"/>
      <c r="J689" s="232"/>
    </row>
    <row r="690" spans="1:10" x14ac:dyDescent="0.3">
      <c r="A690" s="76"/>
      <c r="B690" s="77"/>
      <c r="C690" s="93"/>
      <c r="D690" s="77"/>
      <c r="E690" s="78" t="s">
        <v>1489</v>
      </c>
      <c r="F690" s="78" t="s">
        <v>2276</v>
      </c>
      <c r="G690" s="78" t="s">
        <v>444</v>
      </c>
      <c r="H690" s="78" t="s">
        <v>443</v>
      </c>
      <c r="I690" s="78">
        <v>54</v>
      </c>
      <c r="J690" s="230">
        <v>98</v>
      </c>
    </row>
    <row r="691" spans="1:10" ht="15" thickBot="1" x14ac:dyDescent="0.35">
      <c r="A691" s="81"/>
      <c r="B691" s="83"/>
      <c r="C691" s="96"/>
      <c r="D691" s="83"/>
      <c r="E691" s="82" t="s">
        <v>1493</v>
      </c>
      <c r="F691" s="82" t="s">
        <v>2276</v>
      </c>
      <c r="G691" s="82" t="s">
        <v>1081</v>
      </c>
      <c r="H691" s="82" t="s">
        <v>1080</v>
      </c>
      <c r="I691" s="82">
        <v>165</v>
      </c>
      <c r="J691" s="232"/>
    </row>
    <row r="692" spans="1:10" x14ac:dyDescent="0.3">
      <c r="A692" s="72" t="s">
        <v>1980</v>
      </c>
      <c r="B692" s="73" t="s">
        <v>484</v>
      </c>
      <c r="C692" s="95" t="s">
        <v>1480</v>
      </c>
      <c r="D692" s="73" t="s">
        <v>1992</v>
      </c>
      <c r="E692" s="74" t="s">
        <v>1479</v>
      </c>
      <c r="F692" s="74" t="s">
        <v>1485</v>
      </c>
      <c r="G692" s="74" t="s">
        <v>2275</v>
      </c>
      <c r="H692" s="74"/>
      <c r="I692" s="74"/>
      <c r="J692" s="230"/>
    </row>
    <row r="693" spans="1:10" x14ac:dyDescent="0.3">
      <c r="A693" s="76"/>
      <c r="B693" s="77"/>
      <c r="C693" s="93"/>
      <c r="D693" s="77"/>
      <c r="E693" s="78" t="s">
        <v>1489</v>
      </c>
      <c r="F693" s="78" t="s">
        <v>2276</v>
      </c>
      <c r="G693" s="78" t="s">
        <v>965</v>
      </c>
      <c r="H693" s="78" t="s">
        <v>964</v>
      </c>
      <c r="I693" s="78">
        <v>140</v>
      </c>
      <c r="J693" s="231">
        <v>74</v>
      </c>
    </row>
    <row r="694" spans="1:10" ht="15" thickBot="1" x14ac:dyDescent="0.35">
      <c r="A694" s="76"/>
      <c r="B694" s="77"/>
      <c r="C694" s="93"/>
      <c r="D694" s="77"/>
      <c r="E694" s="78" t="s">
        <v>1493</v>
      </c>
      <c r="F694" s="78" t="s">
        <v>2276</v>
      </c>
      <c r="G694" s="78" t="s">
        <v>482</v>
      </c>
      <c r="H694" s="78" t="s">
        <v>481</v>
      </c>
      <c r="I694" s="78">
        <v>63</v>
      </c>
      <c r="J694" s="232">
        <v>80</v>
      </c>
    </row>
    <row r="695" spans="1:10" x14ac:dyDescent="0.3">
      <c r="A695" s="76"/>
      <c r="B695" s="77"/>
      <c r="C695" s="93"/>
      <c r="D695" s="77"/>
      <c r="E695" s="78" t="s">
        <v>1496</v>
      </c>
      <c r="F695" s="78" t="s">
        <v>1485</v>
      </c>
      <c r="G695" s="78" t="s">
        <v>2275</v>
      </c>
      <c r="H695" s="78"/>
      <c r="I695" s="78"/>
      <c r="J695" s="230"/>
    </row>
    <row r="696" spans="1:10" x14ac:dyDescent="0.3">
      <c r="A696" s="76"/>
      <c r="B696" s="77"/>
      <c r="C696" s="93"/>
      <c r="D696" s="77"/>
      <c r="E696" s="78" t="s">
        <v>1499</v>
      </c>
      <c r="F696" s="78" t="s">
        <v>2276</v>
      </c>
      <c r="G696" s="78" t="s">
        <v>728</v>
      </c>
      <c r="H696" s="78" t="s">
        <v>727</v>
      </c>
      <c r="I696" s="78">
        <v>96</v>
      </c>
      <c r="J696" s="231">
        <v>56</v>
      </c>
    </row>
    <row r="697" spans="1:10" x14ac:dyDescent="0.3">
      <c r="A697" s="76"/>
      <c r="B697" s="77"/>
      <c r="C697" s="93"/>
      <c r="D697" s="77"/>
      <c r="E697" s="78" t="s">
        <v>1502</v>
      </c>
      <c r="F697" s="78" t="s">
        <v>2276</v>
      </c>
      <c r="G697" s="78" t="s">
        <v>1186</v>
      </c>
      <c r="H697" s="78" t="s">
        <v>1185</v>
      </c>
      <c r="I697" s="78"/>
      <c r="J697" s="231"/>
    </row>
    <row r="698" spans="1:10" ht="15" thickBot="1" x14ac:dyDescent="0.35">
      <c r="A698" s="81"/>
      <c r="B698" s="83"/>
      <c r="C698" s="96"/>
      <c r="D698" s="83"/>
      <c r="E698" s="82" t="s">
        <v>1504</v>
      </c>
      <c r="F698" s="82" t="s">
        <v>2276</v>
      </c>
      <c r="G698" s="82" t="s">
        <v>525</v>
      </c>
      <c r="H698" s="82" t="s">
        <v>524</v>
      </c>
      <c r="I698" s="82">
        <v>68</v>
      </c>
      <c r="J698" s="232"/>
    </row>
    <row r="699" spans="1:10" x14ac:dyDescent="0.3">
      <c r="A699" s="72" t="s">
        <v>1980</v>
      </c>
      <c r="B699" s="73" t="s">
        <v>502</v>
      </c>
      <c r="C699" s="95" t="s">
        <v>1480</v>
      </c>
      <c r="D699" s="73" t="s">
        <v>2039</v>
      </c>
      <c r="E699" s="74" t="s">
        <v>1479</v>
      </c>
      <c r="F699" s="74" t="s">
        <v>1485</v>
      </c>
      <c r="G699" s="74" t="s">
        <v>2275</v>
      </c>
      <c r="H699" s="74"/>
      <c r="I699" s="74"/>
      <c r="J699" s="230"/>
    </row>
    <row r="700" spans="1:10" ht="15" thickBot="1" x14ac:dyDescent="0.35">
      <c r="A700" s="76"/>
      <c r="B700" s="77"/>
      <c r="C700" s="93"/>
      <c r="D700" s="77"/>
      <c r="E700" s="78" t="s">
        <v>1489</v>
      </c>
      <c r="F700" s="78" t="s">
        <v>1485</v>
      </c>
      <c r="G700" s="78" t="s">
        <v>2275</v>
      </c>
      <c r="H700" s="78"/>
      <c r="I700" s="78"/>
      <c r="J700" s="232">
        <v>53</v>
      </c>
    </row>
    <row r="701" spans="1:10" ht="15" thickBot="1" x14ac:dyDescent="0.35">
      <c r="A701" s="81"/>
      <c r="B701" s="83"/>
      <c r="C701" s="96"/>
      <c r="D701" s="83"/>
      <c r="E701" s="82" t="s">
        <v>1493</v>
      </c>
      <c r="F701" s="82" t="s">
        <v>2276</v>
      </c>
      <c r="G701" s="82" t="s">
        <v>499</v>
      </c>
      <c r="H701" s="82" t="s">
        <v>498</v>
      </c>
      <c r="I701" s="82">
        <v>65</v>
      </c>
      <c r="J701" s="230"/>
    </row>
    <row r="702" spans="1:10" x14ac:dyDescent="0.3">
      <c r="A702" s="72" t="s">
        <v>1980</v>
      </c>
      <c r="B702" s="73" t="s">
        <v>493</v>
      </c>
      <c r="C702" s="95" t="s">
        <v>1480</v>
      </c>
      <c r="D702" s="73" t="s">
        <v>1987</v>
      </c>
      <c r="E702" s="74" t="s">
        <v>1479</v>
      </c>
      <c r="F702" s="74" t="s">
        <v>1485</v>
      </c>
      <c r="G702" s="74" t="s">
        <v>2275</v>
      </c>
      <c r="H702" s="74"/>
      <c r="I702" s="74"/>
      <c r="J702" s="231">
        <v>55</v>
      </c>
    </row>
    <row r="703" spans="1:10" x14ac:dyDescent="0.3">
      <c r="A703" s="76"/>
      <c r="B703" s="77"/>
      <c r="C703" s="93"/>
      <c r="D703" s="77"/>
      <c r="E703" s="78" t="s">
        <v>1489</v>
      </c>
      <c r="F703" s="78" t="s">
        <v>2276</v>
      </c>
      <c r="G703" s="78" t="s">
        <v>491</v>
      </c>
      <c r="H703" s="78" t="s">
        <v>490</v>
      </c>
      <c r="I703" s="78">
        <v>64</v>
      </c>
      <c r="J703" s="231"/>
    </row>
    <row r="704" spans="1:10" ht="15" thickBot="1" x14ac:dyDescent="0.35">
      <c r="A704" s="76"/>
      <c r="B704" s="77"/>
      <c r="C704" s="93"/>
      <c r="D704" s="77"/>
      <c r="E704" s="78" t="s">
        <v>1493</v>
      </c>
      <c r="F704" s="78" t="s">
        <v>2276</v>
      </c>
      <c r="G704" s="78" t="s">
        <v>971</v>
      </c>
      <c r="H704" s="78" t="s">
        <v>970</v>
      </c>
      <c r="I704" s="78">
        <v>141</v>
      </c>
      <c r="J704" s="232"/>
    </row>
    <row r="705" spans="1:10" x14ac:dyDescent="0.3">
      <c r="A705" s="76"/>
      <c r="B705" s="77"/>
      <c r="C705" s="93"/>
      <c r="D705" s="77"/>
      <c r="E705" s="78" t="s">
        <v>1496</v>
      </c>
      <c r="F705" s="78" t="s">
        <v>2276</v>
      </c>
      <c r="G705" s="78" t="s">
        <v>745</v>
      </c>
      <c r="H705" s="78" t="s">
        <v>744</v>
      </c>
      <c r="I705" s="78">
        <v>99</v>
      </c>
      <c r="J705" s="230"/>
    </row>
    <row r="706" spans="1:10" ht="15" thickBot="1" x14ac:dyDescent="0.35">
      <c r="A706" s="76"/>
      <c r="B706" s="77"/>
      <c r="C706" s="93"/>
      <c r="D706" s="77"/>
      <c r="E706" s="78" t="s">
        <v>1499</v>
      </c>
      <c r="F706" s="78" t="s">
        <v>2276</v>
      </c>
      <c r="G706" s="78" t="s">
        <v>1190</v>
      </c>
      <c r="H706" s="78" t="s">
        <v>1189</v>
      </c>
      <c r="I706" s="78"/>
      <c r="J706" s="232">
        <v>54</v>
      </c>
    </row>
    <row r="707" spans="1:10" ht="15" thickBot="1" x14ac:dyDescent="0.35">
      <c r="A707" s="81"/>
      <c r="B707" s="83"/>
      <c r="C707" s="96"/>
      <c r="D707" s="83"/>
      <c r="E707" s="82" t="s">
        <v>1502</v>
      </c>
      <c r="F707" s="82" t="s">
        <v>2276</v>
      </c>
      <c r="G707" s="82" t="s">
        <v>507</v>
      </c>
      <c r="H707" s="82" t="s">
        <v>506</v>
      </c>
      <c r="I707" s="82">
        <v>66</v>
      </c>
      <c r="J707" s="230"/>
    </row>
    <row r="708" spans="1:10" x14ac:dyDescent="0.3">
      <c r="A708" s="72" t="s">
        <v>1980</v>
      </c>
      <c r="B708" s="73" t="s">
        <v>511</v>
      </c>
      <c r="C708" s="95" t="s">
        <v>1480</v>
      </c>
      <c r="D708" s="73" t="s">
        <v>2036</v>
      </c>
      <c r="E708" s="74" t="s">
        <v>1479</v>
      </c>
      <c r="F708" s="74" t="s">
        <v>1485</v>
      </c>
      <c r="G708" s="74" t="s">
        <v>2275</v>
      </c>
      <c r="H708" s="74"/>
      <c r="I708" s="74"/>
      <c r="J708" s="231">
        <v>34</v>
      </c>
    </row>
    <row r="709" spans="1:10" ht="15" thickBot="1" x14ac:dyDescent="0.35">
      <c r="A709" s="81"/>
      <c r="B709" s="83"/>
      <c r="C709" s="96"/>
      <c r="D709" s="83"/>
      <c r="E709" s="82" t="s">
        <v>1489</v>
      </c>
      <c r="F709" s="82" t="s">
        <v>2276</v>
      </c>
      <c r="G709" s="82" t="s">
        <v>507</v>
      </c>
      <c r="H709" s="82" t="s">
        <v>506</v>
      </c>
      <c r="I709" s="82">
        <v>66</v>
      </c>
      <c r="J709" s="232">
        <v>95</v>
      </c>
    </row>
    <row r="710" spans="1:10" x14ac:dyDescent="0.3">
      <c r="A710" s="72" t="s">
        <v>1505</v>
      </c>
      <c r="B710" s="73" t="s">
        <v>166</v>
      </c>
      <c r="C710" s="95" t="s">
        <v>1480</v>
      </c>
      <c r="D710" s="73" t="s">
        <v>1754</v>
      </c>
      <c r="E710" s="74" t="s">
        <v>1479</v>
      </c>
      <c r="F710" s="74" t="s">
        <v>1485</v>
      </c>
      <c r="G710" s="74" t="s">
        <v>2275</v>
      </c>
      <c r="H710" s="74"/>
      <c r="I710" s="74"/>
      <c r="J710" s="230"/>
    </row>
    <row r="711" spans="1:10" x14ac:dyDescent="0.3">
      <c r="A711" s="76"/>
      <c r="B711" s="77"/>
      <c r="C711" s="93"/>
      <c r="D711" s="77"/>
      <c r="E711" s="78" t="s">
        <v>1489</v>
      </c>
      <c r="F711" s="78" t="s">
        <v>2276</v>
      </c>
      <c r="G711" s="78" t="s">
        <v>720</v>
      </c>
      <c r="H711" s="78" t="s">
        <v>719</v>
      </c>
      <c r="I711" s="78">
        <v>95</v>
      </c>
      <c r="J711" s="231">
        <v>80</v>
      </c>
    </row>
    <row r="712" spans="1:10" x14ac:dyDescent="0.3">
      <c r="A712" s="76"/>
      <c r="B712" s="77"/>
      <c r="C712" s="93"/>
      <c r="D712" s="77"/>
      <c r="E712" s="78" t="s">
        <v>1493</v>
      </c>
      <c r="F712" s="78" t="s">
        <v>2276</v>
      </c>
      <c r="G712" s="78" t="s">
        <v>389</v>
      </c>
      <c r="H712" s="78" t="s">
        <v>388</v>
      </c>
      <c r="I712" s="78">
        <v>47</v>
      </c>
      <c r="J712" s="231">
        <v>41</v>
      </c>
    </row>
    <row r="713" spans="1:10" x14ac:dyDescent="0.3">
      <c r="A713" s="76"/>
      <c r="B713" s="77"/>
      <c r="C713" s="93"/>
      <c r="D713" s="77"/>
      <c r="E713" s="78" t="s">
        <v>1496</v>
      </c>
      <c r="F713" s="78" t="s">
        <v>2276</v>
      </c>
      <c r="G713" s="78" t="s">
        <v>1418</v>
      </c>
      <c r="H713" s="78" t="s">
        <v>1417</v>
      </c>
      <c r="I713" s="78"/>
      <c r="J713" s="231"/>
    </row>
    <row r="714" spans="1:10" x14ac:dyDescent="0.3">
      <c r="A714" s="76"/>
      <c r="B714" s="77"/>
      <c r="C714" s="93"/>
      <c r="D714" s="77"/>
      <c r="E714" s="78" t="s">
        <v>1499</v>
      </c>
      <c r="F714" s="78" t="s">
        <v>2276</v>
      </c>
      <c r="G714" s="78" t="s">
        <v>1270</v>
      </c>
      <c r="H714" s="78" t="s">
        <v>1269</v>
      </c>
      <c r="I714" s="78"/>
      <c r="J714" s="231"/>
    </row>
    <row r="715" spans="1:10" x14ac:dyDescent="0.3">
      <c r="A715" s="76"/>
      <c r="B715" s="77"/>
      <c r="C715" s="93"/>
      <c r="D715" s="77"/>
      <c r="E715" s="78" t="s">
        <v>1502</v>
      </c>
      <c r="F715" s="78" t="s">
        <v>2276</v>
      </c>
      <c r="G715" s="78" t="s">
        <v>164</v>
      </c>
      <c r="H715" s="78" t="s">
        <v>163</v>
      </c>
      <c r="I715" s="78">
        <v>13</v>
      </c>
      <c r="J715" s="231"/>
    </row>
    <row r="716" spans="1:10" ht="15" thickBot="1" x14ac:dyDescent="0.35">
      <c r="A716" s="76"/>
      <c r="B716" s="77"/>
      <c r="C716" s="93"/>
      <c r="D716" s="77"/>
      <c r="E716" s="78" t="s">
        <v>1504</v>
      </c>
      <c r="F716" s="78" t="s">
        <v>2276</v>
      </c>
      <c r="G716" s="78" t="s">
        <v>965</v>
      </c>
      <c r="H716" s="78" t="s">
        <v>964</v>
      </c>
      <c r="I716" s="78">
        <v>140</v>
      </c>
      <c r="J716" s="232">
        <v>45</v>
      </c>
    </row>
    <row r="717" spans="1:10" ht="15" thickBot="1" x14ac:dyDescent="0.35">
      <c r="A717" s="81"/>
      <c r="B717" s="83"/>
      <c r="C717" s="96"/>
      <c r="D717" s="83"/>
      <c r="E717" s="82" t="s">
        <v>1507</v>
      </c>
      <c r="F717" s="82" t="s">
        <v>2276</v>
      </c>
      <c r="G717" s="82" t="s">
        <v>428</v>
      </c>
      <c r="H717" s="82" t="s">
        <v>427</v>
      </c>
      <c r="I717" s="82">
        <v>52</v>
      </c>
      <c r="J717" s="230"/>
    </row>
    <row r="718" spans="1:10" x14ac:dyDescent="0.3">
      <c r="A718" s="72" t="s">
        <v>1505</v>
      </c>
      <c r="B718" s="73" t="s">
        <v>324</v>
      </c>
      <c r="C718" s="95" t="s">
        <v>1480</v>
      </c>
      <c r="D718" s="73" t="s">
        <v>1615</v>
      </c>
      <c r="E718" s="74" t="s">
        <v>1479</v>
      </c>
      <c r="F718" s="74" t="s">
        <v>1485</v>
      </c>
      <c r="G718" s="74" t="s">
        <v>2275</v>
      </c>
      <c r="H718" s="74"/>
      <c r="I718" s="74"/>
      <c r="J718" s="231"/>
    </row>
    <row r="719" spans="1:10" ht="15" thickBot="1" x14ac:dyDescent="0.35">
      <c r="A719" s="76"/>
      <c r="B719" s="77"/>
      <c r="C719" s="93"/>
      <c r="D719" s="77"/>
      <c r="E719" s="78" t="s">
        <v>1489</v>
      </c>
      <c r="F719" s="78" t="s">
        <v>2276</v>
      </c>
      <c r="G719" s="78" t="s">
        <v>389</v>
      </c>
      <c r="H719" s="78" t="s">
        <v>388</v>
      </c>
      <c r="I719" s="78">
        <v>47</v>
      </c>
      <c r="J719" s="232">
        <v>43</v>
      </c>
    </row>
    <row r="720" spans="1:10" x14ac:dyDescent="0.3">
      <c r="A720" s="76"/>
      <c r="B720" s="77"/>
      <c r="C720" s="93"/>
      <c r="D720" s="77"/>
      <c r="E720" s="78" t="s">
        <v>1493</v>
      </c>
      <c r="F720" s="78" t="s">
        <v>2276</v>
      </c>
      <c r="G720" s="78" t="s">
        <v>322</v>
      </c>
      <c r="H720" s="78" t="s">
        <v>321</v>
      </c>
      <c r="I720" s="78">
        <v>39</v>
      </c>
      <c r="J720" s="230"/>
    </row>
    <row r="721" spans="1:10" x14ac:dyDescent="0.3">
      <c r="A721" s="76"/>
      <c r="B721" s="77"/>
      <c r="C721" s="93"/>
      <c r="D721" s="77"/>
      <c r="E721" s="78" t="s">
        <v>1496</v>
      </c>
      <c r="F721" s="78" t="s">
        <v>2276</v>
      </c>
      <c r="G721" s="78" t="s">
        <v>752</v>
      </c>
      <c r="H721" s="78" t="s">
        <v>751</v>
      </c>
      <c r="I721" s="78">
        <v>100</v>
      </c>
      <c r="J721" s="231">
        <v>42</v>
      </c>
    </row>
    <row r="722" spans="1:10" x14ac:dyDescent="0.3">
      <c r="A722" s="76"/>
      <c r="B722" s="77"/>
      <c r="C722" s="93"/>
      <c r="D722" s="77"/>
      <c r="E722" s="78" t="s">
        <v>1499</v>
      </c>
      <c r="F722" s="78" t="s">
        <v>2276</v>
      </c>
      <c r="G722" s="78" t="s">
        <v>971</v>
      </c>
      <c r="H722" s="78" t="s">
        <v>970</v>
      </c>
      <c r="I722" s="78">
        <v>141</v>
      </c>
      <c r="J722" s="231">
        <v>81</v>
      </c>
    </row>
    <row r="723" spans="1:10" ht="15" thickBot="1" x14ac:dyDescent="0.35">
      <c r="A723" s="81"/>
      <c r="B723" s="83"/>
      <c r="C723" s="96"/>
      <c r="D723" s="83"/>
      <c r="E723" s="82" t="s">
        <v>1502</v>
      </c>
      <c r="F723" s="82" t="s">
        <v>2276</v>
      </c>
      <c r="G723" s="82" t="s">
        <v>437</v>
      </c>
      <c r="H723" s="82" t="s">
        <v>436</v>
      </c>
      <c r="I723" s="82">
        <v>53</v>
      </c>
      <c r="J723" s="231"/>
    </row>
    <row r="724" spans="1:10" x14ac:dyDescent="0.3">
      <c r="A724" s="72" t="s">
        <v>1505</v>
      </c>
      <c r="B724" s="73" t="s">
        <v>412</v>
      </c>
      <c r="C724" s="95" t="s">
        <v>1480</v>
      </c>
      <c r="D724" s="73" t="s">
        <v>1965</v>
      </c>
      <c r="E724" s="74" t="s">
        <v>1479</v>
      </c>
      <c r="F724" s="74" t="s">
        <v>1485</v>
      </c>
      <c r="G724" s="74" t="s">
        <v>2275</v>
      </c>
      <c r="H724" s="74"/>
      <c r="I724" s="74"/>
      <c r="J724" s="231"/>
    </row>
    <row r="725" spans="1:10" ht="15" thickBot="1" x14ac:dyDescent="0.35">
      <c r="A725" s="76"/>
      <c r="B725" s="77"/>
      <c r="C725" s="93"/>
      <c r="D725" s="77"/>
      <c r="E725" s="78" t="s">
        <v>1489</v>
      </c>
      <c r="F725" s="78" t="s">
        <v>2276</v>
      </c>
      <c r="G725" s="78" t="s">
        <v>999</v>
      </c>
      <c r="H725" s="78" t="s">
        <v>998</v>
      </c>
      <c r="I725" s="78">
        <v>146</v>
      </c>
      <c r="J725" s="232">
        <v>44</v>
      </c>
    </row>
    <row r="726" spans="1:10" ht="15" thickBot="1" x14ac:dyDescent="0.35">
      <c r="A726" s="81"/>
      <c r="B726" s="83"/>
      <c r="C726" s="96"/>
      <c r="D726" s="83"/>
      <c r="E726" s="82" t="s">
        <v>1493</v>
      </c>
      <c r="F726" s="82" t="s">
        <v>2276</v>
      </c>
      <c r="G726" s="82" t="s">
        <v>409</v>
      </c>
      <c r="H726" s="82" t="s">
        <v>408</v>
      </c>
      <c r="I726" s="82">
        <v>50</v>
      </c>
      <c r="J726" s="230"/>
    </row>
    <row r="727" spans="1:10" ht="15" thickBot="1" x14ac:dyDescent="0.35">
      <c r="A727" s="72" t="s">
        <v>1505</v>
      </c>
      <c r="B727" s="73" t="s">
        <v>422</v>
      </c>
      <c r="C727" s="95" t="s">
        <v>1480</v>
      </c>
      <c r="D727" s="73" t="s">
        <v>1695</v>
      </c>
      <c r="E727" s="74" t="s">
        <v>1479</v>
      </c>
      <c r="F727" s="74" t="s">
        <v>1485</v>
      </c>
      <c r="G727" s="74" t="s">
        <v>2275</v>
      </c>
      <c r="H727" s="74"/>
      <c r="I727" s="74"/>
      <c r="J727" s="232">
        <v>44</v>
      </c>
    </row>
    <row r="728" spans="1:10" x14ac:dyDescent="0.3">
      <c r="A728" s="76"/>
      <c r="B728" s="77"/>
      <c r="C728" s="93"/>
      <c r="D728" s="77"/>
      <c r="E728" s="78" t="s">
        <v>1489</v>
      </c>
      <c r="F728" s="78" t="s">
        <v>2276</v>
      </c>
      <c r="G728" s="78" t="s">
        <v>993</v>
      </c>
      <c r="H728" s="78" t="s">
        <v>992</v>
      </c>
      <c r="I728" s="78">
        <v>145</v>
      </c>
      <c r="J728" s="230"/>
    </row>
    <row r="729" spans="1:10" ht="15" thickBot="1" x14ac:dyDescent="0.35">
      <c r="A729" s="81"/>
      <c r="B729" s="83"/>
      <c r="C729" s="96"/>
      <c r="D729" s="83"/>
      <c r="E729" s="82" t="s">
        <v>1493</v>
      </c>
      <c r="F729" s="82" t="s">
        <v>2276</v>
      </c>
      <c r="G729" s="82" t="s">
        <v>419</v>
      </c>
      <c r="H729" s="82" t="s">
        <v>418</v>
      </c>
      <c r="I729" s="82">
        <v>51</v>
      </c>
      <c r="J729" s="231">
        <v>54</v>
      </c>
    </row>
    <row r="730" spans="1:10" x14ac:dyDescent="0.3">
      <c r="A730" s="72" t="s">
        <v>1505</v>
      </c>
      <c r="B730" s="73" t="s">
        <v>984</v>
      </c>
      <c r="C730" s="95" t="s">
        <v>1480</v>
      </c>
      <c r="D730" s="73" t="s">
        <v>1703</v>
      </c>
      <c r="E730" s="74" t="s">
        <v>1479</v>
      </c>
      <c r="F730" s="74" t="s">
        <v>1485</v>
      </c>
      <c r="G730" s="74" t="s">
        <v>2275</v>
      </c>
      <c r="H730" s="74"/>
      <c r="I730" s="74"/>
      <c r="J730" s="231">
        <v>27</v>
      </c>
    </row>
    <row r="731" spans="1:10" ht="15" thickBot="1" x14ac:dyDescent="0.35">
      <c r="A731" s="81"/>
      <c r="B731" s="83"/>
      <c r="C731" s="96"/>
      <c r="D731" s="83"/>
      <c r="E731" s="82" t="s">
        <v>1489</v>
      </c>
      <c r="F731" s="82" t="s">
        <v>2276</v>
      </c>
      <c r="G731" s="82" t="s">
        <v>981</v>
      </c>
      <c r="H731" s="82" t="s">
        <v>980</v>
      </c>
      <c r="I731" s="82">
        <v>143</v>
      </c>
      <c r="J731" s="231"/>
    </row>
    <row r="732" spans="1:10" x14ac:dyDescent="0.3">
      <c r="A732" s="72" t="s">
        <v>1505</v>
      </c>
      <c r="B732" s="73" t="s">
        <v>924</v>
      </c>
      <c r="C732" s="95" t="s">
        <v>1480</v>
      </c>
      <c r="D732" s="73" t="s">
        <v>1831</v>
      </c>
      <c r="E732" s="74" t="s">
        <v>1479</v>
      </c>
      <c r="F732" s="74" t="s">
        <v>1485</v>
      </c>
      <c r="G732" s="74" t="s">
        <v>2275</v>
      </c>
      <c r="H732" s="74"/>
      <c r="I732" s="74"/>
      <c r="J732" s="231"/>
    </row>
    <row r="733" spans="1:10" ht="15" thickBot="1" x14ac:dyDescent="0.35">
      <c r="A733" s="81"/>
      <c r="B733" s="83"/>
      <c r="C733" s="96"/>
      <c r="D733" s="83"/>
      <c r="E733" s="82" t="s">
        <v>1489</v>
      </c>
      <c r="F733" s="82" t="s">
        <v>2276</v>
      </c>
      <c r="G733" s="82" t="s">
        <v>922</v>
      </c>
      <c r="H733" s="82" t="s">
        <v>921</v>
      </c>
      <c r="I733" s="82">
        <v>133</v>
      </c>
      <c r="J733" s="231"/>
    </row>
    <row r="734" spans="1:10" x14ac:dyDescent="0.3">
      <c r="A734" s="72" t="s">
        <v>1505</v>
      </c>
      <c r="B734" s="73" t="s">
        <v>935</v>
      </c>
      <c r="C734" s="95" t="s">
        <v>1480</v>
      </c>
      <c r="D734" s="73" t="s">
        <v>1539</v>
      </c>
      <c r="E734" s="74" t="s">
        <v>1479</v>
      </c>
      <c r="F734" s="74" t="s">
        <v>1485</v>
      </c>
      <c r="G734" s="74" t="s">
        <v>2275</v>
      </c>
      <c r="H734" s="74"/>
      <c r="I734" s="74"/>
      <c r="J734" s="231">
        <v>80</v>
      </c>
    </row>
    <row r="735" spans="1:10" ht="15" thickBot="1" x14ac:dyDescent="0.35">
      <c r="A735" s="81"/>
      <c r="B735" s="83"/>
      <c r="C735" s="96"/>
      <c r="D735" s="83"/>
      <c r="E735" s="82" t="s">
        <v>1489</v>
      </c>
      <c r="F735" s="82" t="s">
        <v>2276</v>
      </c>
      <c r="G735" s="82" t="s">
        <v>933</v>
      </c>
      <c r="H735" s="82" t="s">
        <v>932</v>
      </c>
      <c r="I735" s="82">
        <v>135</v>
      </c>
      <c r="J735" s="232">
        <v>32</v>
      </c>
    </row>
    <row r="736" spans="1:10" x14ac:dyDescent="0.3">
      <c r="A736" s="72" t="s">
        <v>1505</v>
      </c>
      <c r="B736" s="73" t="s">
        <v>949</v>
      </c>
      <c r="C736" s="95" t="s">
        <v>1480</v>
      </c>
      <c r="D736" s="73" t="s">
        <v>1522</v>
      </c>
      <c r="E736" s="74" t="s">
        <v>1479</v>
      </c>
      <c r="F736" s="74" t="s">
        <v>1485</v>
      </c>
      <c r="G736" s="74" t="s">
        <v>2275</v>
      </c>
      <c r="H736" s="74"/>
      <c r="I736" s="74"/>
      <c r="J736" s="230"/>
    </row>
    <row r="737" spans="1:10" ht="15" thickBot="1" x14ac:dyDescent="0.35">
      <c r="A737" s="81"/>
      <c r="B737" s="83"/>
      <c r="C737" s="96"/>
      <c r="D737" s="83"/>
      <c r="E737" s="82" t="s">
        <v>1489</v>
      </c>
      <c r="F737" s="82" t="s">
        <v>2276</v>
      </c>
      <c r="G737" s="82" t="s">
        <v>946</v>
      </c>
      <c r="H737" s="82" t="s">
        <v>945</v>
      </c>
      <c r="I737" s="82">
        <v>137</v>
      </c>
      <c r="J737" s="231">
        <v>27</v>
      </c>
    </row>
    <row r="738" spans="1:10" x14ac:dyDescent="0.3">
      <c r="A738" s="72" t="s">
        <v>1505</v>
      </c>
      <c r="B738" s="73" t="s">
        <v>299</v>
      </c>
      <c r="C738" s="95" t="s">
        <v>1480</v>
      </c>
      <c r="D738" s="73" t="s">
        <v>1996</v>
      </c>
      <c r="E738" s="74" t="s">
        <v>1479</v>
      </c>
      <c r="F738" s="74" t="s">
        <v>1485</v>
      </c>
      <c r="G738" s="74" t="s">
        <v>2275</v>
      </c>
      <c r="H738" s="74"/>
      <c r="I738" s="74"/>
      <c r="J738" s="231"/>
    </row>
    <row r="739" spans="1:10" x14ac:dyDescent="0.3">
      <c r="A739" s="76"/>
      <c r="B739" s="77"/>
      <c r="C739" s="93"/>
      <c r="D739" s="77"/>
      <c r="E739" s="78" t="s">
        <v>1489</v>
      </c>
      <c r="F739" s="78" t="s">
        <v>2276</v>
      </c>
      <c r="G739" s="78" t="s">
        <v>739</v>
      </c>
      <c r="H739" s="78" t="s">
        <v>738</v>
      </c>
      <c r="I739" s="78">
        <v>98</v>
      </c>
      <c r="J739" s="231">
        <v>57</v>
      </c>
    </row>
    <row r="740" spans="1:10" x14ac:dyDescent="0.3">
      <c r="A740" s="76"/>
      <c r="B740" s="77"/>
      <c r="C740" s="93"/>
      <c r="D740" s="77"/>
      <c r="E740" s="78" t="s">
        <v>1493</v>
      </c>
      <c r="F740" s="78" t="s">
        <v>2276</v>
      </c>
      <c r="G740" s="78" t="s">
        <v>1066</v>
      </c>
      <c r="H740" s="78" t="s">
        <v>1065</v>
      </c>
      <c r="I740" s="78">
        <v>162</v>
      </c>
      <c r="J740" s="231">
        <v>81</v>
      </c>
    </row>
    <row r="741" spans="1:10" ht="15" thickBot="1" x14ac:dyDescent="0.35">
      <c r="A741" s="76"/>
      <c r="B741" s="77"/>
      <c r="C741" s="93"/>
      <c r="D741" s="77"/>
      <c r="E741" s="78" t="s">
        <v>1496</v>
      </c>
      <c r="F741" s="78" t="s">
        <v>2276</v>
      </c>
      <c r="G741" s="78" t="s">
        <v>295</v>
      </c>
      <c r="H741" s="78" t="s">
        <v>294</v>
      </c>
      <c r="I741" s="78">
        <v>35</v>
      </c>
      <c r="J741" s="232">
        <v>33</v>
      </c>
    </row>
    <row r="742" spans="1:10" x14ac:dyDescent="0.3">
      <c r="A742" s="76"/>
      <c r="B742" s="77"/>
      <c r="C742" s="93"/>
      <c r="D742" s="77"/>
      <c r="E742" s="78" t="s">
        <v>1499</v>
      </c>
      <c r="F742" s="78" t="s">
        <v>1485</v>
      </c>
      <c r="G742" s="78" t="s">
        <v>2275</v>
      </c>
      <c r="H742" s="78"/>
      <c r="I742" s="78"/>
      <c r="J742" s="230"/>
    </row>
    <row r="743" spans="1:10" ht="15" thickBot="1" x14ac:dyDescent="0.35">
      <c r="A743" s="81"/>
      <c r="B743" s="83"/>
      <c r="C743" s="96"/>
      <c r="D743" s="83"/>
      <c r="E743" s="82" t="s">
        <v>1502</v>
      </c>
      <c r="F743" s="82" t="s">
        <v>2276</v>
      </c>
      <c r="G743" s="82" t="s">
        <v>452</v>
      </c>
      <c r="H743" s="82" t="s">
        <v>451</v>
      </c>
      <c r="I743" s="82">
        <v>55</v>
      </c>
      <c r="J743" s="231">
        <v>84</v>
      </c>
    </row>
    <row r="744" spans="1:10" ht="15" thickBot="1" x14ac:dyDescent="0.35">
      <c r="A744" s="72" t="s">
        <v>1505</v>
      </c>
      <c r="B744" s="73" t="s">
        <v>289</v>
      </c>
      <c r="C744" s="95" t="s">
        <v>1480</v>
      </c>
      <c r="D744" s="73" t="s">
        <v>2002</v>
      </c>
      <c r="E744" s="74" t="s">
        <v>1479</v>
      </c>
      <c r="F744" s="74" t="s">
        <v>1485</v>
      </c>
      <c r="G744" s="74" t="s">
        <v>2275</v>
      </c>
      <c r="H744" s="74"/>
      <c r="I744" s="74"/>
      <c r="J744" s="232">
        <v>30</v>
      </c>
    </row>
    <row r="745" spans="1:10" x14ac:dyDescent="0.3">
      <c r="A745" s="76"/>
      <c r="B745" s="77"/>
      <c r="C745" s="93"/>
      <c r="D745" s="77"/>
      <c r="E745" s="78" t="s">
        <v>1489</v>
      </c>
      <c r="F745" s="78" t="s">
        <v>2276</v>
      </c>
      <c r="G745" s="78" t="s">
        <v>1071</v>
      </c>
      <c r="H745" s="78" t="s">
        <v>1070</v>
      </c>
      <c r="I745" s="78">
        <v>163</v>
      </c>
      <c r="J745" s="230"/>
    </row>
    <row r="746" spans="1:10" x14ac:dyDescent="0.3">
      <c r="A746" s="76"/>
      <c r="B746" s="77"/>
      <c r="C746" s="93"/>
      <c r="D746" s="77"/>
      <c r="E746" s="78" t="s">
        <v>1493</v>
      </c>
      <c r="F746" s="78" t="s">
        <v>2276</v>
      </c>
      <c r="G746" s="78" t="s">
        <v>733</v>
      </c>
      <c r="H746" s="78" t="s">
        <v>732</v>
      </c>
      <c r="I746" s="78">
        <v>97</v>
      </c>
      <c r="J746" s="231">
        <v>83</v>
      </c>
    </row>
    <row r="747" spans="1:10" ht="15" thickBot="1" x14ac:dyDescent="0.35">
      <c r="A747" s="76"/>
      <c r="B747" s="77"/>
      <c r="C747" s="93"/>
      <c r="D747" s="77"/>
      <c r="E747" s="78" t="s">
        <v>1496</v>
      </c>
      <c r="F747" s="78" t="s">
        <v>2276</v>
      </c>
      <c r="G747" s="78" t="s">
        <v>286</v>
      </c>
      <c r="H747" s="78" t="s">
        <v>285</v>
      </c>
      <c r="I747" s="78">
        <v>34</v>
      </c>
      <c r="J747" s="232">
        <v>31</v>
      </c>
    </row>
    <row r="748" spans="1:10" ht="15" thickBot="1" x14ac:dyDescent="0.35">
      <c r="A748" s="81"/>
      <c r="B748" s="83"/>
      <c r="C748" s="96"/>
      <c r="D748" s="83"/>
      <c r="E748" s="82" t="s">
        <v>1499</v>
      </c>
      <c r="F748" s="82" t="s">
        <v>2276</v>
      </c>
      <c r="G748" s="82" t="s">
        <v>459</v>
      </c>
      <c r="H748" s="82" t="s">
        <v>458</v>
      </c>
      <c r="I748" s="82">
        <v>56</v>
      </c>
      <c r="J748" s="230"/>
    </row>
    <row r="749" spans="1:10" ht="15" thickBot="1" x14ac:dyDescent="0.35">
      <c r="A749" s="72" t="s">
        <v>1505</v>
      </c>
      <c r="B749" s="73" t="s">
        <v>280</v>
      </c>
      <c r="C749" s="95" t="s">
        <v>1480</v>
      </c>
      <c r="D749" s="73" t="s">
        <v>1767</v>
      </c>
      <c r="E749" s="74" t="s">
        <v>1479</v>
      </c>
      <c r="F749" s="74" t="s">
        <v>1485</v>
      </c>
      <c r="G749" s="74" t="s">
        <v>2275</v>
      </c>
      <c r="H749" s="74"/>
      <c r="I749" s="74"/>
      <c r="J749" s="232">
        <v>82</v>
      </c>
    </row>
    <row r="750" spans="1:10" x14ac:dyDescent="0.3">
      <c r="A750" s="76"/>
      <c r="B750" s="77"/>
      <c r="C750" s="93"/>
      <c r="D750" s="77"/>
      <c r="E750" s="78" t="s">
        <v>1489</v>
      </c>
      <c r="F750" s="78" t="s">
        <v>2276</v>
      </c>
      <c r="G750" s="78" t="s">
        <v>1004</v>
      </c>
      <c r="H750" s="78" t="s">
        <v>1003</v>
      </c>
      <c r="I750" s="78">
        <v>147</v>
      </c>
      <c r="J750" s="230"/>
    </row>
    <row r="751" spans="1:10" ht="15" thickBot="1" x14ac:dyDescent="0.35">
      <c r="A751" s="76"/>
      <c r="B751" s="77"/>
      <c r="C751" s="93"/>
      <c r="D751" s="77"/>
      <c r="E751" s="78" t="s">
        <v>1493</v>
      </c>
      <c r="F751" s="78" t="s">
        <v>2276</v>
      </c>
      <c r="G751" s="78" t="s">
        <v>396</v>
      </c>
      <c r="H751" s="78" t="s">
        <v>395</v>
      </c>
      <c r="I751" s="78">
        <v>48</v>
      </c>
      <c r="J751" s="232">
        <v>77</v>
      </c>
    </row>
    <row r="752" spans="1:10" x14ac:dyDescent="0.3">
      <c r="A752" s="76"/>
      <c r="B752" s="77"/>
      <c r="C752" s="93"/>
      <c r="D752" s="77"/>
      <c r="E752" s="78" t="s">
        <v>1496</v>
      </c>
      <c r="F752" s="78" t="s">
        <v>2276</v>
      </c>
      <c r="G752" s="78" t="s">
        <v>713</v>
      </c>
      <c r="H752" s="78" t="s">
        <v>712</v>
      </c>
      <c r="I752" s="78">
        <v>94</v>
      </c>
      <c r="J752" s="230"/>
    </row>
    <row r="753" spans="1:10" ht="15" thickBot="1" x14ac:dyDescent="0.35">
      <c r="A753" s="76"/>
      <c r="B753" s="77"/>
      <c r="C753" s="93"/>
      <c r="D753" s="77"/>
      <c r="E753" s="78" t="s">
        <v>1499</v>
      </c>
      <c r="F753" s="78" t="s">
        <v>2276</v>
      </c>
      <c r="G753" s="78" t="s">
        <v>277</v>
      </c>
      <c r="H753" s="78" t="s">
        <v>276</v>
      </c>
      <c r="I753" s="78">
        <v>33</v>
      </c>
      <c r="J753" s="232">
        <v>78</v>
      </c>
    </row>
    <row r="754" spans="1:10" ht="15" thickBot="1" x14ac:dyDescent="0.35">
      <c r="A754" s="81"/>
      <c r="B754" s="83"/>
      <c r="C754" s="96"/>
      <c r="D754" s="83"/>
      <c r="E754" s="82" t="s">
        <v>1502</v>
      </c>
      <c r="F754" s="82" t="s">
        <v>2276</v>
      </c>
      <c r="G754" s="82" t="s">
        <v>444</v>
      </c>
      <c r="H754" s="82" t="s">
        <v>443</v>
      </c>
      <c r="I754" s="82">
        <v>54</v>
      </c>
      <c r="J754" s="230"/>
    </row>
    <row r="755" spans="1:10" ht="15" thickBot="1" x14ac:dyDescent="0.35">
      <c r="A755" s="72" t="s">
        <v>1560</v>
      </c>
      <c r="B755" s="73" t="s">
        <v>93</v>
      </c>
      <c r="C755" s="95" t="s">
        <v>1480</v>
      </c>
      <c r="D755" s="73" t="s">
        <v>1657</v>
      </c>
      <c r="E755" s="74" t="s">
        <v>1479</v>
      </c>
      <c r="F755" s="74" t="s">
        <v>1485</v>
      </c>
      <c r="G755" s="74" t="s">
        <v>2275</v>
      </c>
      <c r="H755" s="74"/>
      <c r="I755" s="74"/>
      <c r="J755" s="232">
        <v>79</v>
      </c>
    </row>
    <row r="756" spans="1:10" x14ac:dyDescent="0.3">
      <c r="A756" s="76"/>
      <c r="B756" s="77"/>
      <c r="C756" s="93"/>
      <c r="D756" s="77"/>
      <c r="E756" s="78" t="s">
        <v>1489</v>
      </c>
      <c r="F756" s="78" t="s">
        <v>2276</v>
      </c>
      <c r="G756" s="78" t="s">
        <v>849</v>
      </c>
      <c r="H756" s="78" t="s">
        <v>848</v>
      </c>
      <c r="I756" s="78">
        <v>120</v>
      </c>
      <c r="J756" s="230"/>
    </row>
    <row r="757" spans="1:10" x14ac:dyDescent="0.3">
      <c r="A757" s="76"/>
      <c r="B757" s="77"/>
      <c r="C757" s="93"/>
      <c r="D757" s="77"/>
      <c r="E757" s="78" t="s">
        <v>1493</v>
      </c>
      <c r="F757" s="78" t="s">
        <v>2276</v>
      </c>
      <c r="G757" s="78" t="s">
        <v>1056</v>
      </c>
      <c r="H757" s="78" t="s">
        <v>1055</v>
      </c>
      <c r="I757" s="78">
        <v>160</v>
      </c>
      <c r="J757" s="231">
        <v>56</v>
      </c>
    </row>
    <row r="758" spans="1:10" x14ac:dyDescent="0.3">
      <c r="A758" s="76"/>
      <c r="B758" s="77"/>
      <c r="C758" s="93"/>
      <c r="D758" s="77"/>
      <c r="E758" s="78" t="s">
        <v>1496</v>
      </c>
      <c r="F758" s="78" t="s">
        <v>2276</v>
      </c>
      <c r="G758" s="78" t="s">
        <v>88</v>
      </c>
      <c r="H758" s="78" t="s">
        <v>87</v>
      </c>
      <c r="I758" s="78">
        <v>6</v>
      </c>
      <c r="J758" s="231">
        <v>93</v>
      </c>
    </row>
    <row r="759" spans="1:10" x14ac:dyDescent="0.3">
      <c r="A759" s="76"/>
      <c r="B759" s="77"/>
      <c r="C759" s="93"/>
      <c r="D759" s="77"/>
      <c r="E759" s="78" t="s">
        <v>1499</v>
      </c>
      <c r="F759" s="78" t="s">
        <v>2276</v>
      </c>
      <c r="G759" s="78" t="s">
        <v>1242</v>
      </c>
      <c r="H759" s="78" t="s">
        <v>1241</v>
      </c>
      <c r="I759" s="78"/>
      <c r="J759" s="231">
        <v>22</v>
      </c>
    </row>
    <row r="760" spans="1:10" ht="15" thickBot="1" x14ac:dyDescent="0.35">
      <c r="A760" s="81"/>
      <c r="B760" s="83"/>
      <c r="C760" s="96"/>
      <c r="D760" s="83"/>
      <c r="E760" s="82" t="s">
        <v>1502</v>
      </c>
      <c r="F760" s="82" t="s">
        <v>2276</v>
      </c>
      <c r="G760" s="82" t="s">
        <v>1418</v>
      </c>
      <c r="H760" s="82" t="s">
        <v>1417</v>
      </c>
      <c r="I760" s="82"/>
      <c r="J760" s="231"/>
    </row>
    <row r="761" spans="1:10" ht="15" thickBot="1" x14ac:dyDescent="0.35">
      <c r="A761" s="72" t="s">
        <v>1560</v>
      </c>
      <c r="B761" s="73" t="s">
        <v>167</v>
      </c>
      <c r="C761" s="95" t="s">
        <v>1480</v>
      </c>
      <c r="D761" s="73" t="s">
        <v>1606</v>
      </c>
      <c r="E761" s="74" t="s">
        <v>1479</v>
      </c>
      <c r="F761" s="74" t="s">
        <v>1485</v>
      </c>
      <c r="G761" s="74" t="s">
        <v>2275</v>
      </c>
      <c r="H761" s="74"/>
      <c r="I761" s="74"/>
      <c r="J761" s="232">
        <v>35</v>
      </c>
    </row>
    <row r="762" spans="1:10" x14ac:dyDescent="0.3">
      <c r="A762" s="76"/>
      <c r="B762" s="77"/>
      <c r="C762" s="93"/>
      <c r="D762" s="77"/>
      <c r="E762" s="78" t="s">
        <v>1489</v>
      </c>
      <c r="F762" s="78" t="s">
        <v>2276</v>
      </c>
      <c r="G762" s="78" t="s">
        <v>763</v>
      </c>
      <c r="H762" s="78" t="s">
        <v>762</v>
      </c>
      <c r="I762" s="78">
        <v>102</v>
      </c>
      <c r="J762" s="230"/>
    </row>
    <row r="763" spans="1:10" x14ac:dyDescent="0.3">
      <c r="A763" s="76"/>
      <c r="B763" s="77"/>
      <c r="C763" s="93"/>
      <c r="D763" s="77"/>
      <c r="E763" s="78" t="s">
        <v>1493</v>
      </c>
      <c r="F763" s="78" t="s">
        <v>2276</v>
      </c>
      <c r="G763" s="78" t="s">
        <v>347</v>
      </c>
      <c r="H763" s="78" t="s">
        <v>346</v>
      </c>
      <c r="I763" s="78">
        <v>42</v>
      </c>
      <c r="J763" s="231">
        <v>94</v>
      </c>
    </row>
    <row r="764" spans="1:10" x14ac:dyDescent="0.3">
      <c r="A764" s="76"/>
      <c r="B764" s="77"/>
      <c r="C764" s="93"/>
      <c r="D764" s="77"/>
      <c r="E764" s="78" t="s">
        <v>1496</v>
      </c>
      <c r="F764" s="78" t="s">
        <v>2276</v>
      </c>
      <c r="G764" s="78" t="s">
        <v>1410</v>
      </c>
      <c r="H764" s="78" t="s">
        <v>1409</v>
      </c>
      <c r="I764" s="78"/>
      <c r="J764" s="231">
        <v>55</v>
      </c>
    </row>
    <row r="765" spans="1:10" x14ac:dyDescent="0.3">
      <c r="A765" s="76"/>
      <c r="B765" s="77"/>
      <c r="C765" s="93"/>
      <c r="D765" s="77"/>
      <c r="E765" s="78" t="s">
        <v>1499</v>
      </c>
      <c r="F765" s="78" t="s">
        <v>2276</v>
      </c>
      <c r="G765" s="78" t="s">
        <v>971</v>
      </c>
      <c r="H765" s="78" t="s">
        <v>970</v>
      </c>
      <c r="I765" s="78">
        <v>141</v>
      </c>
      <c r="J765" s="231">
        <v>21</v>
      </c>
    </row>
    <row r="766" spans="1:10" ht="15" thickBot="1" x14ac:dyDescent="0.35">
      <c r="A766" s="76"/>
      <c r="B766" s="77"/>
      <c r="C766" s="93"/>
      <c r="D766" s="77"/>
      <c r="E766" s="78" t="s">
        <v>1502</v>
      </c>
      <c r="F766" s="78" t="s">
        <v>2276</v>
      </c>
      <c r="G766" s="78" t="s">
        <v>164</v>
      </c>
      <c r="H766" s="78" t="s">
        <v>163</v>
      </c>
      <c r="I766" s="78">
        <v>13</v>
      </c>
      <c r="J766" s="232">
        <v>36</v>
      </c>
    </row>
    <row r="767" spans="1:10" ht="15" thickBot="1" x14ac:dyDescent="0.35">
      <c r="A767" s="81"/>
      <c r="B767" s="83"/>
      <c r="C767" s="96"/>
      <c r="D767" s="83"/>
      <c r="E767" s="82" t="s">
        <v>1504</v>
      </c>
      <c r="F767" s="82" t="s">
        <v>2276</v>
      </c>
      <c r="G767" s="82" t="s">
        <v>843</v>
      </c>
      <c r="H767" s="82" t="s">
        <v>842</v>
      </c>
      <c r="I767" s="82">
        <v>119</v>
      </c>
      <c r="J767" s="230"/>
    </row>
    <row r="768" spans="1:10" x14ac:dyDescent="0.3">
      <c r="A768" s="72" t="s">
        <v>1560</v>
      </c>
      <c r="B768" s="73" t="s">
        <v>797</v>
      </c>
      <c r="C768" s="95" t="s">
        <v>1480</v>
      </c>
      <c r="D768" s="73" t="s">
        <v>1704</v>
      </c>
      <c r="E768" s="74" t="s">
        <v>1479</v>
      </c>
      <c r="F768" s="74" t="s">
        <v>1485</v>
      </c>
      <c r="G768" s="74" t="s">
        <v>2275</v>
      </c>
      <c r="H768" s="74"/>
      <c r="I768" s="74"/>
      <c r="J768" s="231">
        <v>85</v>
      </c>
    </row>
    <row r="769" spans="1:10" x14ac:dyDescent="0.3">
      <c r="A769" s="76"/>
      <c r="B769" s="77"/>
      <c r="C769" s="93"/>
      <c r="D769" s="77"/>
      <c r="E769" s="78" t="s">
        <v>1489</v>
      </c>
      <c r="F769" s="78" t="s">
        <v>2276</v>
      </c>
      <c r="G769" s="78" t="s">
        <v>794</v>
      </c>
      <c r="H769" s="78" t="s">
        <v>793</v>
      </c>
      <c r="I769" s="78">
        <v>111</v>
      </c>
      <c r="J769" s="231">
        <v>28</v>
      </c>
    </row>
    <row r="770" spans="1:10" ht="15" thickBot="1" x14ac:dyDescent="0.35">
      <c r="A770" s="81"/>
      <c r="B770" s="83"/>
      <c r="C770" s="96"/>
      <c r="D770" s="83"/>
      <c r="E770" s="82" t="s">
        <v>1493</v>
      </c>
      <c r="F770" s="82" t="s">
        <v>2276</v>
      </c>
      <c r="G770" s="82" t="s">
        <v>981</v>
      </c>
      <c r="H770" s="82" t="s">
        <v>980</v>
      </c>
      <c r="I770" s="82">
        <v>143</v>
      </c>
      <c r="J770" s="231">
        <v>53</v>
      </c>
    </row>
    <row r="771" spans="1:10" x14ac:dyDescent="0.3">
      <c r="A771" s="72" t="s">
        <v>1560</v>
      </c>
      <c r="B771" s="73" t="s">
        <v>790</v>
      </c>
      <c r="C771" s="95" t="s">
        <v>1480</v>
      </c>
      <c r="D771" s="73" t="s">
        <v>1685</v>
      </c>
      <c r="E771" s="74" t="s">
        <v>1479</v>
      </c>
      <c r="F771" s="74" t="s">
        <v>1485</v>
      </c>
      <c r="G771" s="74" t="s">
        <v>2275</v>
      </c>
      <c r="H771" s="74"/>
      <c r="I771" s="74"/>
      <c r="J771" s="231"/>
    </row>
    <row r="772" spans="1:10" ht="15" thickBot="1" x14ac:dyDescent="0.35">
      <c r="A772" s="76"/>
      <c r="B772" s="77"/>
      <c r="C772" s="93"/>
      <c r="D772" s="77"/>
      <c r="E772" s="78" t="s">
        <v>1489</v>
      </c>
      <c r="F772" s="78" t="s">
        <v>2276</v>
      </c>
      <c r="G772" s="78" t="s">
        <v>788</v>
      </c>
      <c r="H772" s="78" t="s">
        <v>787</v>
      </c>
      <c r="I772" s="78">
        <v>110</v>
      </c>
      <c r="J772" s="232">
        <v>34</v>
      </c>
    </row>
    <row r="773" spans="1:10" ht="15" thickBot="1" x14ac:dyDescent="0.35">
      <c r="A773" s="81"/>
      <c r="B773" s="83"/>
      <c r="C773" s="96"/>
      <c r="D773" s="83"/>
      <c r="E773" s="82" t="s">
        <v>1493</v>
      </c>
      <c r="F773" s="82" t="s">
        <v>2276</v>
      </c>
      <c r="G773" s="82" t="s">
        <v>1013</v>
      </c>
      <c r="H773" s="82" t="s">
        <v>1012</v>
      </c>
      <c r="I773" s="82">
        <v>152</v>
      </c>
      <c r="J773" s="230"/>
    </row>
    <row r="774" spans="1:10" x14ac:dyDescent="0.3">
      <c r="A774" s="72" t="s">
        <v>1560</v>
      </c>
      <c r="B774" s="73" t="s">
        <v>1030</v>
      </c>
      <c r="C774" s="95" t="s">
        <v>1480</v>
      </c>
      <c r="D774" s="73" t="s">
        <v>1677</v>
      </c>
      <c r="E774" s="74" t="s">
        <v>1479</v>
      </c>
      <c r="F774" s="74" t="s">
        <v>1485</v>
      </c>
      <c r="G774" s="74" t="s">
        <v>2275</v>
      </c>
      <c r="H774" s="74"/>
      <c r="I774" s="74"/>
      <c r="J774" s="231">
        <v>70</v>
      </c>
    </row>
    <row r="775" spans="1:10" ht="15" thickBot="1" x14ac:dyDescent="0.35">
      <c r="A775" s="81"/>
      <c r="B775" s="83"/>
      <c r="C775" s="96"/>
      <c r="D775" s="83"/>
      <c r="E775" s="82" t="s">
        <v>1489</v>
      </c>
      <c r="F775" s="82" t="s">
        <v>2276</v>
      </c>
      <c r="G775" s="82" t="s">
        <v>1028</v>
      </c>
      <c r="H775" s="82" t="s">
        <v>1027</v>
      </c>
      <c r="I775" s="82">
        <v>155</v>
      </c>
      <c r="J775" s="231">
        <v>91</v>
      </c>
    </row>
    <row r="776" spans="1:10" x14ac:dyDescent="0.3">
      <c r="A776" s="72" t="s">
        <v>1560</v>
      </c>
      <c r="B776" s="73" t="s">
        <v>1051</v>
      </c>
      <c r="C776" s="95" t="s">
        <v>1480</v>
      </c>
      <c r="D776" s="73" t="s">
        <v>1668</v>
      </c>
      <c r="E776" s="74" t="s">
        <v>1479</v>
      </c>
      <c r="F776" s="74" t="s">
        <v>1485</v>
      </c>
      <c r="G776" s="74" t="s">
        <v>2275</v>
      </c>
      <c r="H776" s="74"/>
      <c r="I776" s="74"/>
      <c r="J776" s="231"/>
    </row>
    <row r="777" spans="1:10" ht="15" thickBot="1" x14ac:dyDescent="0.35">
      <c r="A777" s="81"/>
      <c r="B777" s="83"/>
      <c r="C777" s="96"/>
      <c r="D777" s="83"/>
      <c r="E777" s="82" t="s">
        <v>1489</v>
      </c>
      <c r="F777" s="82" t="s">
        <v>2276</v>
      </c>
      <c r="G777" s="82" t="s">
        <v>1049</v>
      </c>
      <c r="H777" s="82" t="s">
        <v>1048</v>
      </c>
      <c r="I777" s="82">
        <v>159</v>
      </c>
      <c r="J777" s="231"/>
    </row>
    <row r="778" spans="1:10" ht="15" thickBot="1" x14ac:dyDescent="0.35">
      <c r="A778" s="72" t="s">
        <v>1560</v>
      </c>
      <c r="B778" s="73" t="s">
        <v>40</v>
      </c>
      <c r="C778" s="95" t="s">
        <v>1480</v>
      </c>
      <c r="D778" s="73" t="s">
        <v>1571</v>
      </c>
      <c r="E778" s="74" t="s">
        <v>1479</v>
      </c>
      <c r="F778" s="74" t="s">
        <v>1485</v>
      </c>
      <c r="G778" s="74" t="s">
        <v>2275</v>
      </c>
      <c r="H778" s="74"/>
      <c r="I778" s="74"/>
      <c r="J778" s="232"/>
    </row>
    <row r="779" spans="1:10" x14ac:dyDescent="0.3">
      <c r="A779" s="76"/>
      <c r="B779" s="77"/>
      <c r="C779" s="93"/>
      <c r="D779" s="77"/>
      <c r="E779" s="78" t="s">
        <v>1489</v>
      </c>
      <c r="F779" s="78" t="s">
        <v>2276</v>
      </c>
      <c r="G779" s="78" t="s">
        <v>871</v>
      </c>
      <c r="H779" s="78" t="s">
        <v>870</v>
      </c>
      <c r="I779" s="78">
        <v>123</v>
      </c>
      <c r="J779" s="230"/>
    </row>
    <row r="780" spans="1:10" x14ac:dyDescent="0.3">
      <c r="A780" s="76"/>
      <c r="B780" s="77"/>
      <c r="C780" s="93"/>
      <c r="D780" s="77"/>
      <c r="E780" s="78" t="s">
        <v>1493</v>
      </c>
      <c r="F780" s="78" t="s">
        <v>2276</v>
      </c>
      <c r="G780" s="78" t="s">
        <v>811</v>
      </c>
      <c r="H780" s="78" t="s">
        <v>810</v>
      </c>
      <c r="I780" s="78">
        <v>114</v>
      </c>
      <c r="J780" s="231">
        <v>58</v>
      </c>
    </row>
    <row r="781" spans="1:10" x14ac:dyDescent="0.3">
      <c r="A781" s="76"/>
      <c r="B781" s="77"/>
      <c r="C781" s="93"/>
      <c r="D781" s="77"/>
      <c r="E781" s="78" t="s">
        <v>1496</v>
      </c>
      <c r="F781" s="78" t="s">
        <v>2276</v>
      </c>
      <c r="G781" s="78" t="s">
        <v>37</v>
      </c>
      <c r="H781" s="78" t="s">
        <v>36</v>
      </c>
      <c r="I781" s="78">
        <v>2</v>
      </c>
      <c r="J781" s="231"/>
    </row>
    <row r="782" spans="1:10" ht="15" thickBot="1" x14ac:dyDescent="0.35">
      <c r="A782" s="81"/>
      <c r="B782" s="83"/>
      <c r="C782" s="96"/>
      <c r="D782" s="83"/>
      <c r="E782" s="82" t="s">
        <v>1499</v>
      </c>
      <c r="F782" s="82" t="s">
        <v>2276</v>
      </c>
      <c r="G782" s="82" t="s">
        <v>250</v>
      </c>
      <c r="H782" s="82" t="s">
        <v>249</v>
      </c>
      <c r="I782" s="82">
        <v>30</v>
      </c>
      <c r="J782" s="231"/>
    </row>
    <row r="783" spans="1:10" x14ac:dyDescent="0.3">
      <c r="A783" s="72" t="s">
        <v>1560</v>
      </c>
      <c r="B783" s="73" t="s">
        <v>51</v>
      </c>
      <c r="C783" s="95" t="s">
        <v>1480</v>
      </c>
      <c r="D783" s="73" t="s">
        <v>1559</v>
      </c>
      <c r="E783" s="74" t="s">
        <v>1479</v>
      </c>
      <c r="F783" s="74" t="s">
        <v>1485</v>
      </c>
      <c r="G783" s="74" t="s">
        <v>2275</v>
      </c>
      <c r="H783" s="74"/>
      <c r="I783" s="74"/>
      <c r="J783" s="231">
        <v>81</v>
      </c>
    </row>
    <row r="784" spans="1:10" x14ac:dyDescent="0.3">
      <c r="A784" s="76"/>
      <c r="B784" s="77"/>
      <c r="C784" s="93"/>
      <c r="D784" s="77"/>
      <c r="E784" s="78" t="s">
        <v>1489</v>
      </c>
      <c r="F784" s="78" t="s">
        <v>2276</v>
      </c>
      <c r="G784" s="78" t="s">
        <v>806</v>
      </c>
      <c r="H784" s="78" t="s">
        <v>805</v>
      </c>
      <c r="I784" s="78">
        <v>113</v>
      </c>
      <c r="J784" s="231"/>
    </row>
    <row r="785" spans="1:10" ht="15" thickBot="1" x14ac:dyDescent="0.35">
      <c r="A785" s="76"/>
      <c r="B785" s="77"/>
      <c r="C785" s="93"/>
      <c r="D785" s="77"/>
      <c r="E785" s="78" t="s">
        <v>1493</v>
      </c>
      <c r="F785" s="78" t="s">
        <v>2276</v>
      </c>
      <c r="G785" s="78" t="s">
        <v>877</v>
      </c>
      <c r="H785" s="78" t="s">
        <v>876</v>
      </c>
      <c r="I785" s="78">
        <v>124</v>
      </c>
      <c r="J785" s="232">
        <v>69</v>
      </c>
    </row>
    <row r="786" spans="1:10" x14ac:dyDescent="0.3">
      <c r="A786" s="76"/>
      <c r="B786" s="77"/>
      <c r="C786" s="93"/>
      <c r="D786" s="77"/>
      <c r="E786" s="78" t="s">
        <v>1496</v>
      </c>
      <c r="F786" s="78" t="s">
        <v>2276</v>
      </c>
      <c r="G786" s="78" t="s">
        <v>48</v>
      </c>
      <c r="H786" s="78" t="s">
        <v>47</v>
      </c>
      <c r="I786" s="78">
        <v>3</v>
      </c>
      <c r="J786" s="230"/>
    </row>
    <row r="787" spans="1:10" ht="15" thickBot="1" x14ac:dyDescent="0.35">
      <c r="A787" s="81"/>
      <c r="B787" s="83"/>
      <c r="C787" s="96"/>
      <c r="D787" s="83"/>
      <c r="E787" s="82" t="s">
        <v>1499</v>
      </c>
      <c r="F787" s="82" t="s">
        <v>2276</v>
      </c>
      <c r="G787" s="82" t="s">
        <v>271</v>
      </c>
      <c r="H787" s="82" t="s">
        <v>270</v>
      </c>
      <c r="I787" s="82">
        <v>32</v>
      </c>
      <c r="J787" s="231"/>
    </row>
    <row r="788" spans="1:10" ht="15" thickBot="1" x14ac:dyDescent="0.35">
      <c r="A788" s="72" t="s">
        <v>1560</v>
      </c>
      <c r="B788" s="73" t="s">
        <v>27</v>
      </c>
      <c r="C788" s="95" t="s">
        <v>1480</v>
      </c>
      <c r="D788" s="73" t="s">
        <v>1716</v>
      </c>
      <c r="E788" s="74" t="s">
        <v>1479</v>
      </c>
      <c r="F788" s="74" t="s">
        <v>1485</v>
      </c>
      <c r="G788" s="74" t="s">
        <v>2275</v>
      </c>
      <c r="H788" s="74"/>
      <c r="I788" s="74"/>
      <c r="J788" s="232">
        <v>82</v>
      </c>
    </row>
    <row r="789" spans="1:10" x14ac:dyDescent="0.3">
      <c r="A789" s="76"/>
      <c r="B789" s="77"/>
      <c r="C789" s="93"/>
      <c r="D789" s="77"/>
      <c r="E789" s="78" t="s">
        <v>1489</v>
      </c>
      <c r="F789" s="78" t="s">
        <v>2276</v>
      </c>
      <c r="G789" s="78" t="s">
        <v>856</v>
      </c>
      <c r="H789" s="78" t="s">
        <v>855</v>
      </c>
      <c r="I789" s="78">
        <v>121</v>
      </c>
      <c r="J789" s="230"/>
    </row>
    <row r="790" spans="1:10" x14ac:dyDescent="0.3">
      <c r="A790" s="76"/>
      <c r="B790" s="77"/>
      <c r="C790" s="93"/>
      <c r="D790" s="77"/>
      <c r="E790" s="78" t="s">
        <v>1493</v>
      </c>
      <c r="F790" s="78" t="s">
        <v>2276</v>
      </c>
      <c r="G790" s="78" t="s">
        <v>801</v>
      </c>
      <c r="H790" s="78" t="s">
        <v>800</v>
      </c>
      <c r="I790" s="78">
        <v>112</v>
      </c>
      <c r="J790" s="231">
        <v>63</v>
      </c>
    </row>
    <row r="791" spans="1:10" ht="15" thickBot="1" x14ac:dyDescent="0.35">
      <c r="A791" s="76"/>
      <c r="B791" s="77"/>
      <c r="C791" s="93"/>
      <c r="D791" s="77"/>
      <c r="E791" s="78" t="s">
        <v>1496</v>
      </c>
      <c r="F791" s="78" t="s">
        <v>1485</v>
      </c>
      <c r="G791" s="78" t="s">
        <v>2275</v>
      </c>
      <c r="H791" s="78"/>
      <c r="I791" s="78"/>
      <c r="J791" s="232">
        <v>88</v>
      </c>
    </row>
    <row r="792" spans="1:10" x14ac:dyDescent="0.3">
      <c r="A792" s="76"/>
      <c r="B792" s="77"/>
      <c r="C792" s="93"/>
      <c r="D792" s="77"/>
      <c r="E792" s="78" t="s">
        <v>1499</v>
      </c>
      <c r="F792" s="78" t="s">
        <v>2276</v>
      </c>
      <c r="G792" s="78" t="s">
        <v>23</v>
      </c>
      <c r="H792" s="78" t="s">
        <v>22</v>
      </c>
      <c r="I792" s="78">
        <v>1</v>
      </c>
      <c r="J792" s="230"/>
    </row>
    <row r="793" spans="1:10" ht="15" thickBot="1" x14ac:dyDescent="0.35">
      <c r="A793" s="81"/>
      <c r="B793" s="83"/>
      <c r="C793" s="96"/>
      <c r="D793" s="83"/>
      <c r="E793" s="82" t="s">
        <v>1502</v>
      </c>
      <c r="F793" s="82" t="s">
        <v>2276</v>
      </c>
      <c r="G793" s="82" t="s">
        <v>277</v>
      </c>
      <c r="H793" s="82" t="s">
        <v>276</v>
      </c>
      <c r="I793" s="82">
        <v>33</v>
      </c>
      <c r="J793" s="232">
        <v>89</v>
      </c>
    </row>
    <row r="794" spans="1:10" x14ac:dyDescent="0.3">
      <c r="A794" s="72" t="s">
        <v>1618</v>
      </c>
      <c r="B794" s="73" t="s">
        <v>127</v>
      </c>
      <c r="C794" s="95" t="s">
        <v>1480</v>
      </c>
      <c r="D794" s="73" t="s">
        <v>1637</v>
      </c>
      <c r="E794" s="74" t="s">
        <v>1479</v>
      </c>
      <c r="F794" s="74" t="s">
        <v>1485</v>
      </c>
      <c r="G794" s="74" t="s">
        <v>2275</v>
      </c>
      <c r="H794" s="74"/>
      <c r="I794" s="74"/>
      <c r="J794" s="230"/>
    </row>
    <row r="795" spans="1:10" ht="15" thickBot="1" x14ac:dyDescent="0.35">
      <c r="A795" s="76"/>
      <c r="B795" s="77"/>
      <c r="C795" s="93"/>
      <c r="D795" s="77"/>
      <c r="E795" s="78" t="s">
        <v>1489</v>
      </c>
      <c r="F795" s="78" t="s">
        <v>2276</v>
      </c>
      <c r="G795" s="78" t="s">
        <v>1107</v>
      </c>
      <c r="H795" s="78" t="s">
        <v>1106</v>
      </c>
      <c r="I795" s="78">
        <v>171</v>
      </c>
      <c r="J795" s="232">
        <v>90</v>
      </c>
    </row>
    <row r="796" spans="1:10" x14ac:dyDescent="0.3">
      <c r="A796" s="76"/>
      <c r="B796" s="77"/>
      <c r="C796" s="93"/>
      <c r="D796" s="77"/>
      <c r="E796" s="78" t="s">
        <v>1493</v>
      </c>
      <c r="F796" s="78" t="s">
        <v>2276</v>
      </c>
      <c r="G796" s="78" t="s">
        <v>552</v>
      </c>
      <c r="H796" s="78" t="s">
        <v>551</v>
      </c>
      <c r="I796" s="78">
        <v>71</v>
      </c>
      <c r="J796" s="230"/>
    </row>
    <row r="797" spans="1:10" x14ac:dyDescent="0.3">
      <c r="A797" s="76"/>
      <c r="B797" s="77"/>
      <c r="C797" s="93"/>
      <c r="D797" s="77"/>
      <c r="E797" s="78" t="s">
        <v>1496</v>
      </c>
      <c r="F797" s="78" t="s">
        <v>2276</v>
      </c>
      <c r="G797" s="78" t="s">
        <v>124</v>
      </c>
      <c r="H797" s="78" t="s">
        <v>123</v>
      </c>
      <c r="I797" s="78">
        <v>9</v>
      </c>
      <c r="J797" s="231">
        <v>72</v>
      </c>
    </row>
    <row r="798" spans="1:10" x14ac:dyDescent="0.3">
      <c r="A798" s="76"/>
      <c r="B798" s="77"/>
      <c r="C798" s="93"/>
      <c r="D798" s="77"/>
      <c r="E798" s="78" t="s">
        <v>1499</v>
      </c>
      <c r="F798" s="78" t="s">
        <v>2276</v>
      </c>
      <c r="G798" s="78" t="s">
        <v>562</v>
      </c>
      <c r="H798" s="78" t="s">
        <v>561</v>
      </c>
      <c r="I798" s="78">
        <v>72</v>
      </c>
      <c r="J798" s="231">
        <v>66</v>
      </c>
    </row>
    <row r="799" spans="1:10" x14ac:dyDescent="0.3">
      <c r="A799" s="76"/>
      <c r="B799" s="77"/>
      <c r="C799" s="93"/>
      <c r="D799" s="77"/>
      <c r="E799" s="78" t="s">
        <v>1502</v>
      </c>
      <c r="F799" s="78" t="s">
        <v>2276</v>
      </c>
      <c r="G799" s="78" t="s">
        <v>148</v>
      </c>
      <c r="H799" s="78" t="s">
        <v>147</v>
      </c>
      <c r="I799" s="78">
        <v>11</v>
      </c>
      <c r="J799" s="231"/>
    </row>
    <row r="800" spans="1:10" ht="15" thickBot="1" x14ac:dyDescent="0.35">
      <c r="A800" s="81"/>
      <c r="B800" s="83"/>
      <c r="C800" s="96"/>
      <c r="D800" s="83"/>
      <c r="E800" s="82" t="s">
        <v>1504</v>
      </c>
      <c r="F800" s="82" t="s">
        <v>2276</v>
      </c>
      <c r="G800" s="82" t="s">
        <v>1170</v>
      </c>
      <c r="H800" s="82" t="s">
        <v>1169</v>
      </c>
      <c r="I800" s="82"/>
      <c r="J800" s="232"/>
    </row>
    <row r="801" spans="1:10" x14ac:dyDescent="0.3">
      <c r="A801" s="72" t="s">
        <v>1618</v>
      </c>
      <c r="B801" s="73" t="s">
        <v>139</v>
      </c>
      <c r="C801" s="95" t="s">
        <v>1480</v>
      </c>
      <c r="D801" s="73" t="s">
        <v>2005</v>
      </c>
      <c r="E801" s="74" t="s">
        <v>1479</v>
      </c>
      <c r="F801" s="74" t="s">
        <v>1485</v>
      </c>
      <c r="G801" s="74" t="s">
        <v>2275</v>
      </c>
      <c r="H801" s="74"/>
      <c r="I801" s="74"/>
      <c r="J801" s="230"/>
    </row>
    <row r="802" spans="1:10" x14ac:dyDescent="0.3">
      <c r="A802" s="76"/>
      <c r="B802" s="77"/>
      <c r="C802" s="93"/>
      <c r="D802" s="77"/>
      <c r="E802" s="78" t="s">
        <v>1489</v>
      </c>
      <c r="F802" s="78" t="s">
        <v>2276</v>
      </c>
      <c r="G802" s="78" t="s">
        <v>136</v>
      </c>
      <c r="H802" s="78" t="s">
        <v>135</v>
      </c>
      <c r="I802" s="78">
        <v>10</v>
      </c>
      <c r="J802" s="231">
        <v>65</v>
      </c>
    </row>
    <row r="803" spans="1:10" x14ac:dyDescent="0.3">
      <c r="A803" s="76"/>
      <c r="B803" s="77"/>
      <c r="C803" s="93"/>
      <c r="D803" s="77"/>
      <c r="E803" s="78" t="s">
        <v>1493</v>
      </c>
      <c r="F803" s="78" t="s">
        <v>2276</v>
      </c>
      <c r="G803" s="78" t="s">
        <v>645</v>
      </c>
      <c r="H803" s="78" t="s">
        <v>644</v>
      </c>
      <c r="I803" s="78">
        <v>84</v>
      </c>
      <c r="J803" s="231">
        <v>73</v>
      </c>
    </row>
    <row r="804" spans="1:10" x14ac:dyDescent="0.3">
      <c r="A804" s="76"/>
      <c r="B804" s="77"/>
      <c r="C804" s="93"/>
      <c r="D804" s="77"/>
      <c r="E804" s="78" t="s">
        <v>1496</v>
      </c>
      <c r="F804" s="78" t="s">
        <v>2276</v>
      </c>
      <c r="G804" s="78" t="s">
        <v>699</v>
      </c>
      <c r="H804" s="78" t="s">
        <v>698</v>
      </c>
      <c r="I804" s="78">
        <v>92</v>
      </c>
      <c r="J804" s="231"/>
    </row>
    <row r="805" spans="1:10" ht="15" thickBot="1" x14ac:dyDescent="0.35">
      <c r="A805" s="81"/>
      <c r="B805" s="83"/>
      <c r="C805" s="96"/>
      <c r="D805" s="83"/>
      <c r="E805" s="82" t="s">
        <v>1499</v>
      </c>
      <c r="F805" s="82" t="s">
        <v>2276</v>
      </c>
      <c r="G805" s="82" t="s">
        <v>636</v>
      </c>
      <c r="H805" s="82" t="s">
        <v>635</v>
      </c>
      <c r="I805" s="82">
        <v>83</v>
      </c>
      <c r="J805" s="232"/>
    </row>
    <row r="806" spans="1:10" x14ac:dyDescent="0.3">
      <c r="A806" s="72" t="s">
        <v>1618</v>
      </c>
      <c r="B806" s="73" t="s">
        <v>90</v>
      </c>
      <c r="C806" s="95" t="s">
        <v>1480</v>
      </c>
      <c r="D806" s="73" t="s">
        <v>1731</v>
      </c>
      <c r="E806" s="74" t="s">
        <v>1479</v>
      </c>
      <c r="F806" s="74" t="s">
        <v>1485</v>
      </c>
      <c r="G806" s="74" t="s">
        <v>2275</v>
      </c>
      <c r="H806" s="74"/>
      <c r="I806" s="74"/>
      <c r="J806" s="230"/>
    </row>
    <row r="807" spans="1:10" x14ac:dyDescent="0.3">
      <c r="A807" s="76"/>
      <c r="B807" s="77"/>
      <c r="C807" s="93"/>
      <c r="D807" s="77"/>
      <c r="E807" s="78" t="s">
        <v>1489</v>
      </c>
      <c r="F807" s="78" t="s">
        <v>2276</v>
      </c>
      <c r="G807" s="78" t="s">
        <v>88</v>
      </c>
      <c r="H807" s="78" t="s">
        <v>87</v>
      </c>
      <c r="I807" s="78">
        <v>6</v>
      </c>
      <c r="J807" s="231">
        <v>71</v>
      </c>
    </row>
    <row r="808" spans="1:10" x14ac:dyDescent="0.3">
      <c r="A808" s="76"/>
      <c r="B808" s="77"/>
      <c r="C808" s="93"/>
      <c r="D808" s="77"/>
      <c r="E808" s="78" t="s">
        <v>1493</v>
      </c>
      <c r="F808" s="78" t="s">
        <v>2276</v>
      </c>
      <c r="G808" s="78" t="s">
        <v>148</v>
      </c>
      <c r="H808" s="78" t="s">
        <v>147</v>
      </c>
      <c r="I808" s="78">
        <v>11</v>
      </c>
      <c r="J808" s="231">
        <v>64</v>
      </c>
    </row>
    <row r="809" spans="1:10" ht="15" thickBot="1" x14ac:dyDescent="0.35">
      <c r="A809" s="81"/>
      <c r="B809" s="83"/>
      <c r="C809" s="96"/>
      <c r="D809" s="83"/>
      <c r="E809" s="82" t="s">
        <v>1496</v>
      </c>
      <c r="F809" s="82" t="s">
        <v>2276</v>
      </c>
      <c r="G809" s="82" t="s">
        <v>1258</v>
      </c>
      <c r="H809" s="82" t="s">
        <v>1257</v>
      </c>
      <c r="I809" s="82"/>
      <c r="J809" s="231"/>
    </row>
    <row r="810" spans="1:10" x14ac:dyDescent="0.3">
      <c r="A810" s="72" t="s">
        <v>1618</v>
      </c>
      <c r="B810" s="73" t="s">
        <v>995</v>
      </c>
      <c r="C810" s="95" t="s">
        <v>1480</v>
      </c>
      <c r="D810" s="73" t="s">
        <v>1696</v>
      </c>
      <c r="E810" s="74" t="s">
        <v>1479</v>
      </c>
      <c r="F810" s="74" t="s">
        <v>1485</v>
      </c>
      <c r="G810" s="74" t="s">
        <v>2275</v>
      </c>
      <c r="H810" s="74"/>
      <c r="I810" s="74"/>
      <c r="J810" s="231"/>
    </row>
    <row r="811" spans="1:10" ht="15" thickBot="1" x14ac:dyDescent="0.35">
      <c r="A811" s="76"/>
      <c r="B811" s="77"/>
      <c r="C811" s="93"/>
      <c r="D811" s="77"/>
      <c r="E811" s="78" t="s">
        <v>1489</v>
      </c>
      <c r="F811" s="78" t="s">
        <v>2276</v>
      </c>
      <c r="G811" s="78" t="s">
        <v>993</v>
      </c>
      <c r="H811" s="78" t="s">
        <v>992</v>
      </c>
      <c r="I811" s="78">
        <v>145</v>
      </c>
      <c r="J811" s="232"/>
    </row>
    <row r="812" spans="1:10" ht="15" thickBot="1" x14ac:dyDescent="0.35">
      <c r="A812" s="81"/>
      <c r="B812" s="83"/>
      <c r="C812" s="96"/>
      <c r="D812" s="83"/>
      <c r="E812" s="82" t="s">
        <v>1493</v>
      </c>
      <c r="F812" s="82" t="s">
        <v>2276</v>
      </c>
      <c r="G812" s="82" t="s">
        <v>1262</v>
      </c>
      <c r="H812" s="82" t="s">
        <v>1261</v>
      </c>
      <c r="I812" s="82"/>
      <c r="J812" s="230"/>
    </row>
    <row r="813" spans="1:10" x14ac:dyDescent="0.3">
      <c r="A813" s="72" t="s">
        <v>1618</v>
      </c>
      <c r="B813" s="73" t="s">
        <v>76</v>
      </c>
      <c r="C813" s="95" t="s">
        <v>1480</v>
      </c>
      <c r="D813" s="73" t="s">
        <v>1942</v>
      </c>
      <c r="E813" s="74" t="s">
        <v>1479</v>
      </c>
      <c r="F813" s="74" t="s">
        <v>1485</v>
      </c>
      <c r="G813" s="74" t="s">
        <v>2275</v>
      </c>
      <c r="H813" s="74"/>
      <c r="I813" s="74"/>
      <c r="J813" s="231">
        <v>99</v>
      </c>
    </row>
    <row r="814" spans="1:10" x14ac:dyDescent="0.3">
      <c r="A814" s="76"/>
      <c r="B814" s="77"/>
      <c r="C814" s="93"/>
      <c r="D814" s="77"/>
      <c r="E814" s="78" t="s">
        <v>1489</v>
      </c>
      <c r="F814" s="78" t="s">
        <v>2276</v>
      </c>
      <c r="G814" s="78" t="s">
        <v>73</v>
      </c>
      <c r="H814" s="78" t="s">
        <v>72</v>
      </c>
      <c r="I814" s="78">
        <v>5</v>
      </c>
      <c r="J814" s="231">
        <v>46</v>
      </c>
    </row>
    <row r="815" spans="1:10" x14ac:dyDescent="0.3">
      <c r="A815" s="76"/>
      <c r="B815" s="77"/>
      <c r="C815" s="93"/>
      <c r="D815" s="77"/>
      <c r="E815" s="78" t="s">
        <v>1493</v>
      </c>
      <c r="F815" s="78" t="s">
        <v>2276</v>
      </c>
      <c r="G815" s="78" t="s">
        <v>525</v>
      </c>
      <c r="H815" s="78" t="s">
        <v>524</v>
      </c>
      <c r="I815" s="78">
        <v>68</v>
      </c>
      <c r="J815" s="231">
        <v>5</v>
      </c>
    </row>
    <row r="816" spans="1:10" x14ac:dyDescent="0.3">
      <c r="A816" s="76"/>
      <c r="B816" s="77"/>
      <c r="C816" s="93"/>
      <c r="D816" s="77"/>
      <c r="E816" s="78" t="s">
        <v>1496</v>
      </c>
      <c r="F816" s="78" t="s">
        <v>2276</v>
      </c>
      <c r="G816" s="78" t="s">
        <v>615</v>
      </c>
      <c r="H816" s="78" t="s">
        <v>614</v>
      </c>
      <c r="I816" s="78">
        <v>80</v>
      </c>
      <c r="J816" s="231"/>
    </row>
    <row r="817" spans="1:10" ht="15" thickBot="1" x14ac:dyDescent="0.35">
      <c r="A817" s="81"/>
      <c r="B817" s="83"/>
      <c r="C817" s="96"/>
      <c r="D817" s="83"/>
      <c r="E817" s="82" t="s">
        <v>1499</v>
      </c>
      <c r="F817" s="82" t="s">
        <v>2276</v>
      </c>
      <c r="G817" s="82" t="s">
        <v>1158</v>
      </c>
      <c r="H817" s="82" t="s">
        <v>1157</v>
      </c>
      <c r="I817" s="82"/>
      <c r="J817" s="231">
        <v>7</v>
      </c>
    </row>
    <row r="818" spans="1:10" ht="15" thickBot="1" x14ac:dyDescent="0.35">
      <c r="A818" s="72" t="s">
        <v>1618</v>
      </c>
      <c r="B818" s="73" t="s">
        <v>62</v>
      </c>
      <c r="C818" s="95" t="s">
        <v>1480</v>
      </c>
      <c r="D818" s="73" t="s">
        <v>1801</v>
      </c>
      <c r="E818" s="74" t="s">
        <v>1479</v>
      </c>
      <c r="F818" s="74" t="s">
        <v>1485</v>
      </c>
      <c r="G818" s="74" t="s">
        <v>2275</v>
      </c>
      <c r="H818" s="74"/>
      <c r="I818" s="74"/>
      <c r="J818" s="232"/>
    </row>
    <row r="819" spans="1:10" x14ac:dyDescent="0.3">
      <c r="A819" s="76"/>
      <c r="B819" s="77"/>
      <c r="C819" s="93"/>
      <c r="D819" s="77"/>
      <c r="E819" s="78" t="s">
        <v>1489</v>
      </c>
      <c r="F819" s="78" t="s">
        <v>2276</v>
      </c>
      <c r="G819" s="78" t="s">
        <v>58</v>
      </c>
      <c r="H819" s="78" t="s">
        <v>57</v>
      </c>
      <c r="I819" s="78">
        <v>4</v>
      </c>
      <c r="J819" s="230"/>
    </row>
    <row r="820" spans="1:10" x14ac:dyDescent="0.3">
      <c r="A820" s="76"/>
      <c r="B820" s="77"/>
      <c r="C820" s="93"/>
      <c r="D820" s="77"/>
      <c r="E820" s="78" t="s">
        <v>1493</v>
      </c>
      <c r="F820" s="78" t="s">
        <v>2276</v>
      </c>
      <c r="G820" s="78" t="s">
        <v>604</v>
      </c>
      <c r="H820" s="78" t="s">
        <v>603</v>
      </c>
      <c r="I820" s="78">
        <v>79</v>
      </c>
      <c r="J820" s="231">
        <v>6</v>
      </c>
    </row>
    <row r="821" spans="1:10" x14ac:dyDescent="0.3">
      <c r="A821" s="76"/>
      <c r="B821" s="77"/>
      <c r="C821" s="93"/>
      <c r="D821" s="77"/>
      <c r="E821" s="78" t="s">
        <v>1496</v>
      </c>
      <c r="F821" s="78" t="s">
        <v>2276</v>
      </c>
      <c r="G821" s="78" t="s">
        <v>595</v>
      </c>
      <c r="H821" s="78" t="s">
        <v>594</v>
      </c>
      <c r="I821" s="78">
        <v>76</v>
      </c>
      <c r="J821" s="231"/>
    </row>
    <row r="822" spans="1:10" ht="15" thickBot="1" x14ac:dyDescent="0.35">
      <c r="A822" s="81"/>
      <c r="B822" s="83"/>
      <c r="C822" s="96"/>
      <c r="D822" s="83"/>
      <c r="E822" s="82" t="s">
        <v>1499</v>
      </c>
      <c r="F822" s="82" t="s">
        <v>2276</v>
      </c>
      <c r="G822" s="82" t="s">
        <v>1162</v>
      </c>
      <c r="H822" s="82" t="s">
        <v>1161</v>
      </c>
      <c r="I822" s="82"/>
      <c r="J822" s="231">
        <v>52</v>
      </c>
    </row>
    <row r="823" spans="1:10" ht="15" thickBot="1" x14ac:dyDescent="0.35">
      <c r="A823" s="72" t="s">
        <v>1618</v>
      </c>
      <c r="B823" s="73" t="s">
        <v>581</v>
      </c>
      <c r="C823" s="95" t="s">
        <v>1480</v>
      </c>
      <c r="D823" s="73" t="s">
        <v>1629</v>
      </c>
      <c r="E823" s="74" t="s">
        <v>1479</v>
      </c>
      <c r="F823" s="74" t="s">
        <v>1485</v>
      </c>
      <c r="G823" s="74" t="s">
        <v>2275</v>
      </c>
      <c r="H823" s="74"/>
      <c r="I823" s="74"/>
      <c r="J823" s="232">
        <v>50</v>
      </c>
    </row>
    <row r="824" spans="1:10" x14ac:dyDescent="0.3">
      <c r="A824" s="76"/>
      <c r="B824" s="77"/>
      <c r="C824" s="93"/>
      <c r="D824" s="77"/>
      <c r="E824" s="78" t="s">
        <v>1489</v>
      </c>
      <c r="F824" s="78" t="s">
        <v>2276</v>
      </c>
      <c r="G824" s="78" t="s">
        <v>1113</v>
      </c>
      <c r="H824" s="78" t="s">
        <v>1112</v>
      </c>
      <c r="I824" s="78">
        <v>172</v>
      </c>
      <c r="J824" s="230"/>
    </row>
    <row r="825" spans="1:10" x14ac:dyDescent="0.3">
      <c r="A825" s="76"/>
      <c r="B825" s="77"/>
      <c r="C825" s="93"/>
      <c r="D825" s="77"/>
      <c r="E825" s="78" t="s">
        <v>1493</v>
      </c>
      <c r="F825" s="78" t="s">
        <v>2276</v>
      </c>
      <c r="G825" s="78" t="s">
        <v>577</v>
      </c>
      <c r="H825" s="78" t="s">
        <v>576</v>
      </c>
      <c r="I825" s="78">
        <v>74</v>
      </c>
      <c r="J825" s="231"/>
    </row>
    <row r="826" spans="1:10" x14ac:dyDescent="0.3">
      <c r="A826" s="76"/>
      <c r="B826" s="77"/>
      <c r="C826" s="93"/>
      <c r="D826" s="77"/>
      <c r="E826" s="78" t="s">
        <v>1496</v>
      </c>
      <c r="F826" s="78" t="s">
        <v>2276</v>
      </c>
      <c r="G826" s="78" t="s">
        <v>589</v>
      </c>
      <c r="H826" s="78" t="s">
        <v>588</v>
      </c>
      <c r="I826" s="78">
        <v>75</v>
      </c>
      <c r="J826" s="231">
        <v>7</v>
      </c>
    </row>
    <row r="827" spans="1:10" ht="15" thickBot="1" x14ac:dyDescent="0.35">
      <c r="A827" s="81"/>
      <c r="B827" s="83"/>
      <c r="C827" s="96"/>
      <c r="D827" s="83"/>
      <c r="E827" s="82" t="s">
        <v>1499</v>
      </c>
      <c r="F827" s="82" t="s">
        <v>2276</v>
      </c>
      <c r="G827" s="82" t="s">
        <v>1166</v>
      </c>
      <c r="H827" s="82" t="s">
        <v>1165</v>
      </c>
      <c r="I827" s="82"/>
      <c r="J827" s="232"/>
    </row>
    <row r="828" spans="1:10" x14ac:dyDescent="0.3">
      <c r="A828" s="72" t="s">
        <v>1595</v>
      </c>
      <c r="B828" s="73" t="s">
        <v>263</v>
      </c>
      <c r="C828" s="95" t="s">
        <v>1480</v>
      </c>
      <c r="D828" s="73" t="s">
        <v>1638</v>
      </c>
      <c r="E828" s="74" t="s">
        <v>1479</v>
      </c>
      <c r="F828" s="74" t="s">
        <v>1485</v>
      </c>
      <c r="G828" s="74" t="s">
        <v>2275</v>
      </c>
      <c r="H828" s="74"/>
      <c r="I828" s="74"/>
      <c r="J828" s="230"/>
    </row>
    <row r="829" spans="1:10" x14ac:dyDescent="0.3">
      <c r="A829" s="76"/>
      <c r="B829" s="77"/>
      <c r="C829" s="93"/>
      <c r="D829" s="77"/>
      <c r="E829" s="78" t="s">
        <v>1489</v>
      </c>
      <c r="F829" s="78" t="s">
        <v>2276</v>
      </c>
      <c r="G829" s="78" t="s">
        <v>259</v>
      </c>
      <c r="H829" s="78" t="s">
        <v>258</v>
      </c>
      <c r="I829" s="78">
        <v>31</v>
      </c>
      <c r="J829" s="231">
        <v>83</v>
      </c>
    </row>
    <row r="830" spans="1:10" ht="15" thickBot="1" x14ac:dyDescent="0.35">
      <c r="A830" s="76"/>
      <c r="B830" s="77"/>
      <c r="C830" s="93"/>
      <c r="D830" s="77"/>
      <c r="E830" s="78" t="s">
        <v>1493</v>
      </c>
      <c r="F830" s="78" t="s">
        <v>2276</v>
      </c>
      <c r="G830" s="78" t="s">
        <v>788</v>
      </c>
      <c r="H830" s="78" t="s">
        <v>787</v>
      </c>
      <c r="I830" s="78">
        <v>110</v>
      </c>
      <c r="J830" s="232"/>
    </row>
    <row r="831" spans="1:10" x14ac:dyDescent="0.3">
      <c r="A831" s="76"/>
      <c r="B831" s="77"/>
      <c r="C831" s="93"/>
      <c r="D831" s="77"/>
      <c r="E831" s="78" t="s">
        <v>1496</v>
      </c>
      <c r="F831" s="78" t="s">
        <v>2276</v>
      </c>
      <c r="G831" s="78" t="s">
        <v>1107</v>
      </c>
      <c r="H831" s="78" t="s">
        <v>1106</v>
      </c>
      <c r="I831" s="78">
        <v>171</v>
      </c>
      <c r="J831" s="230"/>
    </row>
    <row r="832" spans="1:10" ht="15" thickBot="1" x14ac:dyDescent="0.35">
      <c r="A832" s="81"/>
      <c r="B832" s="83"/>
      <c r="C832" s="96"/>
      <c r="D832" s="83"/>
      <c r="E832" s="82" t="s">
        <v>1499</v>
      </c>
      <c r="F832" s="82" t="s">
        <v>2276</v>
      </c>
      <c r="G832" s="82" t="s">
        <v>1222</v>
      </c>
      <c r="H832" s="82" t="s">
        <v>1221</v>
      </c>
      <c r="I832" s="82"/>
      <c r="J832" s="231">
        <v>2</v>
      </c>
    </row>
    <row r="833" spans="1:10" x14ac:dyDescent="0.3">
      <c r="A833" s="72" t="s">
        <v>1595</v>
      </c>
      <c r="B833" s="73" t="s">
        <v>380</v>
      </c>
      <c r="C833" s="95" t="s">
        <v>1480</v>
      </c>
      <c r="D833" s="73" t="s">
        <v>1607</v>
      </c>
      <c r="E833" s="74" t="s">
        <v>1479</v>
      </c>
      <c r="F833" s="74" t="s">
        <v>1485</v>
      </c>
      <c r="G833" s="74" t="s">
        <v>2275</v>
      </c>
      <c r="H833" s="74"/>
      <c r="I833" s="74"/>
      <c r="J833" s="231">
        <v>45</v>
      </c>
    </row>
    <row r="834" spans="1:10" x14ac:dyDescent="0.3">
      <c r="A834" s="76"/>
      <c r="B834" s="77"/>
      <c r="C834" s="93"/>
      <c r="D834" s="77"/>
      <c r="E834" s="78" t="s">
        <v>1489</v>
      </c>
      <c r="F834" s="78" t="s">
        <v>2276</v>
      </c>
      <c r="G834" s="78" t="s">
        <v>378</v>
      </c>
      <c r="H834" s="78" t="s">
        <v>377</v>
      </c>
      <c r="I834" s="78">
        <v>46</v>
      </c>
      <c r="J834" s="231"/>
    </row>
    <row r="835" spans="1:10" ht="15" thickBot="1" x14ac:dyDescent="0.35">
      <c r="A835" s="76"/>
      <c r="B835" s="77"/>
      <c r="C835" s="93"/>
      <c r="D835" s="77"/>
      <c r="E835" s="78" t="s">
        <v>1493</v>
      </c>
      <c r="F835" s="78" t="s">
        <v>2276</v>
      </c>
      <c r="G835" s="78" t="s">
        <v>1230</v>
      </c>
      <c r="H835" s="78" t="s">
        <v>1229</v>
      </c>
      <c r="I835" s="78"/>
      <c r="J835" s="232"/>
    </row>
    <row r="836" spans="1:10" x14ac:dyDescent="0.3">
      <c r="A836" s="76"/>
      <c r="B836" s="77"/>
      <c r="C836" s="93"/>
      <c r="D836" s="77"/>
      <c r="E836" s="78" t="s">
        <v>1496</v>
      </c>
      <c r="F836" s="78" t="s">
        <v>2276</v>
      </c>
      <c r="G836" s="78" t="s">
        <v>1275</v>
      </c>
      <c r="H836" s="78" t="s">
        <v>1274</v>
      </c>
      <c r="I836" s="78"/>
      <c r="J836" s="230"/>
    </row>
    <row r="837" spans="1:10" x14ac:dyDescent="0.3">
      <c r="A837" s="76"/>
      <c r="B837" s="77"/>
      <c r="C837" s="93"/>
      <c r="D837" s="77"/>
      <c r="E837" s="78" t="s">
        <v>1499</v>
      </c>
      <c r="F837" s="78" t="s">
        <v>2276</v>
      </c>
      <c r="G837" s="78" t="s">
        <v>516</v>
      </c>
      <c r="H837" s="78" t="s">
        <v>515</v>
      </c>
      <c r="I837" s="78">
        <v>67</v>
      </c>
      <c r="J837" s="231">
        <v>1</v>
      </c>
    </row>
    <row r="838" spans="1:10" ht="15" thickBot="1" x14ac:dyDescent="0.35">
      <c r="A838" s="81"/>
      <c r="B838" s="83"/>
      <c r="C838" s="96"/>
      <c r="D838" s="83"/>
      <c r="E838" s="82" t="s">
        <v>1502</v>
      </c>
      <c r="F838" s="82" t="s">
        <v>2276</v>
      </c>
      <c r="G838" s="82" t="s">
        <v>763</v>
      </c>
      <c r="H838" s="82" t="s">
        <v>762</v>
      </c>
      <c r="I838" s="82">
        <v>102</v>
      </c>
      <c r="J838" s="231">
        <v>48</v>
      </c>
    </row>
    <row r="839" spans="1:10" x14ac:dyDescent="0.3">
      <c r="A839" s="72" t="s">
        <v>1595</v>
      </c>
      <c r="B839" s="73" t="s">
        <v>411</v>
      </c>
      <c r="C839" s="95" t="s">
        <v>1480</v>
      </c>
      <c r="D839" s="73" t="s">
        <v>1873</v>
      </c>
      <c r="E839" s="74" t="s">
        <v>1479</v>
      </c>
      <c r="F839" s="74" t="s">
        <v>1485</v>
      </c>
      <c r="G839" s="74" t="s">
        <v>2275</v>
      </c>
      <c r="H839" s="74"/>
      <c r="I839" s="74"/>
      <c r="J839" s="231"/>
    </row>
    <row r="840" spans="1:10" ht="15" thickBot="1" x14ac:dyDescent="0.35">
      <c r="A840" s="76"/>
      <c r="B840" s="77"/>
      <c r="C840" s="93"/>
      <c r="D840" s="77"/>
      <c r="E840" s="78" t="s">
        <v>1489</v>
      </c>
      <c r="F840" s="78" t="s">
        <v>2276</v>
      </c>
      <c r="G840" s="78" t="s">
        <v>824</v>
      </c>
      <c r="H840" s="78" t="s">
        <v>823</v>
      </c>
      <c r="I840" s="78">
        <v>116</v>
      </c>
      <c r="J840" s="232"/>
    </row>
    <row r="841" spans="1:10" x14ac:dyDescent="0.3">
      <c r="A841" s="76"/>
      <c r="B841" s="77"/>
      <c r="C841" s="93"/>
      <c r="D841" s="77"/>
      <c r="E841" s="78" t="s">
        <v>1493</v>
      </c>
      <c r="F841" s="78" t="s">
        <v>2276</v>
      </c>
      <c r="G841" s="78" t="s">
        <v>1234</v>
      </c>
      <c r="H841" s="78" t="s">
        <v>1233</v>
      </c>
      <c r="I841" s="78"/>
      <c r="J841" s="230"/>
    </row>
    <row r="842" spans="1:10" x14ac:dyDescent="0.3">
      <c r="A842" s="76"/>
      <c r="B842" s="77"/>
      <c r="C842" s="93"/>
      <c r="D842" s="77"/>
      <c r="E842" s="78" t="s">
        <v>1496</v>
      </c>
      <c r="F842" s="78" t="s">
        <v>1485</v>
      </c>
      <c r="G842" s="78" t="s">
        <v>2275</v>
      </c>
      <c r="H842" s="78"/>
      <c r="I842" s="78"/>
      <c r="J842" s="231">
        <v>100</v>
      </c>
    </row>
    <row r="843" spans="1:10" ht="15" thickBot="1" x14ac:dyDescent="0.35">
      <c r="A843" s="81"/>
      <c r="B843" s="83"/>
      <c r="C843" s="96"/>
      <c r="D843" s="83"/>
      <c r="E843" s="82" t="s">
        <v>1499</v>
      </c>
      <c r="F843" s="82" t="s">
        <v>2276</v>
      </c>
      <c r="G843" s="82" t="s">
        <v>409</v>
      </c>
      <c r="H843" s="82" t="s">
        <v>408</v>
      </c>
      <c r="I843" s="82">
        <v>50</v>
      </c>
      <c r="J843" s="231">
        <v>47</v>
      </c>
    </row>
    <row r="844" spans="1:10" x14ac:dyDescent="0.3">
      <c r="A844" s="72" t="s">
        <v>1595</v>
      </c>
      <c r="B844" s="73" t="s">
        <v>421</v>
      </c>
      <c r="C844" s="95" t="s">
        <v>1480</v>
      </c>
      <c r="D844" s="73" t="s">
        <v>1865</v>
      </c>
      <c r="E844" s="74" t="s">
        <v>1479</v>
      </c>
      <c r="F844" s="74" t="s">
        <v>1485</v>
      </c>
      <c r="G844" s="74" t="s">
        <v>2275</v>
      </c>
      <c r="H844" s="74"/>
      <c r="I844" s="74"/>
      <c r="J844" s="231"/>
    </row>
    <row r="845" spans="1:10" ht="15" thickBot="1" x14ac:dyDescent="0.35">
      <c r="A845" s="76"/>
      <c r="B845" s="77"/>
      <c r="C845" s="93"/>
      <c r="D845" s="77"/>
      <c r="E845" s="78" t="s">
        <v>1489</v>
      </c>
      <c r="F845" s="78" t="s">
        <v>2276</v>
      </c>
      <c r="G845" s="78" t="s">
        <v>830</v>
      </c>
      <c r="H845" s="78" t="s">
        <v>829</v>
      </c>
      <c r="I845" s="78">
        <v>117</v>
      </c>
      <c r="J845" s="232"/>
    </row>
    <row r="846" spans="1:10" x14ac:dyDescent="0.3">
      <c r="A846" s="76"/>
      <c r="B846" s="77"/>
      <c r="C846" s="93"/>
      <c r="D846" s="77"/>
      <c r="E846" s="78" t="s">
        <v>1493</v>
      </c>
      <c r="F846" s="78" t="s">
        <v>2276</v>
      </c>
      <c r="G846" s="78" t="s">
        <v>1238</v>
      </c>
      <c r="H846" s="78" t="s">
        <v>1237</v>
      </c>
      <c r="I846" s="78"/>
      <c r="J846" s="230"/>
    </row>
    <row r="847" spans="1:10" x14ac:dyDescent="0.3">
      <c r="A847" s="76"/>
      <c r="B847" s="77"/>
      <c r="C847" s="93"/>
      <c r="D847" s="77"/>
      <c r="E847" s="78" t="s">
        <v>1496</v>
      </c>
      <c r="F847" s="78" t="s">
        <v>2276</v>
      </c>
      <c r="G847" s="78" t="s">
        <v>1250</v>
      </c>
      <c r="H847" s="78" t="s">
        <v>1249</v>
      </c>
      <c r="I847" s="78"/>
      <c r="J847" s="231">
        <v>20</v>
      </c>
    </row>
    <row r="848" spans="1:10" x14ac:dyDescent="0.3">
      <c r="A848" s="76"/>
      <c r="B848" s="77"/>
      <c r="C848" s="93"/>
      <c r="D848" s="77"/>
      <c r="E848" s="78" t="s">
        <v>1499</v>
      </c>
      <c r="F848" s="78" t="s">
        <v>1485</v>
      </c>
      <c r="G848" s="78" t="s">
        <v>2275</v>
      </c>
      <c r="H848" s="78"/>
      <c r="I848" s="78"/>
      <c r="J848" s="231">
        <v>63</v>
      </c>
    </row>
    <row r="849" spans="1:10" ht="15" thickBot="1" x14ac:dyDescent="0.35">
      <c r="A849" s="81"/>
      <c r="B849" s="83"/>
      <c r="C849" s="96"/>
      <c r="D849" s="83"/>
      <c r="E849" s="82" t="s">
        <v>1502</v>
      </c>
      <c r="F849" s="82" t="s">
        <v>2276</v>
      </c>
      <c r="G849" s="82" t="s">
        <v>419</v>
      </c>
      <c r="H849" s="82" t="s">
        <v>418</v>
      </c>
      <c r="I849" s="82">
        <v>51</v>
      </c>
      <c r="J849" s="231">
        <v>99</v>
      </c>
    </row>
    <row r="850" spans="1:10" ht="15" thickBot="1" x14ac:dyDescent="0.35">
      <c r="A850" s="72" t="s">
        <v>1595</v>
      </c>
      <c r="B850" s="73" t="s">
        <v>104</v>
      </c>
      <c r="C850" s="95" t="s">
        <v>1480</v>
      </c>
      <c r="D850" s="73" t="s">
        <v>2040</v>
      </c>
      <c r="E850" s="74" t="s">
        <v>1479</v>
      </c>
      <c r="F850" s="74" t="s">
        <v>1485</v>
      </c>
      <c r="G850" s="74" t="s">
        <v>2275</v>
      </c>
      <c r="H850" s="74"/>
      <c r="I850" s="74"/>
      <c r="J850" s="232"/>
    </row>
    <row r="851" spans="1:10" x14ac:dyDescent="0.3">
      <c r="A851" s="76"/>
      <c r="B851" s="77"/>
      <c r="C851" s="93"/>
      <c r="D851" s="77"/>
      <c r="E851" s="78" t="s">
        <v>1489</v>
      </c>
      <c r="F851" s="78" t="s">
        <v>2276</v>
      </c>
      <c r="G851" s="78" t="s">
        <v>100</v>
      </c>
      <c r="H851" s="78" t="s">
        <v>99</v>
      </c>
      <c r="I851" s="78">
        <v>7</v>
      </c>
      <c r="J851" s="230"/>
    </row>
    <row r="852" spans="1:10" x14ac:dyDescent="0.3">
      <c r="A852" s="76"/>
      <c r="B852" s="77"/>
      <c r="C852" s="93"/>
      <c r="D852" s="77"/>
      <c r="E852" s="78" t="s">
        <v>1493</v>
      </c>
      <c r="F852" s="78" t="s">
        <v>2276</v>
      </c>
      <c r="G852" s="78" t="s">
        <v>775</v>
      </c>
      <c r="H852" s="78" t="s">
        <v>774</v>
      </c>
      <c r="I852" s="78">
        <v>104</v>
      </c>
      <c r="J852" s="231">
        <v>26</v>
      </c>
    </row>
    <row r="853" spans="1:10" x14ac:dyDescent="0.3">
      <c r="A853" s="76"/>
      <c r="B853" s="77"/>
      <c r="C853" s="93"/>
      <c r="D853" s="77"/>
      <c r="E853" s="78" t="s">
        <v>1496</v>
      </c>
      <c r="F853" s="78" t="s">
        <v>2276</v>
      </c>
      <c r="G853" s="78" t="s">
        <v>499</v>
      </c>
      <c r="H853" s="78" t="s">
        <v>498</v>
      </c>
      <c r="I853" s="78">
        <v>65</v>
      </c>
      <c r="J853" s="231"/>
    </row>
    <row r="854" spans="1:10" ht="15" thickBot="1" x14ac:dyDescent="0.35">
      <c r="A854" s="81"/>
      <c r="B854" s="83"/>
      <c r="C854" s="96"/>
      <c r="D854" s="83"/>
      <c r="E854" s="82" t="s">
        <v>1499</v>
      </c>
      <c r="F854" s="82" t="s">
        <v>2276</v>
      </c>
      <c r="G854" s="82" t="s">
        <v>1210</v>
      </c>
      <c r="H854" s="82" t="s">
        <v>1209</v>
      </c>
      <c r="I854" s="82"/>
      <c r="J854" s="231"/>
    </row>
    <row r="855" spans="1:10" x14ac:dyDescent="0.3">
      <c r="A855" s="72" t="s">
        <v>1595</v>
      </c>
      <c r="B855" s="73" t="s">
        <v>138</v>
      </c>
      <c r="C855" s="95" t="s">
        <v>1480</v>
      </c>
      <c r="D855" s="73" t="s">
        <v>2037</v>
      </c>
      <c r="E855" s="74" t="s">
        <v>1479</v>
      </c>
      <c r="F855" s="74" t="s">
        <v>1485</v>
      </c>
      <c r="G855" s="74" t="s">
        <v>2275</v>
      </c>
      <c r="H855" s="74"/>
      <c r="I855" s="74"/>
      <c r="J855" s="231"/>
    </row>
    <row r="856" spans="1:10" ht="15" thickBot="1" x14ac:dyDescent="0.35">
      <c r="A856" s="76"/>
      <c r="B856" s="77"/>
      <c r="C856" s="93"/>
      <c r="D856" s="77"/>
      <c r="E856" s="78" t="s">
        <v>1489</v>
      </c>
      <c r="F856" s="78" t="s">
        <v>2276</v>
      </c>
      <c r="G856" s="78" t="s">
        <v>136</v>
      </c>
      <c r="H856" s="78" t="s">
        <v>135</v>
      </c>
      <c r="I856" s="78">
        <v>10</v>
      </c>
      <c r="J856" s="232">
        <v>58</v>
      </c>
    </row>
    <row r="857" spans="1:10" x14ac:dyDescent="0.3">
      <c r="A857" s="76"/>
      <c r="B857" s="77"/>
      <c r="C857" s="93"/>
      <c r="D857" s="77"/>
      <c r="E857" s="78" t="s">
        <v>1493</v>
      </c>
      <c r="F857" s="78" t="s">
        <v>2276</v>
      </c>
      <c r="G857" s="78" t="s">
        <v>794</v>
      </c>
      <c r="H857" s="78" t="s">
        <v>793</v>
      </c>
      <c r="I857" s="78">
        <v>111</v>
      </c>
      <c r="J857" s="230"/>
    </row>
    <row r="858" spans="1:10" x14ac:dyDescent="0.3">
      <c r="A858" s="76"/>
      <c r="B858" s="77"/>
      <c r="C858" s="93"/>
      <c r="D858" s="77"/>
      <c r="E858" s="78" t="s">
        <v>1496</v>
      </c>
      <c r="F858" s="78" t="s">
        <v>2276</v>
      </c>
      <c r="G858" s="78" t="s">
        <v>507</v>
      </c>
      <c r="H858" s="78" t="s">
        <v>506</v>
      </c>
      <c r="I858" s="78">
        <v>66</v>
      </c>
      <c r="J858" s="231">
        <v>67</v>
      </c>
    </row>
    <row r="859" spans="1:10" ht="15" thickBot="1" x14ac:dyDescent="0.35">
      <c r="A859" s="81"/>
      <c r="B859" s="83"/>
      <c r="C859" s="96"/>
      <c r="D859" s="83"/>
      <c r="E859" s="82" t="s">
        <v>1499</v>
      </c>
      <c r="F859" s="82" t="s">
        <v>2276</v>
      </c>
      <c r="G859" s="82" t="s">
        <v>1206</v>
      </c>
      <c r="H859" s="82" t="s">
        <v>1205</v>
      </c>
      <c r="I859" s="82"/>
      <c r="J859" s="231"/>
    </row>
    <row r="860" spans="1:10" x14ac:dyDescent="0.3">
      <c r="A860" s="72" t="s">
        <v>1595</v>
      </c>
      <c r="B860" s="73" t="s">
        <v>115</v>
      </c>
      <c r="C860" s="95" t="s">
        <v>1480</v>
      </c>
      <c r="D860" s="73" t="s">
        <v>1711</v>
      </c>
      <c r="E860" s="74" t="s">
        <v>1479</v>
      </c>
      <c r="F860" s="74" t="s">
        <v>1485</v>
      </c>
      <c r="G860" s="74" t="s">
        <v>2275</v>
      </c>
      <c r="H860" s="74"/>
      <c r="I860" s="74"/>
      <c r="J860" s="231"/>
    </row>
    <row r="861" spans="1:10" ht="15" thickBot="1" x14ac:dyDescent="0.35">
      <c r="A861" s="76"/>
      <c r="B861" s="77"/>
      <c r="C861" s="93"/>
      <c r="D861" s="77"/>
      <c r="E861" s="78" t="s">
        <v>1489</v>
      </c>
      <c r="F861" s="78" t="s">
        <v>2276</v>
      </c>
      <c r="G861" s="78" t="s">
        <v>112</v>
      </c>
      <c r="H861" s="78" t="s">
        <v>111</v>
      </c>
      <c r="I861" s="78">
        <v>8</v>
      </c>
      <c r="J861" s="232">
        <v>30</v>
      </c>
    </row>
    <row r="862" spans="1:10" x14ac:dyDescent="0.3">
      <c r="A862" s="76"/>
      <c r="B862" s="77"/>
      <c r="C862" s="93"/>
      <c r="D862" s="77"/>
      <c r="E862" s="78" t="s">
        <v>1493</v>
      </c>
      <c r="F862" s="78" t="s">
        <v>2276</v>
      </c>
      <c r="G862" s="78" t="s">
        <v>783</v>
      </c>
      <c r="H862" s="78" t="s">
        <v>782</v>
      </c>
      <c r="I862" s="78">
        <v>109</v>
      </c>
      <c r="J862" s="230"/>
    </row>
    <row r="863" spans="1:10" x14ac:dyDescent="0.3">
      <c r="A863" s="76"/>
      <c r="B863" s="77"/>
      <c r="C863" s="93"/>
      <c r="D863" s="77"/>
      <c r="E863" s="78" t="s">
        <v>1496</v>
      </c>
      <c r="F863" s="78" t="s">
        <v>2276</v>
      </c>
      <c r="G863" s="78" t="s">
        <v>491</v>
      </c>
      <c r="H863" s="78" t="s">
        <v>490</v>
      </c>
      <c r="I863" s="78">
        <v>64</v>
      </c>
      <c r="J863" s="231">
        <v>68</v>
      </c>
    </row>
    <row r="864" spans="1:10" ht="15" thickBot="1" x14ac:dyDescent="0.35">
      <c r="A864" s="81"/>
      <c r="B864" s="83"/>
      <c r="C864" s="96"/>
      <c r="D864" s="83"/>
      <c r="E864" s="82" t="s">
        <v>1499</v>
      </c>
      <c r="F864" s="82" t="s">
        <v>2276</v>
      </c>
      <c r="G864" s="82" t="s">
        <v>1218</v>
      </c>
      <c r="H864" s="82" t="s">
        <v>1217</v>
      </c>
      <c r="I864" s="82"/>
      <c r="J864" s="231"/>
    </row>
    <row r="865" spans="1:10" x14ac:dyDescent="0.3">
      <c r="A865" s="72" t="s">
        <v>1490</v>
      </c>
      <c r="B865" s="73" t="s">
        <v>702</v>
      </c>
      <c r="C865" s="95" t="s">
        <v>1480</v>
      </c>
      <c r="D865" s="73" t="s">
        <v>1832</v>
      </c>
      <c r="E865" s="74" t="s">
        <v>1479</v>
      </c>
      <c r="F865" s="74" t="s">
        <v>1485</v>
      </c>
      <c r="G865" s="74" t="s">
        <v>2275</v>
      </c>
      <c r="H865" s="74"/>
      <c r="I865" s="74"/>
      <c r="J865" s="231"/>
    </row>
    <row r="866" spans="1:10" x14ac:dyDescent="0.3">
      <c r="A866" s="76"/>
      <c r="B866" s="77"/>
      <c r="C866" s="93"/>
      <c r="D866" s="77"/>
      <c r="E866" s="78" t="s">
        <v>1489</v>
      </c>
      <c r="F866" s="78" t="s">
        <v>2276</v>
      </c>
      <c r="G866" s="78" t="s">
        <v>699</v>
      </c>
      <c r="H866" s="78" t="s">
        <v>698</v>
      </c>
      <c r="I866" s="78">
        <v>92</v>
      </c>
      <c r="J866" s="231"/>
    </row>
    <row r="867" spans="1:10" ht="15" thickBot="1" x14ac:dyDescent="0.35">
      <c r="A867" s="76"/>
      <c r="B867" s="77"/>
      <c r="C867" s="93"/>
      <c r="D867" s="77"/>
      <c r="E867" s="78" t="s">
        <v>1493</v>
      </c>
      <c r="F867" s="78" t="s">
        <v>2276</v>
      </c>
      <c r="G867" s="78" t="s">
        <v>922</v>
      </c>
      <c r="H867" s="78" t="s">
        <v>921</v>
      </c>
      <c r="I867" s="78">
        <v>133</v>
      </c>
      <c r="J867" s="232">
        <v>31</v>
      </c>
    </row>
    <row r="868" spans="1:10" x14ac:dyDescent="0.3">
      <c r="A868" s="76"/>
      <c r="B868" s="77"/>
      <c r="C868" s="93"/>
      <c r="D868" s="77"/>
      <c r="E868" s="78" t="s">
        <v>1496</v>
      </c>
      <c r="F868" s="78" t="s">
        <v>2276</v>
      </c>
      <c r="G868" s="78" t="s">
        <v>1258</v>
      </c>
      <c r="H868" s="78" t="s">
        <v>1257</v>
      </c>
      <c r="I868" s="78"/>
      <c r="J868" s="230"/>
    </row>
    <row r="869" spans="1:10" ht="15" thickBot="1" x14ac:dyDescent="0.35">
      <c r="A869" s="81"/>
      <c r="B869" s="83"/>
      <c r="C869" s="96"/>
      <c r="D869" s="83"/>
      <c r="E869" s="82" t="s">
        <v>1499</v>
      </c>
      <c r="F869" s="82" t="s">
        <v>2276</v>
      </c>
      <c r="G869" s="82" t="s">
        <v>1034</v>
      </c>
      <c r="H869" s="82" t="s">
        <v>1033</v>
      </c>
      <c r="I869" s="82">
        <v>156</v>
      </c>
      <c r="J869" s="231">
        <v>3</v>
      </c>
    </row>
    <row r="870" spans="1:10" x14ac:dyDescent="0.3">
      <c r="A870" s="72" t="s">
        <v>1490</v>
      </c>
      <c r="B870" s="73" t="s">
        <v>681</v>
      </c>
      <c r="C870" s="95" t="s">
        <v>1480</v>
      </c>
      <c r="D870" s="73" t="s">
        <v>1540</v>
      </c>
      <c r="E870" s="74" t="s">
        <v>1479</v>
      </c>
      <c r="F870" s="74" t="s">
        <v>1485</v>
      </c>
      <c r="G870" s="74" t="s">
        <v>2275</v>
      </c>
      <c r="H870" s="74"/>
      <c r="I870" s="74"/>
      <c r="J870" s="231"/>
    </row>
    <row r="871" spans="1:10" x14ac:dyDescent="0.3">
      <c r="A871" s="76"/>
      <c r="B871" s="77"/>
      <c r="C871" s="93"/>
      <c r="D871" s="77"/>
      <c r="E871" s="78" t="s">
        <v>1489</v>
      </c>
      <c r="F871" s="78" t="s">
        <v>2276</v>
      </c>
      <c r="G871" s="78" t="s">
        <v>933</v>
      </c>
      <c r="H871" s="78" t="s">
        <v>932</v>
      </c>
      <c r="I871" s="78">
        <v>135</v>
      </c>
      <c r="J871" s="231">
        <v>43</v>
      </c>
    </row>
    <row r="872" spans="1:10" ht="15" thickBot="1" x14ac:dyDescent="0.35">
      <c r="A872" s="76"/>
      <c r="B872" s="77"/>
      <c r="C872" s="93"/>
      <c r="D872" s="77"/>
      <c r="E872" s="78" t="s">
        <v>1493</v>
      </c>
      <c r="F872" s="78" t="s">
        <v>2276</v>
      </c>
      <c r="G872" s="78" t="s">
        <v>1262</v>
      </c>
      <c r="H872" s="78" t="s">
        <v>1261</v>
      </c>
      <c r="I872" s="78"/>
      <c r="J872" s="232"/>
    </row>
    <row r="873" spans="1:10" x14ac:dyDescent="0.3">
      <c r="A873" s="76"/>
      <c r="B873" s="77"/>
      <c r="C873" s="93"/>
      <c r="D873" s="77"/>
      <c r="E873" s="78" t="s">
        <v>1496</v>
      </c>
      <c r="F873" s="78" t="s">
        <v>2276</v>
      </c>
      <c r="G873" s="78" t="s">
        <v>1039</v>
      </c>
      <c r="H873" s="78" t="s">
        <v>1038</v>
      </c>
      <c r="I873" s="78">
        <v>157</v>
      </c>
      <c r="J873" s="230"/>
    </row>
    <row r="874" spans="1:10" ht="15" thickBot="1" x14ac:dyDescent="0.35">
      <c r="A874" s="81"/>
      <c r="B874" s="83"/>
      <c r="C874" s="96"/>
      <c r="D874" s="83"/>
      <c r="E874" s="82" t="s">
        <v>1499</v>
      </c>
      <c r="F874" s="82" t="s">
        <v>2276</v>
      </c>
      <c r="G874" s="82" t="s">
        <v>679</v>
      </c>
      <c r="H874" s="82" t="s">
        <v>678</v>
      </c>
      <c r="I874" s="82">
        <v>89</v>
      </c>
      <c r="J874" s="231">
        <v>6</v>
      </c>
    </row>
    <row r="875" spans="1:10" x14ac:dyDescent="0.3">
      <c r="A875" s="72" t="s">
        <v>1490</v>
      </c>
      <c r="B875" s="73" t="s">
        <v>948</v>
      </c>
      <c r="C875" s="95" t="s">
        <v>1480</v>
      </c>
      <c r="D875" s="73" t="s">
        <v>1523</v>
      </c>
      <c r="E875" s="74" t="s">
        <v>1479</v>
      </c>
      <c r="F875" s="74" t="s">
        <v>1485</v>
      </c>
      <c r="G875" s="74" t="s">
        <v>2275</v>
      </c>
      <c r="H875" s="74"/>
      <c r="I875" s="74"/>
      <c r="J875" s="231"/>
    </row>
    <row r="876" spans="1:10" x14ac:dyDescent="0.3">
      <c r="A876" s="76"/>
      <c r="B876" s="77"/>
      <c r="C876" s="93"/>
      <c r="D876" s="77"/>
      <c r="E876" s="78" t="s">
        <v>1489</v>
      </c>
      <c r="F876" s="78" t="s">
        <v>2276</v>
      </c>
      <c r="G876" s="78" t="s">
        <v>946</v>
      </c>
      <c r="H876" s="78" t="s">
        <v>945</v>
      </c>
      <c r="I876" s="78">
        <v>137</v>
      </c>
      <c r="J876" s="231">
        <v>44</v>
      </c>
    </row>
    <row r="877" spans="1:10" ht="15" thickBot="1" x14ac:dyDescent="0.35">
      <c r="A877" s="76"/>
      <c r="B877" s="77"/>
      <c r="C877" s="93"/>
      <c r="D877" s="77"/>
      <c r="E877" s="78" t="s">
        <v>1493</v>
      </c>
      <c r="F877" s="78" t="s">
        <v>2276</v>
      </c>
      <c r="G877" s="78" t="s">
        <v>1246</v>
      </c>
      <c r="H877" s="78" t="s">
        <v>1245</v>
      </c>
      <c r="I877" s="78"/>
      <c r="J877" s="232"/>
    </row>
    <row r="878" spans="1:10" ht="15" thickBot="1" x14ac:dyDescent="0.35">
      <c r="A878" s="81"/>
      <c r="B878" s="83"/>
      <c r="C878" s="96"/>
      <c r="D878" s="83"/>
      <c r="E878" s="82" t="s">
        <v>1496</v>
      </c>
      <c r="F878" s="82" t="s">
        <v>2276</v>
      </c>
      <c r="G878" s="82" t="s">
        <v>1266</v>
      </c>
      <c r="H878" s="82" t="s">
        <v>1265</v>
      </c>
      <c r="I878" s="82"/>
      <c r="J878" s="230"/>
    </row>
    <row r="879" spans="1:10" x14ac:dyDescent="0.3">
      <c r="A879" s="72" t="s">
        <v>1490</v>
      </c>
      <c r="B879" s="73" t="s">
        <v>983</v>
      </c>
      <c r="C879" s="95" t="s">
        <v>1480</v>
      </c>
      <c r="D879" s="73" t="s">
        <v>1705</v>
      </c>
      <c r="E879" s="74" t="s">
        <v>1479</v>
      </c>
      <c r="F879" s="74" t="s">
        <v>1485</v>
      </c>
      <c r="G879" s="74" t="s">
        <v>2275</v>
      </c>
      <c r="H879" s="74"/>
      <c r="I879" s="74"/>
      <c r="J879" s="231">
        <v>4</v>
      </c>
    </row>
    <row r="880" spans="1:10" x14ac:dyDescent="0.3">
      <c r="A880" s="76"/>
      <c r="B880" s="77"/>
      <c r="C880" s="93"/>
      <c r="D880" s="77"/>
      <c r="E880" s="78" t="s">
        <v>1489</v>
      </c>
      <c r="F880" s="78" t="s">
        <v>2276</v>
      </c>
      <c r="G880" s="78" t="s">
        <v>981</v>
      </c>
      <c r="H880" s="78" t="s">
        <v>980</v>
      </c>
      <c r="I880" s="78">
        <v>143</v>
      </c>
      <c r="J880" s="231"/>
    </row>
    <row r="881" spans="1:10" x14ac:dyDescent="0.3">
      <c r="A881" s="76"/>
      <c r="B881" s="77"/>
      <c r="C881" s="93"/>
      <c r="D881" s="77"/>
      <c r="E881" s="78" t="s">
        <v>1493</v>
      </c>
      <c r="F881" s="78" t="s">
        <v>2276</v>
      </c>
      <c r="G881" s="78" t="s">
        <v>1270</v>
      </c>
      <c r="H881" s="78" t="s">
        <v>1269</v>
      </c>
      <c r="I881" s="78"/>
      <c r="J881" s="231">
        <v>42</v>
      </c>
    </row>
    <row r="882" spans="1:10" ht="15" thickBot="1" x14ac:dyDescent="0.35">
      <c r="A882" s="81"/>
      <c r="B882" s="83"/>
      <c r="C882" s="96"/>
      <c r="D882" s="83"/>
      <c r="E882" s="82" t="s">
        <v>1496</v>
      </c>
      <c r="F882" s="82" t="s">
        <v>2276</v>
      </c>
      <c r="G882" s="82" t="s">
        <v>1335</v>
      </c>
      <c r="H882" s="82" t="s">
        <v>1334</v>
      </c>
      <c r="I882" s="82"/>
      <c r="J882" s="232"/>
    </row>
    <row r="883" spans="1:10" x14ac:dyDescent="0.3">
      <c r="A883" s="72" t="s">
        <v>1490</v>
      </c>
      <c r="B883" s="73" t="s">
        <v>710</v>
      </c>
      <c r="C883" s="95" t="s">
        <v>1480</v>
      </c>
      <c r="D883" s="73" t="s">
        <v>1846</v>
      </c>
      <c r="E883" s="74" t="s">
        <v>1479</v>
      </c>
      <c r="F883" s="74" t="s">
        <v>1485</v>
      </c>
      <c r="G883" s="74" t="s">
        <v>2275</v>
      </c>
      <c r="H883" s="74"/>
      <c r="I883" s="74"/>
      <c r="J883" s="230"/>
    </row>
    <row r="884" spans="1:10" x14ac:dyDescent="0.3">
      <c r="A884" s="76"/>
      <c r="B884" s="77"/>
      <c r="C884" s="93"/>
      <c r="D884" s="77"/>
      <c r="E884" s="78" t="s">
        <v>1489</v>
      </c>
      <c r="F884" s="78" t="s">
        <v>2276</v>
      </c>
      <c r="G884" s="78" t="s">
        <v>707</v>
      </c>
      <c r="H884" s="78" t="s">
        <v>706</v>
      </c>
      <c r="I884" s="78">
        <v>93</v>
      </c>
      <c r="J884" s="231">
        <v>52</v>
      </c>
    </row>
    <row r="885" spans="1:10" x14ac:dyDescent="0.3">
      <c r="A885" s="76"/>
      <c r="B885" s="77"/>
      <c r="C885" s="93"/>
      <c r="D885" s="77"/>
      <c r="E885" s="78" t="s">
        <v>1493</v>
      </c>
      <c r="F885" s="78" t="s">
        <v>2276</v>
      </c>
      <c r="G885" s="78" t="s">
        <v>898</v>
      </c>
      <c r="H885" s="78" t="s">
        <v>897</v>
      </c>
      <c r="I885" s="78">
        <v>129</v>
      </c>
      <c r="J885" s="231">
        <v>77</v>
      </c>
    </row>
    <row r="886" spans="1:10" ht="15" thickBot="1" x14ac:dyDescent="0.35">
      <c r="A886" s="81"/>
      <c r="B886" s="83"/>
      <c r="C886" s="96"/>
      <c r="D886" s="83"/>
      <c r="E886" s="82" t="s">
        <v>1496</v>
      </c>
      <c r="F886" s="82" t="s">
        <v>2276</v>
      </c>
      <c r="G886" s="82" t="s">
        <v>1023</v>
      </c>
      <c r="H886" s="82" t="s">
        <v>1022</v>
      </c>
      <c r="I886" s="82">
        <v>154</v>
      </c>
      <c r="J886" s="231"/>
    </row>
    <row r="887" spans="1:10" ht="15" thickBot="1" x14ac:dyDescent="0.35">
      <c r="A887" s="72" t="s">
        <v>1490</v>
      </c>
      <c r="B887" s="73" t="s">
        <v>695</v>
      </c>
      <c r="C887" s="95" t="s">
        <v>1480</v>
      </c>
      <c r="D887" s="73" t="s">
        <v>1856</v>
      </c>
      <c r="E887" s="74" t="s">
        <v>1479</v>
      </c>
      <c r="F887" s="74" t="s">
        <v>1485</v>
      </c>
      <c r="G887" s="74" t="s">
        <v>2275</v>
      </c>
      <c r="H887" s="74"/>
      <c r="I887" s="74"/>
      <c r="J887" s="232"/>
    </row>
    <row r="888" spans="1:10" x14ac:dyDescent="0.3">
      <c r="A888" s="76"/>
      <c r="B888" s="77"/>
      <c r="C888" s="93"/>
      <c r="D888" s="77"/>
      <c r="E888" s="78" t="s">
        <v>1489</v>
      </c>
      <c r="F888" s="78" t="s">
        <v>2276</v>
      </c>
      <c r="G888" s="78" t="s">
        <v>693</v>
      </c>
      <c r="H888" s="78" t="s">
        <v>692</v>
      </c>
      <c r="I888" s="78">
        <v>91</v>
      </c>
      <c r="J888" s="230"/>
    </row>
    <row r="889" spans="1:10" x14ac:dyDescent="0.3">
      <c r="A889" s="76"/>
      <c r="B889" s="77"/>
      <c r="C889" s="93"/>
      <c r="D889" s="77"/>
      <c r="E889" s="78" t="s">
        <v>1493</v>
      </c>
      <c r="F889" s="78" t="s">
        <v>2276</v>
      </c>
      <c r="G889" s="78" t="s">
        <v>889</v>
      </c>
      <c r="H889" s="78" t="s">
        <v>888</v>
      </c>
      <c r="I889" s="78">
        <v>126</v>
      </c>
      <c r="J889" s="231">
        <v>78</v>
      </c>
    </row>
    <row r="890" spans="1:10" ht="15" thickBot="1" x14ac:dyDescent="0.35">
      <c r="A890" s="81"/>
      <c r="B890" s="83"/>
      <c r="C890" s="96"/>
      <c r="D890" s="83"/>
      <c r="E890" s="82" t="s">
        <v>1496</v>
      </c>
      <c r="F890" s="82" t="s">
        <v>2276</v>
      </c>
      <c r="G890" s="82" t="s">
        <v>1018</v>
      </c>
      <c r="H890" s="82" t="s">
        <v>1017</v>
      </c>
      <c r="I890" s="82">
        <v>153</v>
      </c>
      <c r="J890" s="231"/>
    </row>
    <row r="891" spans="1:10" x14ac:dyDescent="0.3">
      <c r="A891" s="72" t="s">
        <v>1490</v>
      </c>
      <c r="B891" s="73" t="s">
        <v>687</v>
      </c>
      <c r="C891" s="95" t="s">
        <v>1480</v>
      </c>
      <c r="D891" s="73" t="s">
        <v>1839</v>
      </c>
      <c r="E891" s="74" t="s">
        <v>1479</v>
      </c>
      <c r="F891" s="74" t="s">
        <v>1485</v>
      </c>
      <c r="G891" s="74" t="s">
        <v>2275</v>
      </c>
      <c r="H891" s="74"/>
      <c r="I891" s="74"/>
      <c r="J891" s="231"/>
    </row>
    <row r="892" spans="1:10" ht="15" thickBot="1" x14ac:dyDescent="0.35">
      <c r="A892" s="76"/>
      <c r="B892" s="77"/>
      <c r="C892" s="93"/>
      <c r="D892" s="77"/>
      <c r="E892" s="78" t="s">
        <v>1489</v>
      </c>
      <c r="F892" s="78" t="s">
        <v>2276</v>
      </c>
      <c r="G892" s="78" t="s">
        <v>685</v>
      </c>
      <c r="H892" s="78" t="s">
        <v>684</v>
      </c>
      <c r="I892" s="78">
        <v>90</v>
      </c>
      <c r="J892" s="232"/>
    </row>
    <row r="893" spans="1:10" x14ac:dyDescent="0.3">
      <c r="A893" s="76"/>
      <c r="B893" s="77"/>
      <c r="C893" s="93"/>
      <c r="D893" s="77"/>
      <c r="E893" s="78" t="s">
        <v>1493</v>
      </c>
      <c r="F893" s="78" t="s">
        <v>2276</v>
      </c>
      <c r="G893" s="78" t="s">
        <v>904</v>
      </c>
      <c r="H893" s="78" t="s">
        <v>903</v>
      </c>
      <c r="I893" s="78">
        <v>130</v>
      </c>
      <c r="J893" s="230"/>
    </row>
    <row r="894" spans="1:10" ht="15" thickBot="1" x14ac:dyDescent="0.35">
      <c r="A894" s="81"/>
      <c r="B894" s="83"/>
      <c r="C894" s="96"/>
      <c r="D894" s="83"/>
      <c r="E894" s="82" t="s">
        <v>1496</v>
      </c>
      <c r="F894" s="82" t="s">
        <v>2276</v>
      </c>
      <c r="G894" s="82" t="s">
        <v>1044</v>
      </c>
      <c r="H894" s="82" t="s">
        <v>1043</v>
      </c>
      <c r="I894" s="82">
        <v>158</v>
      </c>
      <c r="J894" s="231">
        <v>79</v>
      </c>
    </row>
    <row r="895" spans="1:10" x14ac:dyDescent="0.3">
      <c r="A895" s="72" t="s">
        <v>1545</v>
      </c>
      <c r="B895" s="73" t="s">
        <v>261</v>
      </c>
      <c r="C895" s="95" t="s">
        <v>1480</v>
      </c>
      <c r="D895" s="73" t="s">
        <v>1697</v>
      </c>
      <c r="E895" s="74" t="s">
        <v>1479</v>
      </c>
      <c r="F895" s="74" t="s">
        <v>1485</v>
      </c>
      <c r="G895" s="74" t="s">
        <v>2275</v>
      </c>
      <c r="H895" s="74"/>
      <c r="I895" s="74"/>
      <c r="J895" s="231"/>
    </row>
    <row r="896" spans="1:10" ht="15" thickBot="1" x14ac:dyDescent="0.35">
      <c r="A896" s="76"/>
      <c r="B896" s="77"/>
      <c r="C896" s="93"/>
      <c r="D896" s="77"/>
      <c r="E896" s="78" t="s">
        <v>1489</v>
      </c>
      <c r="F896" s="78" t="s">
        <v>2276</v>
      </c>
      <c r="G896" s="78" t="s">
        <v>259</v>
      </c>
      <c r="H896" s="78" t="s">
        <v>258</v>
      </c>
      <c r="I896" s="78">
        <v>31</v>
      </c>
      <c r="J896" s="232"/>
    </row>
    <row r="897" spans="1:10" x14ac:dyDescent="0.3">
      <c r="A897" s="76"/>
      <c r="B897" s="77"/>
      <c r="C897" s="93"/>
      <c r="D897" s="77"/>
      <c r="E897" s="78" t="s">
        <v>1493</v>
      </c>
      <c r="F897" s="78" t="s">
        <v>2276</v>
      </c>
      <c r="G897" s="78" t="s">
        <v>843</v>
      </c>
      <c r="H897" s="78" t="s">
        <v>842</v>
      </c>
      <c r="I897" s="78">
        <v>119</v>
      </c>
      <c r="J897" s="230"/>
    </row>
    <row r="898" spans="1:10" ht="15" thickBot="1" x14ac:dyDescent="0.35">
      <c r="A898" s="81"/>
      <c r="B898" s="83"/>
      <c r="C898" s="96"/>
      <c r="D898" s="83"/>
      <c r="E898" s="82" t="s">
        <v>1496</v>
      </c>
      <c r="F898" s="82" t="s">
        <v>2276</v>
      </c>
      <c r="G898" s="82" t="s">
        <v>993</v>
      </c>
      <c r="H898" s="82" t="s">
        <v>992</v>
      </c>
      <c r="I898" s="82">
        <v>145</v>
      </c>
      <c r="J898" s="231">
        <v>82</v>
      </c>
    </row>
    <row r="899" spans="1:10" x14ac:dyDescent="0.3">
      <c r="A899" s="72" t="s">
        <v>1545</v>
      </c>
      <c r="B899" s="73" t="s">
        <v>382</v>
      </c>
      <c r="C899" s="95" t="s">
        <v>1480</v>
      </c>
      <c r="D899" s="73" t="s">
        <v>1686</v>
      </c>
      <c r="E899" s="74" t="s">
        <v>1479</v>
      </c>
      <c r="F899" s="74" t="s">
        <v>1485</v>
      </c>
      <c r="G899" s="74" t="s">
        <v>2275</v>
      </c>
      <c r="H899" s="74"/>
      <c r="I899" s="74"/>
      <c r="J899" s="231"/>
    </row>
    <row r="900" spans="1:10" ht="15" thickBot="1" x14ac:dyDescent="0.35">
      <c r="A900" s="76"/>
      <c r="B900" s="77"/>
      <c r="C900" s="93"/>
      <c r="D900" s="77"/>
      <c r="E900" s="78" t="s">
        <v>1489</v>
      </c>
      <c r="F900" s="78" t="s">
        <v>2276</v>
      </c>
      <c r="G900" s="78" t="s">
        <v>378</v>
      </c>
      <c r="H900" s="78" t="s">
        <v>377</v>
      </c>
      <c r="I900" s="78">
        <v>46</v>
      </c>
      <c r="J900" s="232"/>
    </row>
    <row r="901" spans="1:10" ht="15" thickBot="1" x14ac:dyDescent="0.35">
      <c r="A901" s="81"/>
      <c r="B901" s="83"/>
      <c r="C901" s="96"/>
      <c r="D901" s="83"/>
      <c r="E901" s="82" t="s">
        <v>1493</v>
      </c>
      <c r="F901" s="82" t="s">
        <v>2276</v>
      </c>
      <c r="G901" s="82" t="s">
        <v>1013</v>
      </c>
      <c r="H901" s="82" t="s">
        <v>1012</v>
      </c>
      <c r="I901" s="82">
        <v>152</v>
      </c>
      <c r="J901" s="230"/>
    </row>
    <row r="902" spans="1:10" x14ac:dyDescent="0.3">
      <c r="A902" s="72" t="s">
        <v>1545</v>
      </c>
      <c r="B902" s="73" t="s">
        <v>942</v>
      </c>
      <c r="C902" s="95" t="s">
        <v>1480</v>
      </c>
      <c r="D902" s="73" t="s">
        <v>2142</v>
      </c>
      <c r="E902" s="74" t="s">
        <v>1479</v>
      </c>
      <c r="F902" s="74" t="s">
        <v>1485</v>
      </c>
      <c r="G902" s="74" t="s">
        <v>2275</v>
      </c>
      <c r="H902" s="74"/>
      <c r="I902" s="74"/>
      <c r="J902" s="231"/>
    </row>
    <row r="903" spans="1:10" ht="15" thickBot="1" x14ac:dyDescent="0.35">
      <c r="A903" s="81"/>
      <c r="B903" s="83"/>
      <c r="C903" s="96"/>
      <c r="D903" s="83"/>
      <c r="E903" s="82" t="s">
        <v>1489</v>
      </c>
      <c r="F903" s="82" t="s">
        <v>2276</v>
      </c>
      <c r="G903" s="82" t="s">
        <v>940</v>
      </c>
      <c r="H903" s="82" t="s">
        <v>939</v>
      </c>
      <c r="I903" s="82">
        <v>136</v>
      </c>
      <c r="J903" s="231">
        <v>75</v>
      </c>
    </row>
    <row r="904" spans="1:10" ht="15" thickBot="1" x14ac:dyDescent="0.35">
      <c r="A904" s="72" t="s">
        <v>1545</v>
      </c>
      <c r="B904" s="73" t="s">
        <v>956</v>
      </c>
      <c r="C904" s="95" t="s">
        <v>1480</v>
      </c>
      <c r="D904" s="73" t="s">
        <v>2144</v>
      </c>
      <c r="E904" s="74" t="s">
        <v>1479</v>
      </c>
      <c r="F904" s="74" t="s">
        <v>1485</v>
      </c>
      <c r="G904" s="74" t="s">
        <v>2275</v>
      </c>
      <c r="H904" s="74"/>
      <c r="I904" s="74"/>
      <c r="J904" s="232"/>
    </row>
    <row r="905" spans="1:10" ht="15" thickBot="1" x14ac:dyDescent="0.35">
      <c r="A905" s="81"/>
      <c r="B905" s="83"/>
      <c r="C905" s="96"/>
      <c r="D905" s="83"/>
      <c r="E905" s="82" t="s">
        <v>1489</v>
      </c>
      <c r="F905" s="82" t="s">
        <v>2276</v>
      </c>
      <c r="G905" s="82" t="s">
        <v>954</v>
      </c>
      <c r="H905" s="82" t="s">
        <v>953</v>
      </c>
      <c r="I905" s="82">
        <v>138</v>
      </c>
      <c r="J905" s="230"/>
    </row>
    <row r="906" spans="1:10" x14ac:dyDescent="0.3">
      <c r="A906" s="72" t="s">
        <v>1545</v>
      </c>
      <c r="B906" s="73" t="s">
        <v>330</v>
      </c>
      <c r="C906" s="95" t="s">
        <v>1480</v>
      </c>
      <c r="D906" s="73" t="s">
        <v>1572</v>
      </c>
      <c r="E906" s="74" t="s">
        <v>1479</v>
      </c>
      <c r="F906" s="74" t="s">
        <v>1485</v>
      </c>
      <c r="G906" s="74" t="s">
        <v>2275</v>
      </c>
      <c r="H906" s="74"/>
      <c r="I906" s="74"/>
      <c r="J906" s="231"/>
    </row>
    <row r="907" spans="1:10" x14ac:dyDescent="0.3">
      <c r="A907" s="76"/>
      <c r="B907" s="77"/>
      <c r="C907" s="93"/>
      <c r="D907" s="77"/>
      <c r="E907" s="78" t="s">
        <v>1489</v>
      </c>
      <c r="F907" s="78" t="s">
        <v>2276</v>
      </c>
      <c r="G907" s="78" t="s">
        <v>328</v>
      </c>
      <c r="H907" s="78" t="s">
        <v>327</v>
      </c>
      <c r="I907" s="78">
        <v>40</v>
      </c>
      <c r="J907" s="231">
        <v>74</v>
      </c>
    </row>
    <row r="908" spans="1:10" ht="15" thickBot="1" x14ac:dyDescent="0.35">
      <c r="A908" s="76"/>
      <c r="B908" s="77"/>
      <c r="C908" s="93"/>
      <c r="D908" s="77"/>
      <c r="E908" s="78" t="s">
        <v>1493</v>
      </c>
      <c r="F908" s="78" t="s">
        <v>2276</v>
      </c>
      <c r="G908" s="78" t="s">
        <v>871</v>
      </c>
      <c r="H908" s="78" t="s">
        <v>870</v>
      </c>
      <c r="I908" s="78">
        <v>123</v>
      </c>
      <c r="J908" s="232"/>
    </row>
    <row r="909" spans="1:10" ht="15" thickBot="1" x14ac:dyDescent="0.35">
      <c r="A909" s="81"/>
      <c r="B909" s="83"/>
      <c r="C909" s="96"/>
      <c r="D909" s="83"/>
      <c r="E909" s="82" t="s">
        <v>1496</v>
      </c>
      <c r="F909" s="82" t="s">
        <v>2276</v>
      </c>
      <c r="G909" s="82" t="s">
        <v>909</v>
      </c>
      <c r="H909" s="82" t="s">
        <v>908</v>
      </c>
      <c r="I909" s="82">
        <v>131</v>
      </c>
      <c r="J909" s="230"/>
    </row>
    <row r="910" spans="1:10" x14ac:dyDescent="0.3">
      <c r="A910" s="72" t="s">
        <v>1545</v>
      </c>
      <c r="B910" s="73" t="s">
        <v>340</v>
      </c>
      <c r="C910" s="95" t="s">
        <v>1480</v>
      </c>
      <c r="D910" s="73" t="s">
        <v>1561</v>
      </c>
      <c r="E910" s="74" t="s">
        <v>1479</v>
      </c>
      <c r="F910" s="74" t="s">
        <v>1485</v>
      </c>
      <c r="G910" s="74" t="s">
        <v>2275</v>
      </c>
      <c r="H910" s="74"/>
      <c r="I910" s="74"/>
      <c r="J910" s="231">
        <v>51</v>
      </c>
    </row>
    <row r="911" spans="1:10" x14ac:dyDescent="0.3">
      <c r="A911" s="76"/>
      <c r="B911" s="77"/>
      <c r="C911" s="93"/>
      <c r="D911" s="77"/>
      <c r="E911" s="78" t="s">
        <v>1489</v>
      </c>
      <c r="F911" s="78" t="s">
        <v>2276</v>
      </c>
      <c r="G911" s="78" t="s">
        <v>338</v>
      </c>
      <c r="H911" s="78" t="s">
        <v>337</v>
      </c>
      <c r="I911" s="78">
        <v>41</v>
      </c>
      <c r="J911" s="231">
        <v>76</v>
      </c>
    </row>
    <row r="912" spans="1:10" ht="15" thickBot="1" x14ac:dyDescent="0.35">
      <c r="A912" s="76"/>
      <c r="B912" s="77"/>
      <c r="C912" s="93"/>
      <c r="D912" s="77"/>
      <c r="E912" s="78" t="s">
        <v>1493</v>
      </c>
      <c r="F912" s="78" t="s">
        <v>2276</v>
      </c>
      <c r="G912" s="78" t="s">
        <v>877</v>
      </c>
      <c r="H912" s="78" t="s">
        <v>876</v>
      </c>
      <c r="I912" s="78">
        <v>124</v>
      </c>
      <c r="J912" s="232"/>
    </row>
    <row r="913" spans="1:10" ht="15" thickBot="1" x14ac:dyDescent="0.35">
      <c r="A913" s="81"/>
      <c r="B913" s="83"/>
      <c r="C913" s="96"/>
      <c r="D913" s="83"/>
      <c r="E913" s="82" t="s">
        <v>1496</v>
      </c>
      <c r="F913" s="82" t="s">
        <v>2276</v>
      </c>
      <c r="G913" s="82" t="s">
        <v>928</v>
      </c>
      <c r="H913" s="82" t="s">
        <v>927</v>
      </c>
      <c r="I913" s="82">
        <v>134</v>
      </c>
      <c r="J913" s="230"/>
    </row>
    <row r="914" spans="1:10" x14ac:dyDescent="0.3">
      <c r="A914" s="72" t="s">
        <v>1545</v>
      </c>
      <c r="B914" s="73" t="s">
        <v>311</v>
      </c>
      <c r="C914" s="95" t="s">
        <v>1480</v>
      </c>
      <c r="D914" s="73" t="s">
        <v>2080</v>
      </c>
      <c r="E914" s="74" t="s">
        <v>1479</v>
      </c>
      <c r="F914" s="74" t="s">
        <v>1485</v>
      </c>
      <c r="G914" s="74" t="s">
        <v>2275</v>
      </c>
      <c r="H914" s="74"/>
      <c r="I914" s="74"/>
      <c r="J914" s="231">
        <v>20</v>
      </c>
    </row>
    <row r="915" spans="1:10" x14ac:dyDescent="0.3">
      <c r="A915" s="76"/>
      <c r="B915" s="77"/>
      <c r="C915" s="93"/>
      <c r="D915" s="77"/>
      <c r="E915" s="78" t="s">
        <v>1489</v>
      </c>
      <c r="F915" s="78" t="s">
        <v>2276</v>
      </c>
      <c r="G915" s="78" t="s">
        <v>309</v>
      </c>
      <c r="H915" s="78" t="s">
        <v>308</v>
      </c>
      <c r="I915" s="78">
        <v>36</v>
      </c>
      <c r="J915" s="231">
        <v>69</v>
      </c>
    </row>
    <row r="916" spans="1:10" ht="15" thickBot="1" x14ac:dyDescent="0.35">
      <c r="A916" s="76"/>
      <c r="B916" s="77"/>
      <c r="C916" s="93"/>
      <c r="D916" s="77"/>
      <c r="E916" s="78" t="s">
        <v>1493</v>
      </c>
      <c r="F916" s="78" t="s">
        <v>2276</v>
      </c>
      <c r="G916" s="78" t="s">
        <v>856</v>
      </c>
      <c r="H916" s="78" t="s">
        <v>855</v>
      </c>
      <c r="I916" s="78">
        <v>121</v>
      </c>
      <c r="J916" s="232">
        <v>83</v>
      </c>
    </row>
    <row r="917" spans="1:10" ht="15" thickBot="1" x14ac:dyDescent="0.35">
      <c r="A917" s="81"/>
      <c r="B917" s="83"/>
      <c r="C917" s="96"/>
      <c r="D917" s="83"/>
      <c r="E917" s="82" t="s">
        <v>1496</v>
      </c>
      <c r="F917" s="82" t="s">
        <v>2276</v>
      </c>
      <c r="G917" s="82" t="s">
        <v>916</v>
      </c>
      <c r="H917" s="82" t="s">
        <v>915</v>
      </c>
      <c r="I917" s="82">
        <v>132</v>
      </c>
      <c r="J917" s="230"/>
    </row>
    <row r="918" spans="1:10" x14ac:dyDescent="0.3">
      <c r="A918" s="72" t="s">
        <v>1525</v>
      </c>
      <c r="B918" s="73" t="s">
        <v>742</v>
      </c>
      <c r="C918" s="95" t="s">
        <v>1480</v>
      </c>
      <c r="D918" s="73" t="s">
        <v>1524</v>
      </c>
      <c r="E918" s="74" t="s">
        <v>1479</v>
      </c>
      <c r="F918" s="74" t="s">
        <v>1485</v>
      </c>
      <c r="G918" s="74" t="s">
        <v>2305</v>
      </c>
      <c r="H918" s="74"/>
      <c r="I918" s="74"/>
      <c r="J918" s="231">
        <v>26</v>
      </c>
    </row>
    <row r="919" spans="1:10" ht="15" thickBot="1" x14ac:dyDescent="0.35">
      <c r="A919" s="76"/>
      <c r="B919" s="77"/>
      <c r="C919" s="93"/>
      <c r="D919" s="77"/>
      <c r="E919" s="78" t="s">
        <v>1489</v>
      </c>
      <c r="F919" s="78" t="s">
        <v>2276</v>
      </c>
      <c r="G919" s="78" t="s">
        <v>946</v>
      </c>
      <c r="H919" s="78" t="s">
        <v>945</v>
      </c>
      <c r="I919" s="78">
        <v>137</v>
      </c>
      <c r="J919" s="232">
        <v>88</v>
      </c>
    </row>
    <row r="920" spans="1:10" ht="15" thickBot="1" x14ac:dyDescent="0.35">
      <c r="A920" s="81"/>
      <c r="B920" s="83"/>
      <c r="C920" s="96"/>
      <c r="D920" s="83"/>
      <c r="E920" s="82" t="s">
        <v>1493</v>
      </c>
      <c r="F920" s="82" t="s">
        <v>2276</v>
      </c>
      <c r="G920" s="82" t="s">
        <v>739</v>
      </c>
      <c r="H920" s="82" t="s">
        <v>738</v>
      </c>
      <c r="I920" s="82">
        <v>98</v>
      </c>
      <c r="J920" s="230"/>
    </row>
    <row r="921" spans="1:10" ht="15" thickBot="1" x14ac:dyDescent="0.35">
      <c r="A921" s="72" t="s">
        <v>1525</v>
      </c>
      <c r="B921" s="73" t="s">
        <v>256</v>
      </c>
      <c r="C921" s="95" t="s">
        <v>1480</v>
      </c>
      <c r="D921" s="73" t="s">
        <v>1557</v>
      </c>
      <c r="E921" s="74" t="s">
        <v>1479</v>
      </c>
      <c r="F921" s="74" t="s">
        <v>1485</v>
      </c>
      <c r="G921" s="74" t="s">
        <v>2275</v>
      </c>
      <c r="H921" s="74"/>
      <c r="I921" s="74"/>
      <c r="J921" s="232"/>
    </row>
    <row r="922" spans="1:10" x14ac:dyDescent="0.3">
      <c r="A922" s="76"/>
      <c r="B922" s="77"/>
      <c r="C922" s="93"/>
      <c r="D922" s="77"/>
      <c r="E922" s="78" t="s">
        <v>1489</v>
      </c>
      <c r="F922" s="78" t="s">
        <v>2276</v>
      </c>
      <c r="G922" s="78" t="s">
        <v>877</v>
      </c>
      <c r="H922" s="78" t="s">
        <v>876</v>
      </c>
      <c r="I922" s="78">
        <v>124</v>
      </c>
      <c r="J922" s="230"/>
    </row>
    <row r="923" spans="1:10" ht="15" thickBot="1" x14ac:dyDescent="0.35">
      <c r="A923" s="76"/>
      <c r="B923" s="77"/>
      <c r="C923" s="93"/>
      <c r="D923" s="77"/>
      <c r="E923" s="78" t="s">
        <v>1493</v>
      </c>
      <c r="F923" s="78" t="s">
        <v>2276</v>
      </c>
      <c r="G923" s="78" t="s">
        <v>720</v>
      </c>
      <c r="H923" s="78" t="s">
        <v>719</v>
      </c>
      <c r="I923" s="78">
        <v>95</v>
      </c>
      <c r="J923" s="232"/>
    </row>
    <row r="924" spans="1:10" x14ac:dyDescent="0.3">
      <c r="A924" s="76"/>
      <c r="B924" s="77"/>
      <c r="C924" s="93"/>
      <c r="D924" s="77"/>
      <c r="E924" s="78" t="s">
        <v>1496</v>
      </c>
      <c r="F924" s="78" t="s">
        <v>2276</v>
      </c>
      <c r="G924" s="78" t="s">
        <v>409</v>
      </c>
      <c r="H924" s="78" t="s">
        <v>408</v>
      </c>
      <c r="I924" s="78">
        <v>50</v>
      </c>
      <c r="J924" s="230"/>
    </row>
    <row r="925" spans="1:10" ht="15" thickBot="1" x14ac:dyDescent="0.35">
      <c r="A925" s="81"/>
      <c r="B925" s="83"/>
      <c r="C925" s="96"/>
      <c r="D925" s="83"/>
      <c r="E925" s="82" t="s">
        <v>1499</v>
      </c>
      <c r="F925" s="82" t="s">
        <v>2276</v>
      </c>
      <c r="G925" s="82" t="s">
        <v>250</v>
      </c>
      <c r="H925" s="82" t="s">
        <v>249</v>
      </c>
      <c r="I925" s="82">
        <v>30</v>
      </c>
      <c r="J925" s="231"/>
    </row>
    <row r="926" spans="1:10" x14ac:dyDescent="0.3">
      <c r="A926" s="72" t="s">
        <v>1525</v>
      </c>
      <c r="B926" s="73" t="s">
        <v>236</v>
      </c>
      <c r="C926" s="95" t="s">
        <v>1480</v>
      </c>
      <c r="D926" s="73" t="s">
        <v>1573</v>
      </c>
      <c r="E926" s="74" t="s">
        <v>1479</v>
      </c>
      <c r="F926" s="74" t="s">
        <v>1485</v>
      </c>
      <c r="G926" s="74" t="s">
        <v>2275</v>
      </c>
      <c r="H926" s="74"/>
      <c r="I926" s="74"/>
      <c r="J926" s="231">
        <v>72</v>
      </c>
    </row>
    <row r="927" spans="1:10" ht="15" thickBot="1" x14ac:dyDescent="0.35">
      <c r="A927" s="76"/>
      <c r="B927" s="77"/>
      <c r="C927" s="93"/>
      <c r="D927" s="77"/>
      <c r="E927" s="78" t="s">
        <v>1489</v>
      </c>
      <c r="F927" s="78" t="s">
        <v>2276</v>
      </c>
      <c r="G927" s="78" t="s">
        <v>871</v>
      </c>
      <c r="H927" s="78" t="s">
        <v>870</v>
      </c>
      <c r="I927" s="78">
        <v>123</v>
      </c>
      <c r="J927" s="232"/>
    </row>
    <row r="928" spans="1:10" x14ac:dyDescent="0.3">
      <c r="A928" s="76"/>
      <c r="B928" s="77"/>
      <c r="C928" s="93"/>
      <c r="D928" s="77"/>
      <c r="E928" s="78" t="s">
        <v>1493</v>
      </c>
      <c r="F928" s="78" t="s">
        <v>2276</v>
      </c>
      <c r="G928" s="78" t="s">
        <v>713</v>
      </c>
      <c r="H928" s="78" t="s">
        <v>712</v>
      </c>
      <c r="I928" s="78">
        <v>94</v>
      </c>
      <c r="J928" s="230"/>
    </row>
    <row r="929" spans="1:10" x14ac:dyDescent="0.3">
      <c r="A929" s="76"/>
      <c r="B929" s="77"/>
      <c r="C929" s="93"/>
      <c r="D929" s="77"/>
      <c r="E929" s="78" t="s">
        <v>1496</v>
      </c>
      <c r="F929" s="78" t="s">
        <v>2276</v>
      </c>
      <c r="G929" s="78" t="s">
        <v>403</v>
      </c>
      <c r="H929" s="78" t="s">
        <v>402</v>
      </c>
      <c r="I929" s="78">
        <v>49</v>
      </c>
      <c r="J929" s="231"/>
    </row>
    <row r="930" spans="1:10" ht="15" thickBot="1" x14ac:dyDescent="0.35">
      <c r="A930" s="81"/>
      <c r="B930" s="83"/>
      <c r="C930" s="96"/>
      <c r="D930" s="83"/>
      <c r="E930" s="82" t="s">
        <v>1499</v>
      </c>
      <c r="F930" s="82" t="s">
        <v>2276</v>
      </c>
      <c r="G930" s="82" t="s">
        <v>233</v>
      </c>
      <c r="H930" s="82" t="s">
        <v>232</v>
      </c>
      <c r="I930" s="82">
        <v>28</v>
      </c>
      <c r="J930" s="231">
        <v>73</v>
      </c>
    </row>
    <row r="931" spans="1:10" ht="15" thickBot="1" x14ac:dyDescent="0.35">
      <c r="A931" s="72" t="s">
        <v>1609</v>
      </c>
      <c r="B931" s="73" t="s">
        <v>84</v>
      </c>
      <c r="C931" s="95" t="s">
        <v>1480</v>
      </c>
      <c r="D931" s="73" t="s">
        <v>1608</v>
      </c>
      <c r="E931" s="74" t="s">
        <v>1479</v>
      </c>
      <c r="F931" s="74" t="s">
        <v>1485</v>
      </c>
      <c r="G931" s="74" t="s">
        <v>2305</v>
      </c>
      <c r="H931" s="74"/>
      <c r="I931" s="74"/>
      <c r="J931" s="232"/>
    </row>
    <row r="932" spans="1:10" x14ac:dyDescent="0.3">
      <c r="A932" s="76"/>
      <c r="B932" s="77"/>
      <c r="C932" s="93"/>
      <c r="D932" s="77"/>
      <c r="E932" s="78" t="s">
        <v>1489</v>
      </c>
      <c r="F932" s="78" t="s">
        <v>2276</v>
      </c>
      <c r="G932" s="78" t="s">
        <v>1004</v>
      </c>
      <c r="H932" s="78" t="s">
        <v>1003</v>
      </c>
      <c r="I932" s="78">
        <v>147</v>
      </c>
      <c r="J932" s="230"/>
    </row>
    <row r="933" spans="1:10" x14ac:dyDescent="0.3">
      <c r="A933" s="76"/>
      <c r="B933" s="77"/>
      <c r="C933" s="93"/>
      <c r="D933" s="77"/>
      <c r="E933" s="78" t="s">
        <v>1493</v>
      </c>
      <c r="F933" s="78" t="s">
        <v>2276</v>
      </c>
      <c r="G933" s="78" t="s">
        <v>763</v>
      </c>
      <c r="H933" s="78" t="s">
        <v>762</v>
      </c>
      <c r="I933" s="78">
        <v>102</v>
      </c>
      <c r="J933" s="231">
        <v>23</v>
      </c>
    </row>
    <row r="934" spans="1:10" ht="15" thickBot="1" x14ac:dyDescent="0.35">
      <c r="A934" s="81"/>
      <c r="B934" s="83"/>
      <c r="C934" s="96"/>
      <c r="D934" s="83"/>
      <c r="E934" s="82" t="s">
        <v>1496</v>
      </c>
      <c r="F934" s="82" t="s">
        <v>2276</v>
      </c>
      <c r="G934" s="82" t="s">
        <v>73</v>
      </c>
      <c r="H934" s="82" t="s">
        <v>72</v>
      </c>
      <c r="I934" s="82">
        <v>5</v>
      </c>
      <c r="J934" s="231">
        <v>71</v>
      </c>
    </row>
    <row r="935" spans="1:10" ht="15" thickBot="1" x14ac:dyDescent="0.35">
      <c r="A935" s="72" t="s">
        <v>1609</v>
      </c>
      <c r="B935" s="73" t="s">
        <v>44</v>
      </c>
      <c r="C935" s="95" t="s">
        <v>1480</v>
      </c>
      <c r="D935" s="73" t="s">
        <v>1722</v>
      </c>
      <c r="E935" s="74" t="s">
        <v>1479</v>
      </c>
      <c r="F935" s="74" t="s">
        <v>1485</v>
      </c>
      <c r="G935" s="74" t="s">
        <v>2275</v>
      </c>
      <c r="H935" s="74"/>
      <c r="I935" s="74"/>
      <c r="J935" s="232"/>
    </row>
    <row r="936" spans="1:10" x14ac:dyDescent="0.3">
      <c r="A936" s="76"/>
      <c r="B936" s="77"/>
      <c r="C936" s="93"/>
      <c r="D936" s="77"/>
      <c r="E936" s="78" t="s">
        <v>1489</v>
      </c>
      <c r="F936" s="78" t="s">
        <v>2276</v>
      </c>
      <c r="G936" s="78" t="s">
        <v>971</v>
      </c>
      <c r="H936" s="78" t="s">
        <v>970</v>
      </c>
      <c r="I936" s="78">
        <v>141</v>
      </c>
      <c r="J936" s="230"/>
    </row>
    <row r="937" spans="1:10" x14ac:dyDescent="0.3">
      <c r="A937" s="76"/>
      <c r="B937" s="77"/>
      <c r="C937" s="93"/>
      <c r="D937" s="77"/>
      <c r="E937" s="78" t="s">
        <v>1493</v>
      </c>
      <c r="F937" s="78" t="s">
        <v>2276</v>
      </c>
      <c r="G937" s="78" t="s">
        <v>739</v>
      </c>
      <c r="H937" s="78" t="s">
        <v>738</v>
      </c>
      <c r="I937" s="78">
        <v>98</v>
      </c>
      <c r="J937" s="231">
        <v>79</v>
      </c>
    </row>
    <row r="938" spans="1:10" ht="15" thickBot="1" x14ac:dyDescent="0.35">
      <c r="A938" s="76"/>
      <c r="B938" s="77"/>
      <c r="C938" s="93"/>
      <c r="D938" s="77"/>
      <c r="E938" s="78" t="s">
        <v>1496</v>
      </c>
      <c r="F938" s="78" t="s">
        <v>2276</v>
      </c>
      <c r="G938" s="78" t="s">
        <v>338</v>
      </c>
      <c r="H938" s="78" t="s">
        <v>337</v>
      </c>
      <c r="I938" s="78">
        <v>41</v>
      </c>
      <c r="J938" s="232">
        <v>56</v>
      </c>
    </row>
    <row r="939" spans="1:10" x14ac:dyDescent="0.3">
      <c r="A939" s="76"/>
      <c r="B939" s="77"/>
      <c r="C939" s="93"/>
      <c r="D939" s="77"/>
      <c r="E939" s="78" t="s">
        <v>1499</v>
      </c>
      <c r="F939" s="78" t="s">
        <v>2276</v>
      </c>
      <c r="G939" s="78" t="s">
        <v>534</v>
      </c>
      <c r="H939" s="78" t="s">
        <v>533</v>
      </c>
      <c r="I939" s="78">
        <v>69</v>
      </c>
      <c r="J939" s="230"/>
    </row>
    <row r="940" spans="1:10" ht="15" thickBot="1" x14ac:dyDescent="0.35">
      <c r="A940" s="81"/>
      <c r="B940" s="83"/>
      <c r="C940" s="96"/>
      <c r="D940" s="83"/>
      <c r="E940" s="82" t="s">
        <v>1502</v>
      </c>
      <c r="F940" s="82" t="s">
        <v>2276</v>
      </c>
      <c r="G940" s="82" t="s">
        <v>37</v>
      </c>
      <c r="H940" s="82" t="s">
        <v>36</v>
      </c>
      <c r="I940" s="82">
        <v>2</v>
      </c>
      <c r="J940" s="231">
        <v>73</v>
      </c>
    </row>
    <row r="941" spans="1:10" x14ac:dyDescent="0.3">
      <c r="A941" s="72" t="s">
        <v>1609</v>
      </c>
      <c r="B941" s="73" t="s">
        <v>26</v>
      </c>
      <c r="C941" s="95" t="s">
        <v>1480</v>
      </c>
      <c r="D941" s="73" t="s">
        <v>1719</v>
      </c>
      <c r="E941" s="74" t="s">
        <v>1479</v>
      </c>
      <c r="F941" s="74" t="s">
        <v>1485</v>
      </c>
      <c r="G941" s="74" t="s">
        <v>2275</v>
      </c>
      <c r="H941" s="74"/>
      <c r="I941" s="74"/>
      <c r="J941" s="231">
        <v>54</v>
      </c>
    </row>
    <row r="942" spans="1:10" x14ac:dyDescent="0.3">
      <c r="A942" s="76"/>
      <c r="B942" s="77"/>
      <c r="C942" s="93"/>
      <c r="D942" s="77"/>
      <c r="E942" s="78" t="s">
        <v>1489</v>
      </c>
      <c r="F942" s="78" t="s">
        <v>2276</v>
      </c>
      <c r="G942" s="78" t="s">
        <v>965</v>
      </c>
      <c r="H942" s="78" t="s">
        <v>964</v>
      </c>
      <c r="I942" s="78">
        <v>140</v>
      </c>
      <c r="J942" s="231">
        <v>30</v>
      </c>
    </row>
    <row r="943" spans="1:10" ht="15" thickBot="1" x14ac:dyDescent="0.35">
      <c r="A943" s="76"/>
      <c r="B943" s="77"/>
      <c r="C943" s="93"/>
      <c r="D943" s="77"/>
      <c r="E943" s="78" t="s">
        <v>1493</v>
      </c>
      <c r="F943" s="78" t="s">
        <v>2276</v>
      </c>
      <c r="G943" s="78" t="s">
        <v>733</v>
      </c>
      <c r="H943" s="78" t="s">
        <v>732</v>
      </c>
      <c r="I943" s="78">
        <v>97</v>
      </c>
      <c r="J943" s="232"/>
    </row>
    <row r="944" spans="1:10" x14ac:dyDescent="0.3">
      <c r="A944" s="76"/>
      <c r="B944" s="77"/>
      <c r="C944" s="93"/>
      <c r="D944" s="77"/>
      <c r="E944" s="78" t="s">
        <v>1496</v>
      </c>
      <c r="F944" s="78" t="s">
        <v>2276</v>
      </c>
      <c r="G944" s="78" t="s">
        <v>328</v>
      </c>
      <c r="H944" s="78" t="s">
        <v>327</v>
      </c>
      <c r="I944" s="78">
        <v>40</v>
      </c>
      <c r="J944" s="230"/>
    </row>
    <row r="945" spans="1:10" x14ac:dyDescent="0.3">
      <c r="A945" s="76"/>
      <c r="B945" s="77"/>
      <c r="C945" s="93"/>
      <c r="D945" s="77"/>
      <c r="E945" s="78" t="s">
        <v>1499</v>
      </c>
      <c r="F945" s="78" t="s">
        <v>2276</v>
      </c>
      <c r="G945" s="78" t="s">
        <v>23</v>
      </c>
      <c r="H945" s="78" t="s">
        <v>22</v>
      </c>
      <c r="I945" s="78">
        <v>1</v>
      </c>
      <c r="J945" s="231">
        <v>72</v>
      </c>
    </row>
    <row r="946" spans="1:10" ht="15" thickBot="1" x14ac:dyDescent="0.35">
      <c r="A946" s="81"/>
      <c r="B946" s="83"/>
      <c r="C946" s="96"/>
      <c r="D946" s="83"/>
      <c r="E946" s="82" t="s">
        <v>1502</v>
      </c>
      <c r="F946" s="82" t="s">
        <v>2276</v>
      </c>
      <c r="G946" s="82" t="s">
        <v>516</v>
      </c>
      <c r="H946" s="82" t="s">
        <v>515</v>
      </c>
      <c r="I946" s="82">
        <v>67</v>
      </c>
      <c r="J946" s="231">
        <v>53</v>
      </c>
    </row>
    <row r="947" spans="1:10" x14ac:dyDescent="0.3">
      <c r="A947" s="72" t="s">
        <v>2016</v>
      </c>
      <c r="B947" s="73" t="s">
        <v>642</v>
      </c>
      <c r="C947" s="95" t="s">
        <v>1480</v>
      </c>
      <c r="D947" s="73" t="s">
        <v>2015</v>
      </c>
      <c r="E947" s="74" t="s">
        <v>1479</v>
      </c>
      <c r="F947" s="74" t="s">
        <v>1485</v>
      </c>
      <c r="G947" s="74" t="s">
        <v>2275</v>
      </c>
      <c r="H947" s="74"/>
      <c r="I947" s="74"/>
      <c r="J947" s="231">
        <v>29</v>
      </c>
    </row>
    <row r="948" spans="1:10" ht="15" thickBot="1" x14ac:dyDescent="0.35">
      <c r="A948" s="76"/>
      <c r="B948" s="77"/>
      <c r="C948" s="93"/>
      <c r="D948" s="77"/>
      <c r="E948" s="78" t="s">
        <v>1489</v>
      </c>
      <c r="F948" s="78" t="s">
        <v>2276</v>
      </c>
      <c r="G948" s="78" t="s">
        <v>1004</v>
      </c>
      <c r="H948" s="78" t="s">
        <v>1003</v>
      </c>
      <c r="I948" s="78">
        <v>147</v>
      </c>
      <c r="J948" s="232"/>
    </row>
    <row r="949" spans="1:10" x14ac:dyDescent="0.3">
      <c r="A949" s="76"/>
      <c r="B949" s="77"/>
      <c r="C949" s="93"/>
      <c r="D949" s="77"/>
      <c r="E949" s="78" t="s">
        <v>1493</v>
      </c>
      <c r="F949" s="78" t="s">
        <v>2276</v>
      </c>
      <c r="G949" s="78" t="s">
        <v>636</v>
      </c>
      <c r="H949" s="78" t="s">
        <v>635</v>
      </c>
      <c r="I949" s="78">
        <v>83</v>
      </c>
      <c r="J949" s="230"/>
    </row>
    <row r="950" spans="1:10" ht="15" thickBot="1" x14ac:dyDescent="0.35">
      <c r="A950" s="81"/>
      <c r="B950" s="83"/>
      <c r="C950" s="96"/>
      <c r="D950" s="83"/>
      <c r="E950" s="82" t="s">
        <v>1496</v>
      </c>
      <c r="F950" s="82" t="s">
        <v>2276</v>
      </c>
      <c r="G950" s="82" t="s">
        <v>1210</v>
      </c>
      <c r="H950" s="82" t="s">
        <v>1209</v>
      </c>
      <c r="I950" s="82"/>
      <c r="J950" s="231">
        <v>85</v>
      </c>
    </row>
    <row r="951" spans="1:10" x14ac:dyDescent="0.3">
      <c r="A951" s="72" t="s">
        <v>2016</v>
      </c>
      <c r="B951" s="73" t="s">
        <v>623</v>
      </c>
      <c r="C951" s="95" t="s">
        <v>1480</v>
      </c>
      <c r="D951" s="73" t="s">
        <v>2023</v>
      </c>
      <c r="E951" s="74" t="s">
        <v>1479</v>
      </c>
      <c r="F951" s="74" t="s">
        <v>1485</v>
      </c>
      <c r="G951" s="74" t="s">
        <v>2275</v>
      </c>
      <c r="H951" s="74"/>
      <c r="I951" s="74"/>
      <c r="J951" s="231">
        <v>58</v>
      </c>
    </row>
    <row r="952" spans="1:10" ht="15" thickBot="1" x14ac:dyDescent="0.35">
      <c r="A952" s="76"/>
      <c r="B952" s="77"/>
      <c r="C952" s="93"/>
      <c r="D952" s="77"/>
      <c r="E952" s="78" t="s">
        <v>1489</v>
      </c>
      <c r="F952" s="78" t="s">
        <v>2276</v>
      </c>
      <c r="G952" s="78" t="s">
        <v>621</v>
      </c>
      <c r="H952" s="78" t="s">
        <v>620</v>
      </c>
      <c r="I952" s="78">
        <v>81</v>
      </c>
      <c r="J952" s="232">
        <v>2</v>
      </c>
    </row>
    <row r="953" spans="1:10" x14ac:dyDescent="0.3">
      <c r="A953" s="76"/>
      <c r="B953" s="77"/>
      <c r="C953" s="93"/>
      <c r="D953" s="77"/>
      <c r="E953" s="78" t="s">
        <v>1493</v>
      </c>
      <c r="F953" s="78" t="s">
        <v>2276</v>
      </c>
      <c r="G953" s="78" t="s">
        <v>999</v>
      </c>
      <c r="H953" s="78" t="s">
        <v>998</v>
      </c>
      <c r="I953" s="78">
        <v>146</v>
      </c>
      <c r="J953" s="230"/>
    </row>
    <row r="954" spans="1:10" ht="15" thickBot="1" x14ac:dyDescent="0.35">
      <c r="A954" s="81"/>
      <c r="B954" s="83"/>
      <c r="C954" s="96"/>
      <c r="D954" s="83"/>
      <c r="E954" s="82" t="s">
        <v>1496</v>
      </c>
      <c r="F954" s="82" t="s">
        <v>2276</v>
      </c>
      <c r="G954" s="82" t="s">
        <v>1206</v>
      </c>
      <c r="H954" s="82" t="s">
        <v>1205</v>
      </c>
      <c r="I954" s="82"/>
      <c r="J954" s="231">
        <v>81</v>
      </c>
    </row>
    <row r="955" spans="1:10" x14ac:dyDescent="0.3">
      <c r="A955" s="72" t="s">
        <v>1667</v>
      </c>
      <c r="B955" s="73" t="s">
        <v>689</v>
      </c>
      <c r="C955" s="95" t="s">
        <v>1480</v>
      </c>
      <c r="D955" s="73" t="s">
        <v>1666</v>
      </c>
      <c r="E955" s="74" t="s">
        <v>1479</v>
      </c>
      <c r="F955" s="74" t="s">
        <v>1485</v>
      </c>
      <c r="G955" s="74" t="s">
        <v>2275</v>
      </c>
      <c r="H955" s="74"/>
      <c r="I955" s="74"/>
      <c r="J955" s="231">
        <v>56</v>
      </c>
    </row>
    <row r="956" spans="1:10" x14ac:dyDescent="0.3">
      <c r="A956" s="76"/>
      <c r="B956" s="77"/>
      <c r="C956" s="93"/>
      <c r="D956" s="77"/>
      <c r="E956" s="78" t="s">
        <v>1489</v>
      </c>
      <c r="F956" s="78" t="s">
        <v>2276</v>
      </c>
      <c r="G956" s="78" t="s">
        <v>685</v>
      </c>
      <c r="H956" s="78" t="s">
        <v>684</v>
      </c>
      <c r="I956" s="78">
        <v>90</v>
      </c>
      <c r="J956" s="231"/>
    </row>
    <row r="957" spans="1:10" x14ac:dyDescent="0.3">
      <c r="A957" s="76"/>
      <c r="B957" s="77"/>
      <c r="C957" s="93"/>
      <c r="D957" s="77"/>
      <c r="E957" s="78" t="s">
        <v>1493</v>
      </c>
      <c r="F957" s="78" t="s">
        <v>2276</v>
      </c>
      <c r="G957" s="78" t="s">
        <v>1049</v>
      </c>
      <c r="H957" s="78" t="s">
        <v>1048</v>
      </c>
      <c r="I957" s="78">
        <v>159</v>
      </c>
      <c r="J957" s="231"/>
    </row>
    <row r="958" spans="1:10" ht="15" thickBot="1" x14ac:dyDescent="0.35">
      <c r="A958" s="81"/>
      <c r="B958" s="83"/>
      <c r="C958" s="96"/>
      <c r="D958" s="83"/>
      <c r="E958" s="82" t="s">
        <v>1496</v>
      </c>
      <c r="F958" s="82" t="s">
        <v>2276</v>
      </c>
      <c r="G958" s="82" t="s">
        <v>1270</v>
      </c>
      <c r="H958" s="82" t="s">
        <v>1269</v>
      </c>
      <c r="I958" s="82"/>
      <c r="J958" s="232"/>
    </row>
    <row r="959" spans="1:10" x14ac:dyDescent="0.3">
      <c r="A959" s="72" t="s">
        <v>1667</v>
      </c>
      <c r="B959" s="73" t="s">
        <v>701</v>
      </c>
      <c r="C959" s="95" t="s">
        <v>1480</v>
      </c>
      <c r="D959" s="73" t="s">
        <v>1678</v>
      </c>
      <c r="E959" s="74" t="s">
        <v>1479</v>
      </c>
      <c r="F959" s="74" t="s">
        <v>1485</v>
      </c>
      <c r="G959" s="74" t="s">
        <v>2275</v>
      </c>
      <c r="H959" s="74"/>
      <c r="I959" s="74"/>
      <c r="J959" s="230"/>
    </row>
    <row r="960" spans="1:10" x14ac:dyDescent="0.3">
      <c r="A960" s="76"/>
      <c r="B960" s="77"/>
      <c r="C960" s="93"/>
      <c r="D960" s="77"/>
      <c r="E960" s="78" t="s">
        <v>1489</v>
      </c>
      <c r="F960" s="78" t="s">
        <v>2276</v>
      </c>
      <c r="G960" s="78" t="s">
        <v>1028</v>
      </c>
      <c r="H960" s="78" t="s">
        <v>1027</v>
      </c>
      <c r="I960" s="78">
        <v>155</v>
      </c>
      <c r="J960" s="231">
        <v>80</v>
      </c>
    </row>
    <row r="961" spans="1:10" x14ac:dyDescent="0.3">
      <c r="A961" s="76"/>
      <c r="B961" s="77"/>
      <c r="C961" s="93"/>
      <c r="D961" s="77"/>
      <c r="E961" s="78" t="s">
        <v>1493</v>
      </c>
      <c r="F961" s="78" t="s">
        <v>2276</v>
      </c>
      <c r="G961" s="78" t="s">
        <v>699</v>
      </c>
      <c r="H961" s="78" t="s">
        <v>698</v>
      </c>
      <c r="I961" s="78">
        <v>92</v>
      </c>
      <c r="J961" s="231">
        <v>55</v>
      </c>
    </row>
    <row r="962" spans="1:10" ht="15" thickBot="1" x14ac:dyDescent="0.35">
      <c r="A962" s="81"/>
      <c r="B962" s="83"/>
      <c r="C962" s="96"/>
      <c r="D962" s="83"/>
      <c r="E962" s="82" t="s">
        <v>1496</v>
      </c>
      <c r="F962" s="82" t="s">
        <v>2276</v>
      </c>
      <c r="G962" s="82" t="s">
        <v>1266</v>
      </c>
      <c r="H962" s="82" t="s">
        <v>1265</v>
      </c>
      <c r="I962" s="82"/>
      <c r="J962" s="231"/>
    </row>
    <row r="963" spans="1:10" x14ac:dyDescent="0.3">
      <c r="A963" s="72" t="s">
        <v>2052</v>
      </c>
      <c r="B963" s="73" t="s">
        <v>161</v>
      </c>
      <c r="C963" s="95" t="s">
        <v>1480</v>
      </c>
      <c r="D963" s="73" t="s">
        <v>2059</v>
      </c>
      <c r="E963" s="74" t="s">
        <v>1479</v>
      </c>
      <c r="F963" s="74" t="s">
        <v>1485</v>
      </c>
      <c r="G963" s="74" t="s">
        <v>2275</v>
      </c>
      <c r="H963" s="74"/>
      <c r="I963" s="74"/>
      <c r="J963" s="231"/>
    </row>
    <row r="964" spans="1:10" ht="15" thickBot="1" x14ac:dyDescent="0.35">
      <c r="A964" s="76"/>
      <c r="B964" s="77"/>
      <c r="C964" s="93"/>
      <c r="D964" s="77"/>
      <c r="E964" s="78" t="s">
        <v>1489</v>
      </c>
      <c r="F964" s="78" t="s">
        <v>2276</v>
      </c>
      <c r="G964" s="78" t="s">
        <v>155</v>
      </c>
      <c r="H964" s="78" t="s">
        <v>154</v>
      </c>
      <c r="I964" s="78">
        <v>12</v>
      </c>
      <c r="J964" s="232"/>
    </row>
    <row r="965" spans="1:10" x14ac:dyDescent="0.3">
      <c r="A965" s="76"/>
      <c r="B965" s="77"/>
      <c r="C965" s="93"/>
      <c r="D965" s="77"/>
      <c r="E965" s="78" t="s">
        <v>1493</v>
      </c>
      <c r="F965" s="78" t="s">
        <v>2276</v>
      </c>
      <c r="G965" s="78" t="s">
        <v>679</v>
      </c>
      <c r="H965" s="78" t="s">
        <v>678</v>
      </c>
      <c r="I965" s="78">
        <v>89</v>
      </c>
      <c r="J965" s="230"/>
    </row>
    <row r="966" spans="1:10" ht="15" thickBot="1" x14ac:dyDescent="0.35">
      <c r="A966" s="81"/>
      <c r="B966" s="83"/>
      <c r="C966" s="96"/>
      <c r="D966" s="83"/>
      <c r="E966" s="82" t="s">
        <v>1496</v>
      </c>
      <c r="F966" s="82" t="s">
        <v>2276</v>
      </c>
      <c r="G966" s="82" t="s">
        <v>1226</v>
      </c>
      <c r="H966" s="82" t="s">
        <v>1225</v>
      </c>
      <c r="I966" s="82"/>
      <c r="J966" s="231">
        <v>85</v>
      </c>
    </row>
    <row r="967" spans="1:10" x14ac:dyDescent="0.3">
      <c r="A967" s="72" t="s">
        <v>2052</v>
      </c>
      <c r="B967" s="73" t="s">
        <v>170</v>
      </c>
      <c r="C967" s="95" t="s">
        <v>1480</v>
      </c>
      <c r="D967" s="73" t="s">
        <v>2055</v>
      </c>
      <c r="E967" s="74" t="s">
        <v>1479</v>
      </c>
      <c r="F967" s="74" t="s">
        <v>1485</v>
      </c>
      <c r="G967" s="74" t="s">
        <v>2275</v>
      </c>
      <c r="H967" s="74"/>
      <c r="I967" s="74"/>
      <c r="J967" s="231">
        <v>50</v>
      </c>
    </row>
    <row r="968" spans="1:10" ht="15" thickBot="1" x14ac:dyDescent="0.35">
      <c r="A968" s="76"/>
      <c r="B968" s="77"/>
      <c r="C968" s="93"/>
      <c r="D968" s="77"/>
      <c r="E968" s="78" t="s">
        <v>1489</v>
      </c>
      <c r="F968" s="78" t="s">
        <v>2276</v>
      </c>
      <c r="G968" s="78" t="s">
        <v>672</v>
      </c>
      <c r="H968" s="78" t="s">
        <v>671</v>
      </c>
      <c r="I968" s="78">
        <v>88</v>
      </c>
      <c r="J968" s="232"/>
    </row>
    <row r="969" spans="1:10" x14ac:dyDescent="0.3">
      <c r="A969" s="76"/>
      <c r="B969" s="77"/>
      <c r="C969" s="93"/>
      <c r="D969" s="77"/>
      <c r="E969" s="78" t="s">
        <v>1493</v>
      </c>
      <c r="F969" s="78" t="s">
        <v>2276</v>
      </c>
      <c r="G969" s="78" t="s">
        <v>164</v>
      </c>
      <c r="H969" s="78" t="s">
        <v>163</v>
      </c>
      <c r="I969" s="78">
        <v>13</v>
      </c>
      <c r="J969" s="230"/>
    </row>
    <row r="970" spans="1:10" ht="15" thickBot="1" x14ac:dyDescent="0.35">
      <c r="A970" s="81"/>
      <c r="B970" s="83"/>
      <c r="C970" s="96"/>
      <c r="D970" s="83"/>
      <c r="E970" s="82" t="s">
        <v>1496</v>
      </c>
      <c r="F970" s="82" t="s">
        <v>2276</v>
      </c>
      <c r="G970" s="82" t="s">
        <v>1222</v>
      </c>
      <c r="H970" s="82" t="s">
        <v>1221</v>
      </c>
      <c r="I970" s="82"/>
      <c r="J970" s="231">
        <v>49</v>
      </c>
    </row>
    <row r="971" spans="1:10" x14ac:dyDescent="0.3">
      <c r="A971" s="72" t="s">
        <v>1900</v>
      </c>
      <c r="B971" s="73" t="s">
        <v>359</v>
      </c>
      <c r="C971" s="95" t="s">
        <v>1480</v>
      </c>
      <c r="D971" s="73" t="s">
        <v>1905</v>
      </c>
      <c r="E971" s="74" t="s">
        <v>1479</v>
      </c>
      <c r="F971" s="74" t="s">
        <v>1485</v>
      </c>
      <c r="G971" s="74" t="s">
        <v>2275</v>
      </c>
      <c r="H971" s="74"/>
      <c r="I971" s="74"/>
      <c r="J971" s="231">
        <v>84</v>
      </c>
    </row>
    <row r="972" spans="1:10" ht="15" thickBot="1" x14ac:dyDescent="0.35">
      <c r="A972" s="76"/>
      <c r="B972" s="77"/>
      <c r="C972" s="93"/>
      <c r="D972" s="77"/>
      <c r="E972" s="78" t="s">
        <v>1489</v>
      </c>
      <c r="F972" s="78" t="s">
        <v>2276</v>
      </c>
      <c r="G972" s="78" t="s">
        <v>354</v>
      </c>
      <c r="H972" s="78" t="s">
        <v>353</v>
      </c>
      <c r="I972" s="78">
        <v>43</v>
      </c>
      <c r="J972" s="232"/>
    </row>
    <row r="973" spans="1:10" x14ac:dyDescent="0.3">
      <c r="A973" s="76"/>
      <c r="B973" s="77"/>
      <c r="C973" s="93"/>
      <c r="D973" s="77"/>
      <c r="E973" s="78" t="s">
        <v>1493</v>
      </c>
      <c r="F973" s="78" t="s">
        <v>2276</v>
      </c>
      <c r="G973" s="78" t="s">
        <v>707</v>
      </c>
      <c r="H973" s="78" t="s">
        <v>706</v>
      </c>
      <c r="I973" s="78">
        <v>93</v>
      </c>
      <c r="J973" s="230"/>
    </row>
    <row r="974" spans="1:10" ht="15" thickBot="1" x14ac:dyDescent="0.35">
      <c r="A974" s="81"/>
      <c r="B974" s="83"/>
      <c r="C974" s="96"/>
      <c r="D974" s="83"/>
      <c r="E974" s="82" t="s">
        <v>1496</v>
      </c>
      <c r="F974" s="82" t="s">
        <v>2276</v>
      </c>
      <c r="G974" s="82" t="s">
        <v>1291</v>
      </c>
      <c r="H974" s="82" t="s">
        <v>1290</v>
      </c>
      <c r="I974" s="82"/>
      <c r="J974" s="231">
        <v>51</v>
      </c>
    </row>
    <row r="975" spans="1:10" x14ac:dyDescent="0.3">
      <c r="A975" s="72" t="s">
        <v>1900</v>
      </c>
      <c r="B975" s="73" t="s">
        <v>349</v>
      </c>
      <c r="C975" s="95" t="s">
        <v>1480</v>
      </c>
      <c r="D975" s="73" t="s">
        <v>1902</v>
      </c>
      <c r="E975" s="74" t="s">
        <v>1479</v>
      </c>
      <c r="F975" s="74" t="s">
        <v>1485</v>
      </c>
      <c r="G975" s="74" t="s">
        <v>2275</v>
      </c>
      <c r="H975" s="74"/>
      <c r="I975" s="74"/>
      <c r="J975" s="231">
        <v>90</v>
      </c>
    </row>
    <row r="976" spans="1:10" ht="15" thickBot="1" x14ac:dyDescent="0.35">
      <c r="A976" s="76"/>
      <c r="B976" s="77"/>
      <c r="C976" s="93"/>
      <c r="D976" s="77"/>
      <c r="E976" s="78" t="s">
        <v>1489</v>
      </c>
      <c r="F976" s="78" t="s">
        <v>2276</v>
      </c>
      <c r="G976" s="78" t="s">
        <v>347</v>
      </c>
      <c r="H976" s="78" t="s">
        <v>346</v>
      </c>
      <c r="I976" s="78">
        <v>42</v>
      </c>
      <c r="J976" s="232"/>
    </row>
    <row r="977" spans="1:10" x14ac:dyDescent="0.3">
      <c r="A977" s="76"/>
      <c r="B977" s="77"/>
      <c r="C977" s="93"/>
      <c r="D977" s="77"/>
      <c r="E977" s="78" t="s">
        <v>1493</v>
      </c>
      <c r="F977" s="78" t="s">
        <v>2276</v>
      </c>
      <c r="G977" s="78" t="s">
        <v>693</v>
      </c>
      <c r="H977" s="78" t="s">
        <v>692</v>
      </c>
      <c r="I977" s="78">
        <v>91</v>
      </c>
      <c r="J977" s="230"/>
    </row>
    <row r="978" spans="1:10" ht="15" thickBot="1" x14ac:dyDescent="0.35">
      <c r="A978" s="81"/>
      <c r="B978" s="83"/>
      <c r="C978" s="96"/>
      <c r="D978" s="83"/>
      <c r="E978" s="82" t="s">
        <v>1496</v>
      </c>
      <c r="F978" s="82" t="s">
        <v>2276</v>
      </c>
      <c r="G978" s="82" t="s">
        <v>1287</v>
      </c>
      <c r="H978" s="82" t="s">
        <v>1286</v>
      </c>
      <c r="I978" s="82"/>
      <c r="J978" s="231">
        <v>89</v>
      </c>
    </row>
    <row r="979" spans="1:10" x14ac:dyDescent="0.3">
      <c r="A979" s="72" t="s">
        <v>1907</v>
      </c>
      <c r="B979" s="73" t="s">
        <v>375</v>
      </c>
      <c r="C979" s="95" t="s">
        <v>1480</v>
      </c>
      <c r="D979" s="73" t="s">
        <v>1912</v>
      </c>
      <c r="E979" s="74" t="s">
        <v>1479</v>
      </c>
      <c r="F979" s="74" t="s">
        <v>1485</v>
      </c>
      <c r="G979" s="74" t="s">
        <v>2275</v>
      </c>
      <c r="H979" s="74"/>
      <c r="I979" s="74"/>
      <c r="J979" s="231">
        <v>52</v>
      </c>
    </row>
    <row r="980" spans="1:10" ht="15" thickBot="1" x14ac:dyDescent="0.35">
      <c r="A980" s="76"/>
      <c r="B980" s="77"/>
      <c r="C980" s="93"/>
      <c r="D980" s="77"/>
      <c r="E980" s="78" t="s">
        <v>1489</v>
      </c>
      <c r="F980" s="78" t="s">
        <v>2276</v>
      </c>
      <c r="G980" s="78" t="s">
        <v>369</v>
      </c>
      <c r="H980" s="78" t="s">
        <v>368</v>
      </c>
      <c r="I980" s="78">
        <v>45</v>
      </c>
      <c r="J980" s="232"/>
    </row>
    <row r="981" spans="1:10" x14ac:dyDescent="0.3">
      <c r="A981" s="76"/>
      <c r="B981" s="77"/>
      <c r="C981" s="93"/>
      <c r="D981" s="77"/>
      <c r="E981" s="78" t="s">
        <v>1493</v>
      </c>
      <c r="F981" s="78" t="s">
        <v>2276</v>
      </c>
      <c r="G981" s="78" t="s">
        <v>916</v>
      </c>
      <c r="H981" s="78" t="s">
        <v>915</v>
      </c>
      <c r="I981" s="78">
        <v>132</v>
      </c>
      <c r="J981" s="230"/>
    </row>
    <row r="982" spans="1:10" ht="15" thickBot="1" x14ac:dyDescent="0.35">
      <c r="A982" s="81"/>
      <c r="B982" s="83"/>
      <c r="C982" s="96"/>
      <c r="D982" s="83"/>
      <c r="E982" s="82" t="s">
        <v>1496</v>
      </c>
      <c r="F982" s="82" t="s">
        <v>2276</v>
      </c>
      <c r="G982" s="82" t="s">
        <v>1299</v>
      </c>
      <c r="H982" s="82" t="s">
        <v>1298</v>
      </c>
      <c r="I982" s="82"/>
      <c r="J982" s="231"/>
    </row>
    <row r="983" spans="1:10" x14ac:dyDescent="0.3">
      <c r="A983" s="72" t="s">
        <v>1907</v>
      </c>
      <c r="B983" s="73" t="s">
        <v>364</v>
      </c>
      <c r="C983" s="95" t="s">
        <v>1480</v>
      </c>
      <c r="D983" s="73" t="s">
        <v>1909</v>
      </c>
      <c r="E983" s="74" t="s">
        <v>1479</v>
      </c>
      <c r="F983" s="74" t="s">
        <v>1485</v>
      </c>
      <c r="G983" s="74" t="s">
        <v>2275</v>
      </c>
      <c r="H983" s="74"/>
      <c r="I983" s="74"/>
      <c r="J983" s="231"/>
    </row>
    <row r="984" spans="1:10" ht="15" thickBot="1" x14ac:dyDescent="0.35">
      <c r="A984" s="76"/>
      <c r="B984" s="77"/>
      <c r="C984" s="93"/>
      <c r="D984" s="77"/>
      <c r="E984" s="78" t="s">
        <v>1489</v>
      </c>
      <c r="F984" s="78" t="s">
        <v>2276</v>
      </c>
      <c r="G984" s="78" t="s">
        <v>362</v>
      </c>
      <c r="H984" s="78" t="s">
        <v>361</v>
      </c>
      <c r="I984" s="78">
        <v>44</v>
      </c>
      <c r="J984" s="232"/>
    </row>
    <row r="985" spans="1:10" x14ac:dyDescent="0.3">
      <c r="A985" s="76"/>
      <c r="B985" s="77"/>
      <c r="C985" s="93"/>
      <c r="D985" s="77"/>
      <c r="E985" s="78" t="s">
        <v>1493</v>
      </c>
      <c r="F985" s="78" t="s">
        <v>2276</v>
      </c>
      <c r="G985" s="78" t="s">
        <v>909</v>
      </c>
      <c r="H985" s="78" t="s">
        <v>908</v>
      </c>
      <c r="I985" s="78">
        <v>131</v>
      </c>
      <c r="J985" s="230"/>
    </row>
    <row r="986" spans="1:10" ht="15" thickBot="1" x14ac:dyDescent="0.35">
      <c r="A986" s="81"/>
      <c r="B986" s="83"/>
      <c r="C986" s="96"/>
      <c r="D986" s="83"/>
      <c r="E986" s="82" t="s">
        <v>1496</v>
      </c>
      <c r="F986" s="82" t="s">
        <v>2276</v>
      </c>
      <c r="G986" s="82" t="s">
        <v>1295</v>
      </c>
      <c r="H986" s="82" t="s">
        <v>1294</v>
      </c>
      <c r="I986" s="82"/>
      <c r="J986" s="231"/>
    </row>
    <row r="987" spans="1:10" x14ac:dyDescent="0.3">
      <c r="A987" s="72" t="s">
        <v>1924</v>
      </c>
      <c r="B987" s="73" t="s">
        <v>574</v>
      </c>
      <c r="C987" s="95" t="s">
        <v>1480</v>
      </c>
      <c r="D987" s="73" t="s">
        <v>1931</v>
      </c>
      <c r="E987" s="74" t="s">
        <v>1479</v>
      </c>
      <c r="F987" s="74" t="s">
        <v>1485</v>
      </c>
      <c r="G987" s="74" t="s">
        <v>2275</v>
      </c>
      <c r="H987" s="74"/>
      <c r="I987" s="74"/>
      <c r="J987" s="231"/>
    </row>
    <row r="988" spans="1:10" ht="15" thickBot="1" x14ac:dyDescent="0.35">
      <c r="A988" s="76"/>
      <c r="B988" s="77"/>
      <c r="C988" s="93"/>
      <c r="D988" s="77"/>
      <c r="E988" s="78" t="s">
        <v>1489</v>
      </c>
      <c r="F988" s="78" t="s">
        <v>2276</v>
      </c>
      <c r="G988" s="78" t="s">
        <v>569</v>
      </c>
      <c r="H988" s="78" t="s">
        <v>568</v>
      </c>
      <c r="I988" s="78">
        <v>73</v>
      </c>
      <c r="J988" s="232"/>
    </row>
    <row r="989" spans="1:10" x14ac:dyDescent="0.3">
      <c r="A989" s="76"/>
      <c r="B989" s="77"/>
      <c r="C989" s="93"/>
      <c r="D989" s="77"/>
      <c r="E989" s="78" t="s">
        <v>1493</v>
      </c>
      <c r="F989" s="78" t="s">
        <v>2276</v>
      </c>
      <c r="G989" s="78" t="s">
        <v>940</v>
      </c>
      <c r="H989" s="78" t="s">
        <v>939</v>
      </c>
      <c r="I989" s="78">
        <v>136</v>
      </c>
      <c r="J989" s="230"/>
    </row>
    <row r="990" spans="1:10" ht="15" thickBot="1" x14ac:dyDescent="0.35">
      <c r="A990" s="81"/>
      <c r="B990" s="83"/>
      <c r="C990" s="96"/>
      <c r="D990" s="83"/>
      <c r="E990" s="82" t="s">
        <v>1496</v>
      </c>
      <c r="F990" s="82" t="s">
        <v>2276</v>
      </c>
      <c r="G990" s="82" t="s">
        <v>1307</v>
      </c>
      <c r="H990" s="82" t="s">
        <v>1306</v>
      </c>
      <c r="I990" s="82"/>
      <c r="J990" s="231"/>
    </row>
    <row r="991" spans="1:10" x14ac:dyDescent="0.3">
      <c r="A991" s="72" t="s">
        <v>1924</v>
      </c>
      <c r="B991" s="73" t="s">
        <v>564</v>
      </c>
      <c r="C991" s="95" t="s">
        <v>1480</v>
      </c>
      <c r="D991" s="73" t="s">
        <v>1927</v>
      </c>
      <c r="E991" s="74" t="s">
        <v>1479</v>
      </c>
      <c r="F991" s="74" t="s">
        <v>1485</v>
      </c>
      <c r="G991" s="74" t="s">
        <v>2275</v>
      </c>
      <c r="H991" s="74"/>
      <c r="I991" s="74"/>
      <c r="J991" s="231"/>
    </row>
    <row r="992" spans="1:10" ht="15" thickBot="1" x14ac:dyDescent="0.35">
      <c r="A992" s="76"/>
      <c r="B992" s="77"/>
      <c r="C992" s="93"/>
      <c r="D992" s="77"/>
      <c r="E992" s="78" t="s">
        <v>1489</v>
      </c>
      <c r="F992" s="78" t="s">
        <v>2276</v>
      </c>
      <c r="G992" s="78" t="s">
        <v>562</v>
      </c>
      <c r="H992" s="78" t="s">
        <v>561</v>
      </c>
      <c r="I992" s="78">
        <v>72</v>
      </c>
      <c r="J992" s="232"/>
    </row>
    <row r="993" spans="1:10" x14ac:dyDescent="0.3">
      <c r="A993" s="76"/>
      <c r="B993" s="77"/>
      <c r="C993" s="93"/>
      <c r="D993" s="77"/>
      <c r="E993" s="78" t="s">
        <v>1493</v>
      </c>
      <c r="F993" s="78" t="s">
        <v>2276</v>
      </c>
      <c r="G993" s="78" t="s">
        <v>928</v>
      </c>
      <c r="H993" s="78" t="s">
        <v>927</v>
      </c>
      <c r="I993" s="78">
        <v>134</v>
      </c>
      <c r="J993" s="230"/>
    </row>
    <row r="994" spans="1:10" ht="15" thickBot="1" x14ac:dyDescent="0.35">
      <c r="A994" s="81"/>
      <c r="B994" s="83"/>
      <c r="C994" s="96"/>
      <c r="D994" s="83"/>
      <c r="E994" s="82" t="s">
        <v>1496</v>
      </c>
      <c r="F994" s="82" t="s">
        <v>2276</v>
      </c>
      <c r="G994" s="82" t="s">
        <v>1303</v>
      </c>
      <c r="H994" s="82" t="s">
        <v>1302</v>
      </c>
      <c r="I994" s="82"/>
      <c r="J994" s="231"/>
    </row>
    <row r="995" spans="1:10" x14ac:dyDescent="0.3">
      <c r="A995" s="72" t="s">
        <v>1628</v>
      </c>
      <c r="B995" s="73" t="s">
        <v>305</v>
      </c>
      <c r="C995" s="95" t="s">
        <v>1480</v>
      </c>
      <c r="D995" s="73" t="s">
        <v>2107</v>
      </c>
      <c r="E995" s="74" t="s">
        <v>1479</v>
      </c>
      <c r="F995" s="74" t="s">
        <v>1485</v>
      </c>
      <c r="G995" s="74" t="s">
        <v>2305</v>
      </c>
      <c r="H995" s="74"/>
      <c r="I995" s="74"/>
      <c r="J995" s="231"/>
    </row>
    <row r="996" spans="1:10" ht="15" thickBot="1" x14ac:dyDescent="0.35">
      <c r="A996" s="76"/>
      <c r="B996" s="77"/>
      <c r="C996" s="93"/>
      <c r="D996" s="77"/>
      <c r="E996" s="78" t="s">
        <v>1489</v>
      </c>
      <c r="F996" s="78" t="s">
        <v>2276</v>
      </c>
      <c r="G996" s="78" t="s">
        <v>452</v>
      </c>
      <c r="H996" s="78" t="s">
        <v>451</v>
      </c>
      <c r="I996" s="78">
        <v>55</v>
      </c>
      <c r="J996" s="232"/>
    </row>
    <row r="997" spans="1:10" x14ac:dyDescent="0.3">
      <c r="A997" s="76"/>
      <c r="B997" s="77"/>
      <c r="C997" s="93"/>
      <c r="D997" s="77"/>
      <c r="E997" s="78" t="s">
        <v>1493</v>
      </c>
      <c r="F997" s="78" t="s">
        <v>2276</v>
      </c>
      <c r="G997" s="78" t="s">
        <v>295</v>
      </c>
      <c r="H997" s="78" t="s">
        <v>294</v>
      </c>
      <c r="I997" s="78">
        <v>35</v>
      </c>
      <c r="J997" s="230"/>
    </row>
    <row r="998" spans="1:10" ht="15" thickBot="1" x14ac:dyDescent="0.35">
      <c r="A998" s="81"/>
      <c r="B998" s="83"/>
      <c r="C998" s="96"/>
      <c r="D998" s="83"/>
      <c r="E998" s="82" t="s">
        <v>1496</v>
      </c>
      <c r="F998" s="82" t="s">
        <v>2276</v>
      </c>
      <c r="G998" s="82" t="s">
        <v>309</v>
      </c>
      <c r="H998" s="82" t="s">
        <v>308</v>
      </c>
      <c r="I998" s="82">
        <v>36</v>
      </c>
      <c r="J998" s="231"/>
    </row>
    <row r="999" spans="1:10" x14ac:dyDescent="0.3">
      <c r="A999" s="72" t="s">
        <v>1628</v>
      </c>
      <c r="B999" s="73" t="s">
        <v>268</v>
      </c>
      <c r="C999" s="95" t="s">
        <v>1480</v>
      </c>
      <c r="D999" s="73" t="s">
        <v>1627</v>
      </c>
      <c r="E999" s="74" t="s">
        <v>1479</v>
      </c>
      <c r="F999" s="74" t="s">
        <v>1485</v>
      </c>
      <c r="G999" s="74" t="s">
        <v>2275</v>
      </c>
      <c r="H999" s="74"/>
      <c r="I999" s="74"/>
      <c r="J999" s="231"/>
    </row>
    <row r="1000" spans="1:10" ht="15" thickBot="1" x14ac:dyDescent="0.35">
      <c r="A1000" s="76"/>
      <c r="B1000" s="77"/>
      <c r="C1000" s="93"/>
      <c r="D1000" s="77"/>
      <c r="E1000" s="78" t="s">
        <v>1489</v>
      </c>
      <c r="F1000" s="78" t="s">
        <v>2276</v>
      </c>
      <c r="G1000" s="78" t="s">
        <v>428</v>
      </c>
      <c r="H1000" s="78" t="s">
        <v>427</v>
      </c>
      <c r="I1000" s="78">
        <v>52</v>
      </c>
      <c r="J1000" s="232"/>
    </row>
    <row r="1001" spans="1:10" x14ac:dyDescent="0.3">
      <c r="A1001" s="76"/>
      <c r="B1001" s="77"/>
      <c r="C1001" s="93"/>
      <c r="D1001" s="77"/>
      <c r="E1001" s="78" t="s">
        <v>1493</v>
      </c>
      <c r="F1001" s="78" t="s">
        <v>2276</v>
      </c>
      <c r="G1001" s="78" t="s">
        <v>259</v>
      </c>
      <c r="H1001" s="78" t="s">
        <v>258</v>
      </c>
      <c r="I1001" s="78">
        <v>31</v>
      </c>
      <c r="J1001" s="230"/>
    </row>
    <row r="1002" spans="1:10" x14ac:dyDescent="0.3">
      <c r="A1002" s="76"/>
      <c r="B1002" s="77"/>
      <c r="C1002" s="93"/>
      <c r="D1002" s="77"/>
      <c r="E1002" s="78" t="s">
        <v>1496</v>
      </c>
      <c r="F1002" s="78" t="s">
        <v>2276</v>
      </c>
      <c r="G1002" s="78" t="s">
        <v>1113</v>
      </c>
      <c r="H1002" s="78" t="s">
        <v>1112</v>
      </c>
      <c r="I1002" s="78">
        <v>172</v>
      </c>
      <c r="J1002" s="231"/>
    </row>
    <row r="1003" spans="1:10" x14ac:dyDescent="0.3">
      <c r="A1003" s="76"/>
      <c r="B1003" s="77"/>
      <c r="C1003" s="93"/>
      <c r="D1003" s="77"/>
      <c r="E1003" s="78" t="s">
        <v>1499</v>
      </c>
      <c r="F1003" s="78" t="s">
        <v>2276</v>
      </c>
      <c r="G1003" s="78" t="s">
        <v>277</v>
      </c>
      <c r="H1003" s="78" t="s">
        <v>276</v>
      </c>
      <c r="I1003" s="78">
        <v>33</v>
      </c>
      <c r="J1003" s="231"/>
    </row>
    <row r="1004" spans="1:10" ht="15" thickBot="1" x14ac:dyDescent="0.35">
      <c r="A1004" s="81"/>
      <c r="B1004" s="83"/>
      <c r="C1004" s="96"/>
      <c r="D1004" s="83"/>
      <c r="E1004" s="82" t="s">
        <v>1502</v>
      </c>
      <c r="F1004" s="82" t="s">
        <v>2276</v>
      </c>
      <c r="G1004" s="82" t="s">
        <v>507</v>
      </c>
      <c r="H1004" s="82" t="s">
        <v>506</v>
      </c>
      <c r="I1004" s="82">
        <v>66</v>
      </c>
      <c r="J1004" s="232"/>
    </row>
    <row r="1005" spans="1:10" x14ac:dyDescent="0.3">
      <c r="A1005" s="72" t="s">
        <v>1628</v>
      </c>
      <c r="B1005" s="73" t="s">
        <v>244</v>
      </c>
      <c r="C1005" s="95" t="s">
        <v>1480</v>
      </c>
      <c r="D1005" s="73" t="s">
        <v>1639</v>
      </c>
      <c r="E1005" s="74" t="s">
        <v>1479</v>
      </c>
      <c r="F1005" s="74" t="s">
        <v>1485</v>
      </c>
      <c r="G1005" s="74" t="s">
        <v>2275</v>
      </c>
      <c r="H1005" s="74"/>
      <c r="I1005" s="74"/>
      <c r="J1005" s="230"/>
    </row>
    <row r="1006" spans="1:10" x14ac:dyDescent="0.3">
      <c r="A1006" s="76"/>
      <c r="B1006" s="77"/>
      <c r="C1006" s="93"/>
      <c r="D1006" s="77"/>
      <c r="E1006" s="78" t="s">
        <v>1489</v>
      </c>
      <c r="F1006" s="78" t="s">
        <v>2276</v>
      </c>
      <c r="G1006" s="78" t="s">
        <v>1107</v>
      </c>
      <c r="H1006" s="78" t="s">
        <v>1106</v>
      </c>
      <c r="I1006" s="78">
        <v>171</v>
      </c>
      <c r="J1006" s="231"/>
    </row>
    <row r="1007" spans="1:10" x14ac:dyDescent="0.3">
      <c r="A1007" s="76"/>
      <c r="B1007" s="77"/>
      <c r="C1007" s="93"/>
      <c r="D1007" s="77"/>
      <c r="E1007" s="78" t="s">
        <v>1493</v>
      </c>
      <c r="F1007" s="78" t="s">
        <v>2276</v>
      </c>
      <c r="G1007" s="78" t="s">
        <v>525</v>
      </c>
      <c r="H1007" s="78" t="s">
        <v>524</v>
      </c>
      <c r="I1007" s="78">
        <v>68</v>
      </c>
      <c r="J1007" s="231"/>
    </row>
    <row r="1008" spans="1:10" ht="15" thickBot="1" x14ac:dyDescent="0.35">
      <c r="A1008" s="76"/>
      <c r="B1008" s="77"/>
      <c r="C1008" s="93"/>
      <c r="D1008" s="77"/>
      <c r="E1008" s="78" t="s">
        <v>1496</v>
      </c>
      <c r="F1008" s="78" t="s">
        <v>2276</v>
      </c>
      <c r="G1008" s="78" t="s">
        <v>419</v>
      </c>
      <c r="H1008" s="78" t="s">
        <v>418</v>
      </c>
      <c r="I1008" s="78">
        <v>51</v>
      </c>
      <c r="J1008" s="232"/>
    </row>
    <row r="1009" spans="1:10" x14ac:dyDescent="0.3">
      <c r="A1009" s="76"/>
      <c r="B1009" s="77"/>
      <c r="C1009" s="93"/>
      <c r="D1009" s="77"/>
      <c r="E1009" s="78" t="s">
        <v>1499</v>
      </c>
      <c r="F1009" s="78" t="s">
        <v>2276</v>
      </c>
      <c r="G1009" s="78" t="s">
        <v>241</v>
      </c>
      <c r="H1009" s="78" t="s">
        <v>240</v>
      </c>
      <c r="I1009" s="78">
        <v>29</v>
      </c>
      <c r="J1009" s="230"/>
    </row>
    <row r="1010" spans="1:10" ht="15" thickBot="1" x14ac:dyDescent="0.35">
      <c r="A1010" s="81"/>
      <c r="B1010" s="83"/>
      <c r="C1010" s="96"/>
      <c r="D1010" s="83"/>
      <c r="E1010" s="82" t="s">
        <v>1502</v>
      </c>
      <c r="F1010" s="82" t="s">
        <v>2276</v>
      </c>
      <c r="G1010" s="82" t="s">
        <v>271</v>
      </c>
      <c r="H1010" s="82" t="s">
        <v>270</v>
      </c>
      <c r="I1010" s="82">
        <v>32</v>
      </c>
      <c r="J1010" s="231"/>
    </row>
    <row r="1011" spans="1:10" x14ac:dyDescent="0.3">
      <c r="A1011" s="72" t="s">
        <v>1605</v>
      </c>
      <c r="B1011" s="73" t="s">
        <v>85</v>
      </c>
      <c r="C1011" s="95" t="s">
        <v>1480</v>
      </c>
      <c r="D1011" s="73" t="s">
        <v>1604</v>
      </c>
      <c r="E1011" s="74" t="s">
        <v>1479</v>
      </c>
      <c r="F1011" s="74" t="s">
        <v>1485</v>
      </c>
      <c r="G1011" s="74" t="s">
        <v>2275</v>
      </c>
      <c r="H1011" s="74"/>
      <c r="I1011" s="74"/>
      <c r="J1011" s="231"/>
    </row>
    <row r="1012" spans="1:10" ht="15" thickBot="1" x14ac:dyDescent="0.35">
      <c r="A1012" s="76"/>
      <c r="B1012" s="77"/>
      <c r="C1012" s="93"/>
      <c r="D1012" s="77"/>
      <c r="E1012" s="78" t="s">
        <v>1489</v>
      </c>
      <c r="F1012" s="78" t="s">
        <v>2276</v>
      </c>
      <c r="G1012" s="78" t="s">
        <v>73</v>
      </c>
      <c r="H1012" s="78" t="s">
        <v>72</v>
      </c>
      <c r="I1012" s="78">
        <v>5</v>
      </c>
      <c r="J1012" s="232"/>
    </row>
    <row r="1013" spans="1:10" x14ac:dyDescent="0.3">
      <c r="A1013" s="76"/>
      <c r="B1013" s="77"/>
      <c r="C1013" s="93"/>
      <c r="D1013" s="77"/>
      <c r="E1013" s="78" t="s">
        <v>1493</v>
      </c>
      <c r="F1013" s="78" t="s">
        <v>2276</v>
      </c>
      <c r="G1013" s="78" t="s">
        <v>763</v>
      </c>
      <c r="H1013" s="78" t="s">
        <v>762</v>
      </c>
      <c r="I1013" s="78">
        <v>102</v>
      </c>
      <c r="J1013" s="230"/>
    </row>
    <row r="1014" spans="1:10" ht="15" thickBot="1" x14ac:dyDescent="0.35">
      <c r="A1014" s="81"/>
      <c r="B1014" s="83"/>
      <c r="C1014" s="96"/>
      <c r="D1014" s="83"/>
      <c r="E1014" s="82" t="s">
        <v>1496</v>
      </c>
      <c r="F1014" s="82" t="s">
        <v>2276</v>
      </c>
      <c r="G1014" s="82" t="s">
        <v>849</v>
      </c>
      <c r="H1014" s="82" t="s">
        <v>848</v>
      </c>
      <c r="I1014" s="82">
        <v>120</v>
      </c>
      <c r="J1014" s="231">
        <v>35</v>
      </c>
    </row>
    <row r="1015" spans="1:10" x14ac:dyDescent="0.3">
      <c r="A1015" s="72" t="s">
        <v>1605</v>
      </c>
      <c r="B1015" s="73" t="s">
        <v>61</v>
      </c>
      <c r="C1015" s="95" t="s">
        <v>1480</v>
      </c>
      <c r="D1015" s="73" t="s">
        <v>1616</v>
      </c>
      <c r="E1015" s="74" t="s">
        <v>1479</v>
      </c>
      <c r="F1015" s="74" t="s">
        <v>1485</v>
      </c>
      <c r="G1015" s="74" t="s">
        <v>2275</v>
      </c>
      <c r="H1015" s="74"/>
      <c r="I1015" s="74"/>
      <c r="J1015" s="231">
        <v>22</v>
      </c>
    </row>
    <row r="1016" spans="1:10" ht="15" thickBot="1" x14ac:dyDescent="0.35">
      <c r="A1016" s="76"/>
      <c r="B1016" s="77"/>
      <c r="C1016" s="93"/>
      <c r="D1016" s="77"/>
      <c r="E1016" s="78" t="s">
        <v>1489</v>
      </c>
      <c r="F1016" s="78" t="s">
        <v>2276</v>
      </c>
      <c r="G1016" s="78" t="s">
        <v>752</v>
      </c>
      <c r="H1016" s="78" t="s">
        <v>751</v>
      </c>
      <c r="I1016" s="78">
        <v>100</v>
      </c>
      <c r="J1016" s="232">
        <v>23</v>
      </c>
    </row>
    <row r="1017" spans="1:10" x14ac:dyDescent="0.3">
      <c r="A1017" s="76"/>
      <c r="B1017" s="77"/>
      <c r="C1017" s="93"/>
      <c r="D1017" s="77"/>
      <c r="E1017" s="78" t="s">
        <v>1493</v>
      </c>
      <c r="F1017" s="78" t="s">
        <v>2276</v>
      </c>
      <c r="G1017" s="78" t="s">
        <v>856</v>
      </c>
      <c r="H1017" s="78" t="s">
        <v>855</v>
      </c>
      <c r="I1017" s="78">
        <v>121</v>
      </c>
      <c r="J1017" s="230"/>
    </row>
    <row r="1018" spans="1:10" ht="15" thickBot="1" x14ac:dyDescent="0.35">
      <c r="A1018" s="81"/>
      <c r="B1018" s="83"/>
      <c r="C1018" s="96"/>
      <c r="D1018" s="83"/>
      <c r="E1018" s="82" t="s">
        <v>1496</v>
      </c>
      <c r="F1018" s="82" t="s">
        <v>2276</v>
      </c>
      <c r="G1018" s="82" t="s">
        <v>58</v>
      </c>
      <c r="H1018" s="82" t="s">
        <v>57</v>
      </c>
      <c r="I1018" s="82">
        <v>4</v>
      </c>
      <c r="J1018" s="231">
        <v>32</v>
      </c>
    </row>
    <row r="1019" spans="1:10" x14ac:dyDescent="0.3">
      <c r="A1019" s="72" t="s">
        <v>1708</v>
      </c>
      <c r="B1019" s="73" t="s">
        <v>145</v>
      </c>
      <c r="C1019" s="95" t="s">
        <v>1480</v>
      </c>
      <c r="D1019" s="73" t="s">
        <v>1898</v>
      </c>
      <c r="E1019" s="74" t="s">
        <v>1479</v>
      </c>
      <c r="F1019" s="74" t="s">
        <v>1485</v>
      </c>
      <c r="G1019" s="74" t="s">
        <v>2275</v>
      </c>
      <c r="H1019" s="74"/>
      <c r="I1019" s="74"/>
      <c r="J1019" s="231">
        <v>20</v>
      </c>
    </row>
    <row r="1020" spans="1:10" x14ac:dyDescent="0.3">
      <c r="A1020" s="76"/>
      <c r="B1020" s="77"/>
      <c r="C1020" s="93"/>
      <c r="D1020" s="77"/>
      <c r="E1020" s="78" t="s">
        <v>1489</v>
      </c>
      <c r="F1020" s="78" t="s">
        <v>1485</v>
      </c>
      <c r="G1020" s="78" t="s">
        <v>2275</v>
      </c>
      <c r="H1020" s="78"/>
      <c r="I1020" s="78"/>
      <c r="J1020" s="231">
        <v>100</v>
      </c>
    </row>
    <row r="1021" spans="1:10" x14ac:dyDescent="0.3">
      <c r="A1021" s="76"/>
      <c r="B1021" s="77"/>
      <c r="C1021" s="93"/>
      <c r="D1021" s="77"/>
      <c r="E1021" s="78" t="s">
        <v>1493</v>
      </c>
      <c r="F1021" s="78" t="s">
        <v>2276</v>
      </c>
      <c r="G1021" s="78" t="s">
        <v>136</v>
      </c>
      <c r="H1021" s="78" t="s">
        <v>135</v>
      </c>
      <c r="I1021" s="78">
        <v>10</v>
      </c>
      <c r="J1021" s="231"/>
    </row>
    <row r="1022" spans="1:10" ht="15" thickBot="1" x14ac:dyDescent="0.35">
      <c r="A1022" s="76"/>
      <c r="B1022" s="77"/>
      <c r="C1022" s="93"/>
      <c r="D1022" s="77"/>
      <c r="E1022" s="78" t="s">
        <v>1496</v>
      </c>
      <c r="F1022" s="78" t="s">
        <v>2276</v>
      </c>
      <c r="G1022" s="78" t="s">
        <v>788</v>
      </c>
      <c r="H1022" s="78" t="s">
        <v>787</v>
      </c>
      <c r="I1022" s="78">
        <v>110</v>
      </c>
      <c r="J1022" s="232">
        <v>44</v>
      </c>
    </row>
    <row r="1023" spans="1:10" ht="15" thickBot="1" x14ac:dyDescent="0.35">
      <c r="A1023" s="81"/>
      <c r="B1023" s="83"/>
      <c r="C1023" s="96"/>
      <c r="D1023" s="83"/>
      <c r="E1023" s="82" t="s">
        <v>1499</v>
      </c>
      <c r="F1023" s="82" t="s">
        <v>2276</v>
      </c>
      <c r="G1023" s="82" t="s">
        <v>775</v>
      </c>
      <c r="H1023" s="82" t="s">
        <v>774</v>
      </c>
      <c r="I1023" s="82">
        <v>104</v>
      </c>
      <c r="J1023" s="230"/>
    </row>
    <row r="1024" spans="1:10" x14ac:dyDescent="0.3">
      <c r="A1024" s="72" t="s">
        <v>1708</v>
      </c>
      <c r="B1024" s="73" t="s">
        <v>126</v>
      </c>
      <c r="C1024" s="95" t="s">
        <v>1480</v>
      </c>
      <c r="D1024" s="73" t="s">
        <v>1712</v>
      </c>
      <c r="E1024" s="74" t="s">
        <v>1479</v>
      </c>
      <c r="F1024" s="74" t="s">
        <v>1485</v>
      </c>
      <c r="G1024" s="74" t="s">
        <v>2275</v>
      </c>
      <c r="H1024" s="74"/>
      <c r="I1024" s="74"/>
      <c r="J1024" s="231">
        <v>99</v>
      </c>
    </row>
    <row r="1025" spans="1:10" x14ac:dyDescent="0.3">
      <c r="A1025" s="76"/>
      <c r="B1025" s="77"/>
      <c r="C1025" s="93"/>
      <c r="D1025" s="77"/>
      <c r="E1025" s="78" t="s">
        <v>1489</v>
      </c>
      <c r="F1025" s="78" t="s">
        <v>2276</v>
      </c>
      <c r="G1025" s="78" t="s">
        <v>783</v>
      </c>
      <c r="H1025" s="78" t="s">
        <v>782</v>
      </c>
      <c r="I1025" s="78">
        <v>109</v>
      </c>
      <c r="J1025" s="231">
        <v>45</v>
      </c>
    </row>
    <row r="1026" spans="1:10" x14ac:dyDescent="0.3">
      <c r="A1026" s="76"/>
      <c r="B1026" s="77"/>
      <c r="C1026" s="93"/>
      <c r="D1026" s="77"/>
      <c r="E1026" s="78" t="s">
        <v>1493</v>
      </c>
      <c r="F1026" s="78" t="s">
        <v>2276</v>
      </c>
      <c r="G1026" s="78" t="s">
        <v>801</v>
      </c>
      <c r="H1026" s="78" t="s">
        <v>800</v>
      </c>
      <c r="I1026" s="78">
        <v>112</v>
      </c>
      <c r="J1026" s="231">
        <v>31</v>
      </c>
    </row>
    <row r="1027" spans="1:10" ht="15" thickBot="1" x14ac:dyDescent="0.35">
      <c r="A1027" s="81"/>
      <c r="B1027" s="83"/>
      <c r="C1027" s="96"/>
      <c r="D1027" s="83"/>
      <c r="E1027" s="82" t="s">
        <v>1496</v>
      </c>
      <c r="F1027" s="82" t="s">
        <v>2276</v>
      </c>
      <c r="G1027" s="82" t="s">
        <v>124</v>
      </c>
      <c r="H1027" s="82" t="s">
        <v>123</v>
      </c>
      <c r="I1027" s="82">
        <v>9</v>
      </c>
      <c r="J1027" s="231">
        <v>19</v>
      </c>
    </row>
    <row r="1028" spans="1:10" ht="15" thickBot="1" x14ac:dyDescent="0.35">
      <c r="A1028" s="72" t="s">
        <v>1933</v>
      </c>
      <c r="B1028" s="73" t="s">
        <v>120</v>
      </c>
      <c r="C1028" s="95" t="s">
        <v>1480</v>
      </c>
      <c r="D1028" s="73" t="s">
        <v>1939</v>
      </c>
      <c r="E1028" s="74" t="s">
        <v>1479</v>
      </c>
      <c r="F1028" s="74" t="s">
        <v>1485</v>
      </c>
      <c r="G1028" s="74" t="s">
        <v>2275</v>
      </c>
      <c r="H1028" s="74"/>
      <c r="I1028" s="74"/>
      <c r="J1028" s="232"/>
    </row>
    <row r="1029" spans="1:10" x14ac:dyDescent="0.3">
      <c r="A1029" s="76"/>
      <c r="B1029" s="77"/>
      <c r="C1029" s="93"/>
      <c r="D1029" s="77"/>
      <c r="E1029" s="78" t="s">
        <v>1489</v>
      </c>
      <c r="F1029" s="78" t="s">
        <v>2276</v>
      </c>
      <c r="G1029" s="78" t="s">
        <v>223</v>
      </c>
      <c r="H1029" s="78" t="s">
        <v>222</v>
      </c>
      <c r="I1029" s="78">
        <v>27</v>
      </c>
      <c r="J1029" s="230"/>
    </row>
    <row r="1030" spans="1:10" x14ac:dyDescent="0.3">
      <c r="A1030" s="76"/>
      <c r="B1030" s="77"/>
      <c r="C1030" s="93"/>
      <c r="D1030" s="77"/>
      <c r="E1030" s="78" t="s">
        <v>1493</v>
      </c>
      <c r="F1030" s="78" t="s">
        <v>2276</v>
      </c>
      <c r="G1030" s="78" t="s">
        <v>112</v>
      </c>
      <c r="H1030" s="78" t="s">
        <v>111</v>
      </c>
      <c r="I1030" s="78">
        <v>8</v>
      </c>
      <c r="J1030" s="231">
        <v>2</v>
      </c>
    </row>
    <row r="1031" spans="1:10" x14ac:dyDescent="0.3">
      <c r="A1031" s="76"/>
      <c r="B1031" s="77"/>
      <c r="C1031" s="93"/>
      <c r="D1031" s="77"/>
      <c r="E1031" s="78" t="s">
        <v>1496</v>
      </c>
      <c r="F1031" s="78" t="s">
        <v>2276</v>
      </c>
      <c r="G1031" s="78" t="s">
        <v>1162</v>
      </c>
      <c r="H1031" s="78" t="s">
        <v>1161</v>
      </c>
      <c r="I1031" s="78"/>
      <c r="J1031" s="231">
        <v>58</v>
      </c>
    </row>
    <row r="1032" spans="1:10" ht="15" thickBot="1" x14ac:dyDescent="0.35">
      <c r="A1032" s="81"/>
      <c r="B1032" s="83"/>
      <c r="C1032" s="96"/>
      <c r="D1032" s="83"/>
      <c r="E1032" s="82" t="s">
        <v>1499</v>
      </c>
      <c r="F1032" s="82" t="s">
        <v>2276</v>
      </c>
      <c r="G1032" s="82" t="s">
        <v>595</v>
      </c>
      <c r="H1032" s="82" t="s">
        <v>594</v>
      </c>
      <c r="I1032" s="82">
        <v>76</v>
      </c>
      <c r="J1032" s="232">
        <v>70</v>
      </c>
    </row>
    <row r="1033" spans="1:10" x14ac:dyDescent="0.3">
      <c r="A1033" s="72" t="s">
        <v>1933</v>
      </c>
      <c r="B1033" s="73" t="s">
        <v>102</v>
      </c>
      <c r="C1033" s="95" t="s">
        <v>1480</v>
      </c>
      <c r="D1033" s="73" t="s">
        <v>1936</v>
      </c>
      <c r="E1033" s="74" t="s">
        <v>1479</v>
      </c>
      <c r="F1033" s="74" t="s">
        <v>1485</v>
      </c>
      <c r="G1033" s="74" t="s">
        <v>2275</v>
      </c>
      <c r="H1033" s="74"/>
      <c r="I1033" s="74"/>
      <c r="J1033" s="230"/>
    </row>
    <row r="1034" spans="1:10" x14ac:dyDescent="0.3">
      <c r="A1034" s="76"/>
      <c r="B1034" s="77"/>
      <c r="C1034" s="93"/>
      <c r="D1034" s="77"/>
      <c r="E1034" s="78" t="s">
        <v>1489</v>
      </c>
      <c r="F1034" s="78" t="s">
        <v>2276</v>
      </c>
      <c r="G1034" s="78" t="s">
        <v>100</v>
      </c>
      <c r="H1034" s="78" t="s">
        <v>99</v>
      </c>
      <c r="I1034" s="78">
        <v>7</v>
      </c>
      <c r="J1034" s="231">
        <v>57</v>
      </c>
    </row>
    <row r="1035" spans="1:10" x14ac:dyDescent="0.3">
      <c r="A1035" s="76"/>
      <c r="B1035" s="77"/>
      <c r="C1035" s="93"/>
      <c r="D1035" s="77"/>
      <c r="E1035" s="78" t="s">
        <v>1493</v>
      </c>
      <c r="F1035" s="78" t="s">
        <v>2276</v>
      </c>
      <c r="G1035" s="78" t="s">
        <v>215</v>
      </c>
      <c r="H1035" s="78" t="s">
        <v>214</v>
      </c>
      <c r="I1035" s="78">
        <v>26</v>
      </c>
      <c r="J1035" s="231">
        <v>71</v>
      </c>
    </row>
    <row r="1036" spans="1:10" ht="15" thickBot="1" x14ac:dyDescent="0.35">
      <c r="A1036" s="76"/>
      <c r="B1036" s="77"/>
      <c r="C1036" s="93"/>
      <c r="D1036" s="77"/>
      <c r="E1036" s="78" t="s">
        <v>1496</v>
      </c>
      <c r="F1036" s="78" t="s">
        <v>2276</v>
      </c>
      <c r="G1036" s="78" t="s">
        <v>589</v>
      </c>
      <c r="H1036" s="78" t="s">
        <v>588</v>
      </c>
      <c r="I1036" s="78">
        <v>75</v>
      </c>
      <c r="J1036" s="232">
        <v>1</v>
      </c>
    </row>
    <row r="1037" spans="1:10" ht="15" thickBot="1" x14ac:dyDescent="0.35">
      <c r="A1037" s="81"/>
      <c r="B1037" s="83"/>
      <c r="C1037" s="96"/>
      <c r="D1037" s="83"/>
      <c r="E1037" s="82" t="s">
        <v>1499</v>
      </c>
      <c r="F1037" s="82" t="s">
        <v>2276</v>
      </c>
      <c r="G1037" s="82" t="s">
        <v>1158</v>
      </c>
      <c r="H1037" s="82" t="s">
        <v>1157</v>
      </c>
      <c r="I1037" s="82"/>
      <c r="J1037" s="230"/>
    </row>
    <row r="1038" spans="1:10" x14ac:dyDescent="0.3">
      <c r="A1038" s="72" t="s">
        <v>1694</v>
      </c>
      <c r="B1038" s="73" t="s">
        <v>496</v>
      </c>
      <c r="C1038" s="95" t="s">
        <v>1480</v>
      </c>
      <c r="D1038" s="73" t="s">
        <v>1693</v>
      </c>
      <c r="E1038" s="74" t="s">
        <v>1479</v>
      </c>
      <c r="F1038" s="74" t="s">
        <v>1485</v>
      </c>
      <c r="G1038" s="74" t="s">
        <v>2275</v>
      </c>
      <c r="H1038" s="74"/>
      <c r="I1038" s="74"/>
      <c r="J1038" s="231"/>
    </row>
    <row r="1039" spans="1:10" x14ac:dyDescent="0.3">
      <c r="A1039" s="76"/>
      <c r="B1039" s="77"/>
      <c r="C1039" s="93"/>
      <c r="D1039" s="77"/>
      <c r="E1039" s="78" t="s">
        <v>1489</v>
      </c>
      <c r="F1039" s="78" t="s">
        <v>2276</v>
      </c>
      <c r="G1039" s="78" t="s">
        <v>491</v>
      </c>
      <c r="H1039" s="78" t="s">
        <v>490</v>
      </c>
      <c r="I1039" s="78">
        <v>64</v>
      </c>
      <c r="J1039" s="231">
        <v>6</v>
      </c>
    </row>
    <row r="1040" spans="1:10" x14ac:dyDescent="0.3">
      <c r="A1040" s="76"/>
      <c r="B1040" s="77"/>
      <c r="C1040" s="93"/>
      <c r="D1040" s="77"/>
      <c r="E1040" s="78" t="s">
        <v>1493</v>
      </c>
      <c r="F1040" s="78" t="s">
        <v>2276</v>
      </c>
      <c r="G1040" s="78" t="s">
        <v>993</v>
      </c>
      <c r="H1040" s="78" t="s">
        <v>992</v>
      </c>
      <c r="I1040" s="78">
        <v>145</v>
      </c>
      <c r="J1040" s="231">
        <v>63</v>
      </c>
    </row>
    <row r="1041" spans="1:10" ht="15" thickBot="1" x14ac:dyDescent="0.35">
      <c r="A1041" s="76"/>
      <c r="B1041" s="77"/>
      <c r="C1041" s="93"/>
      <c r="D1041" s="77"/>
      <c r="E1041" s="78" t="s">
        <v>1496</v>
      </c>
      <c r="F1041" s="78" t="s">
        <v>2276</v>
      </c>
      <c r="G1041" s="78" t="s">
        <v>1170</v>
      </c>
      <c r="H1041" s="78" t="s">
        <v>1169</v>
      </c>
      <c r="I1041" s="78"/>
      <c r="J1041" s="232"/>
    </row>
    <row r="1042" spans="1:10" ht="15" thickBot="1" x14ac:dyDescent="0.35">
      <c r="A1042" s="81"/>
      <c r="B1042" s="83"/>
      <c r="C1042" s="96"/>
      <c r="D1042" s="83"/>
      <c r="E1042" s="82" t="s">
        <v>1499</v>
      </c>
      <c r="F1042" s="82" t="s">
        <v>2276</v>
      </c>
      <c r="G1042" s="82" t="s">
        <v>629</v>
      </c>
      <c r="H1042" s="82" t="s">
        <v>628</v>
      </c>
      <c r="I1042" s="82">
        <v>82</v>
      </c>
      <c r="J1042" s="230"/>
    </row>
    <row r="1043" spans="1:10" x14ac:dyDescent="0.3">
      <c r="A1043" s="72" t="s">
        <v>1694</v>
      </c>
      <c r="B1043" s="73" t="s">
        <v>485</v>
      </c>
      <c r="C1043" s="95" t="s">
        <v>1480</v>
      </c>
      <c r="D1043" s="73" t="s">
        <v>1706</v>
      </c>
      <c r="E1043" s="74" t="s">
        <v>1479</v>
      </c>
      <c r="F1043" s="74" t="s">
        <v>1485</v>
      </c>
      <c r="G1043" s="74" t="s">
        <v>2275</v>
      </c>
      <c r="H1043" s="74"/>
      <c r="I1043" s="74"/>
      <c r="J1043" s="231"/>
    </row>
    <row r="1044" spans="1:10" x14ac:dyDescent="0.3">
      <c r="A1044" s="76"/>
      <c r="B1044" s="77"/>
      <c r="C1044" s="93"/>
      <c r="D1044" s="77"/>
      <c r="E1044" s="78" t="s">
        <v>1489</v>
      </c>
      <c r="F1044" s="78" t="s">
        <v>2276</v>
      </c>
      <c r="G1044" s="78" t="s">
        <v>981</v>
      </c>
      <c r="H1044" s="78" t="s">
        <v>980</v>
      </c>
      <c r="I1044" s="78">
        <v>143</v>
      </c>
      <c r="J1044" s="231">
        <v>64</v>
      </c>
    </row>
    <row r="1045" spans="1:10" ht="15" thickBot="1" x14ac:dyDescent="0.35">
      <c r="A1045" s="76"/>
      <c r="B1045" s="77"/>
      <c r="C1045" s="93"/>
      <c r="D1045" s="77"/>
      <c r="E1045" s="78" t="s">
        <v>1493</v>
      </c>
      <c r="F1045" s="78" t="s">
        <v>2276</v>
      </c>
      <c r="G1045" s="78" t="s">
        <v>482</v>
      </c>
      <c r="H1045" s="78" t="s">
        <v>481</v>
      </c>
      <c r="I1045" s="78">
        <v>63</v>
      </c>
      <c r="J1045" s="232">
        <v>5</v>
      </c>
    </row>
    <row r="1046" spans="1:10" x14ac:dyDescent="0.3">
      <c r="A1046" s="76"/>
      <c r="B1046" s="77"/>
      <c r="C1046" s="93"/>
      <c r="D1046" s="77"/>
      <c r="E1046" s="78" t="s">
        <v>1496</v>
      </c>
      <c r="F1046" s="78" t="s">
        <v>2276</v>
      </c>
      <c r="G1046" s="78" t="s">
        <v>615</v>
      </c>
      <c r="H1046" s="78" t="s">
        <v>614</v>
      </c>
      <c r="I1046" s="78">
        <v>80</v>
      </c>
      <c r="J1046" s="230"/>
    </row>
    <row r="1047" spans="1:10" ht="15" thickBot="1" x14ac:dyDescent="0.35">
      <c r="A1047" s="81"/>
      <c r="B1047" s="83"/>
      <c r="C1047" s="96"/>
      <c r="D1047" s="83"/>
      <c r="E1047" s="82" t="s">
        <v>1499</v>
      </c>
      <c r="F1047" s="82" t="s">
        <v>2276</v>
      </c>
      <c r="G1047" s="82" t="s">
        <v>1166</v>
      </c>
      <c r="H1047" s="82" t="s">
        <v>1165</v>
      </c>
      <c r="I1047" s="82"/>
      <c r="J1047" s="231">
        <v>18</v>
      </c>
    </row>
    <row r="1048" spans="1:10" x14ac:dyDescent="0.3">
      <c r="A1048" s="72" t="s">
        <v>1881</v>
      </c>
      <c r="B1048" s="73" t="s">
        <v>657</v>
      </c>
      <c r="C1048" s="95" t="s">
        <v>1480</v>
      </c>
      <c r="D1048" s="73" t="s">
        <v>1880</v>
      </c>
      <c r="E1048" s="74" t="s">
        <v>1479</v>
      </c>
      <c r="F1048" s="74" t="s">
        <v>1485</v>
      </c>
      <c r="G1048" s="74" t="s">
        <v>2275</v>
      </c>
      <c r="H1048" s="74"/>
      <c r="I1048" s="74"/>
      <c r="J1048" s="231">
        <v>4</v>
      </c>
    </row>
    <row r="1049" spans="1:10" x14ac:dyDescent="0.3">
      <c r="A1049" s="76"/>
      <c r="B1049" s="77"/>
      <c r="C1049" s="93"/>
      <c r="D1049" s="77"/>
      <c r="E1049" s="78" t="s">
        <v>1489</v>
      </c>
      <c r="F1049" s="78" t="s">
        <v>2276</v>
      </c>
      <c r="G1049" s="78" t="s">
        <v>811</v>
      </c>
      <c r="H1049" s="78" t="s">
        <v>810</v>
      </c>
      <c r="I1049" s="78">
        <v>114</v>
      </c>
      <c r="J1049" s="231"/>
    </row>
    <row r="1050" spans="1:10" ht="15" thickBot="1" x14ac:dyDescent="0.35">
      <c r="A1050" s="76"/>
      <c r="B1050" s="77"/>
      <c r="C1050" s="93"/>
      <c r="D1050" s="77"/>
      <c r="E1050" s="78" t="s">
        <v>1493</v>
      </c>
      <c r="F1050" s="78" t="s">
        <v>2276</v>
      </c>
      <c r="G1050" s="78" t="s">
        <v>1071</v>
      </c>
      <c r="H1050" s="78" t="s">
        <v>1070</v>
      </c>
      <c r="I1050" s="78">
        <v>163</v>
      </c>
      <c r="J1050" s="232"/>
    </row>
    <row r="1051" spans="1:10" x14ac:dyDescent="0.3">
      <c r="A1051" s="76"/>
      <c r="B1051" s="77"/>
      <c r="C1051" s="93"/>
      <c r="D1051" s="77"/>
      <c r="E1051" s="78" t="s">
        <v>1496</v>
      </c>
      <c r="F1051" s="78" t="s">
        <v>2276</v>
      </c>
      <c r="G1051" s="78" t="s">
        <v>1234</v>
      </c>
      <c r="H1051" s="78" t="s">
        <v>1233</v>
      </c>
      <c r="I1051" s="78"/>
      <c r="J1051" s="230"/>
    </row>
    <row r="1052" spans="1:10" ht="15" thickBot="1" x14ac:dyDescent="0.35">
      <c r="A1052" s="81"/>
      <c r="B1052" s="83"/>
      <c r="C1052" s="96"/>
      <c r="D1052" s="83"/>
      <c r="E1052" s="82" t="s">
        <v>1499</v>
      </c>
      <c r="F1052" s="82" t="s">
        <v>2276</v>
      </c>
      <c r="G1052" s="82" t="s">
        <v>652</v>
      </c>
      <c r="H1052" s="82" t="s">
        <v>651</v>
      </c>
      <c r="I1052" s="82">
        <v>85</v>
      </c>
      <c r="J1052" s="231">
        <v>3</v>
      </c>
    </row>
    <row r="1053" spans="1:10" x14ac:dyDescent="0.3">
      <c r="A1053" s="72" t="s">
        <v>1881</v>
      </c>
      <c r="B1053" s="73" t="s">
        <v>647</v>
      </c>
      <c r="C1053" s="95" t="s">
        <v>1480</v>
      </c>
      <c r="D1053" s="73" t="s">
        <v>1887</v>
      </c>
      <c r="E1053" s="74" t="s">
        <v>1479</v>
      </c>
      <c r="F1053" s="74" t="s">
        <v>1485</v>
      </c>
      <c r="G1053" s="74" t="s">
        <v>2275</v>
      </c>
      <c r="H1053" s="74"/>
      <c r="I1053" s="74"/>
      <c r="J1053" s="231"/>
    </row>
    <row r="1054" spans="1:10" x14ac:dyDescent="0.3">
      <c r="A1054" s="76"/>
      <c r="B1054" s="77"/>
      <c r="C1054" s="93"/>
      <c r="D1054" s="77"/>
      <c r="E1054" s="78" t="s">
        <v>1489</v>
      </c>
      <c r="F1054" s="78" t="s">
        <v>2276</v>
      </c>
      <c r="G1054" s="78" t="s">
        <v>806</v>
      </c>
      <c r="H1054" s="78" t="s">
        <v>805</v>
      </c>
      <c r="I1054" s="78">
        <v>113</v>
      </c>
      <c r="J1054" s="231"/>
    </row>
    <row r="1055" spans="1:10" ht="15" thickBot="1" x14ac:dyDescent="0.35">
      <c r="A1055" s="76"/>
      <c r="B1055" s="77"/>
      <c r="C1055" s="93"/>
      <c r="D1055" s="77"/>
      <c r="E1055" s="78" t="s">
        <v>1493</v>
      </c>
      <c r="F1055" s="78" t="s">
        <v>2276</v>
      </c>
      <c r="G1055" s="78" t="s">
        <v>645</v>
      </c>
      <c r="H1055" s="78" t="s">
        <v>644</v>
      </c>
      <c r="I1055" s="78">
        <v>84</v>
      </c>
      <c r="J1055" s="232"/>
    </row>
    <row r="1056" spans="1:10" x14ac:dyDescent="0.3">
      <c r="A1056" s="76"/>
      <c r="B1056" s="77"/>
      <c r="C1056" s="93"/>
      <c r="D1056" s="77"/>
      <c r="E1056" s="78" t="s">
        <v>1496</v>
      </c>
      <c r="F1056" s="78" t="s">
        <v>2276</v>
      </c>
      <c r="G1056" s="78" t="s">
        <v>1066</v>
      </c>
      <c r="H1056" s="78" t="s">
        <v>1065</v>
      </c>
      <c r="I1056" s="78">
        <v>162</v>
      </c>
      <c r="J1056" s="230"/>
    </row>
    <row r="1057" spans="1:10" ht="15" thickBot="1" x14ac:dyDescent="0.35">
      <c r="A1057" s="81"/>
      <c r="B1057" s="83"/>
      <c r="C1057" s="96"/>
      <c r="D1057" s="83"/>
      <c r="E1057" s="82" t="s">
        <v>1499</v>
      </c>
      <c r="F1057" s="82" t="s">
        <v>2276</v>
      </c>
      <c r="G1057" s="82" t="s">
        <v>1230</v>
      </c>
      <c r="H1057" s="82" t="s">
        <v>1229</v>
      </c>
      <c r="I1057" s="82"/>
      <c r="J1057" s="231">
        <v>42</v>
      </c>
    </row>
    <row r="1058" spans="1:10" x14ac:dyDescent="0.3">
      <c r="A1058" s="72" t="s">
        <v>1864</v>
      </c>
      <c r="B1058" s="73" t="s">
        <v>306</v>
      </c>
      <c r="C1058" s="95" t="s">
        <v>1480</v>
      </c>
      <c r="D1058" s="73" t="s">
        <v>1863</v>
      </c>
      <c r="E1058" s="74" t="s">
        <v>1479</v>
      </c>
      <c r="F1058" s="74" t="s">
        <v>1485</v>
      </c>
      <c r="G1058" s="74" t="s">
        <v>2275</v>
      </c>
      <c r="H1058" s="74"/>
      <c r="I1058" s="74"/>
      <c r="J1058" s="231">
        <v>83</v>
      </c>
    </row>
    <row r="1059" spans="1:10" x14ac:dyDescent="0.3">
      <c r="A1059" s="76"/>
      <c r="B1059" s="77"/>
      <c r="C1059" s="93"/>
      <c r="D1059" s="77"/>
      <c r="E1059" s="78" t="s">
        <v>1489</v>
      </c>
      <c r="F1059" s="78" t="s">
        <v>2276</v>
      </c>
      <c r="G1059" s="78" t="s">
        <v>830</v>
      </c>
      <c r="H1059" s="78" t="s">
        <v>829</v>
      </c>
      <c r="I1059" s="78">
        <v>117</v>
      </c>
      <c r="J1059" s="231"/>
    </row>
    <row r="1060" spans="1:10" ht="15" thickBot="1" x14ac:dyDescent="0.35">
      <c r="A1060" s="76"/>
      <c r="B1060" s="77"/>
      <c r="C1060" s="93"/>
      <c r="D1060" s="77"/>
      <c r="E1060" s="78" t="s">
        <v>1493</v>
      </c>
      <c r="F1060" s="78" t="s">
        <v>2276</v>
      </c>
      <c r="G1060" s="78" t="s">
        <v>295</v>
      </c>
      <c r="H1060" s="78" t="s">
        <v>294</v>
      </c>
      <c r="I1060" s="78">
        <v>35</v>
      </c>
      <c r="J1060" s="232"/>
    </row>
    <row r="1061" spans="1:10" ht="15" thickBot="1" x14ac:dyDescent="0.35">
      <c r="A1061" s="81"/>
      <c r="B1061" s="83"/>
      <c r="C1061" s="96"/>
      <c r="D1061" s="83"/>
      <c r="E1061" s="82" t="s">
        <v>1496</v>
      </c>
      <c r="F1061" s="82" t="s">
        <v>2276</v>
      </c>
      <c r="G1061" s="82" t="s">
        <v>1242</v>
      </c>
      <c r="H1061" s="82" t="s">
        <v>1241</v>
      </c>
      <c r="I1061" s="82"/>
      <c r="J1061" s="230"/>
    </row>
    <row r="1062" spans="1:10" x14ac:dyDescent="0.3">
      <c r="A1062" s="72" t="s">
        <v>1864</v>
      </c>
      <c r="B1062" s="73" t="s">
        <v>291</v>
      </c>
      <c r="C1062" s="95" t="s">
        <v>1480</v>
      </c>
      <c r="D1062" s="73" t="s">
        <v>1874</v>
      </c>
      <c r="E1062" s="74" t="s">
        <v>1479</v>
      </c>
      <c r="F1062" s="74" t="s">
        <v>1485</v>
      </c>
      <c r="G1062" s="74" t="s">
        <v>2275</v>
      </c>
      <c r="H1062" s="74"/>
      <c r="I1062" s="74"/>
      <c r="J1062" s="231">
        <v>82</v>
      </c>
    </row>
    <row r="1063" spans="1:10" x14ac:dyDescent="0.3">
      <c r="A1063" s="76"/>
      <c r="B1063" s="77"/>
      <c r="C1063" s="93"/>
      <c r="D1063" s="77"/>
      <c r="E1063" s="78" t="s">
        <v>1489</v>
      </c>
      <c r="F1063" s="78" t="s">
        <v>2276</v>
      </c>
      <c r="G1063" s="78" t="s">
        <v>824</v>
      </c>
      <c r="H1063" s="78" t="s">
        <v>823</v>
      </c>
      <c r="I1063" s="78">
        <v>116</v>
      </c>
      <c r="J1063" s="231">
        <v>41</v>
      </c>
    </row>
    <row r="1064" spans="1:10" x14ac:dyDescent="0.3">
      <c r="A1064" s="76"/>
      <c r="B1064" s="77"/>
      <c r="C1064" s="93"/>
      <c r="D1064" s="77"/>
      <c r="E1064" s="78" t="s">
        <v>1493</v>
      </c>
      <c r="F1064" s="78" t="s">
        <v>2276</v>
      </c>
      <c r="G1064" s="78" t="s">
        <v>286</v>
      </c>
      <c r="H1064" s="78" t="s">
        <v>285</v>
      </c>
      <c r="I1064" s="78">
        <v>34</v>
      </c>
      <c r="J1064" s="231"/>
    </row>
    <row r="1065" spans="1:10" ht="15" thickBot="1" x14ac:dyDescent="0.35">
      <c r="A1065" s="81"/>
      <c r="B1065" s="83"/>
      <c r="C1065" s="96"/>
      <c r="D1065" s="83"/>
      <c r="E1065" s="82" t="s">
        <v>1496</v>
      </c>
      <c r="F1065" s="82" t="s">
        <v>2276</v>
      </c>
      <c r="G1065" s="82" t="s">
        <v>1238</v>
      </c>
      <c r="H1065" s="82" t="s">
        <v>1237</v>
      </c>
      <c r="I1065" s="82"/>
      <c r="J1065" s="232"/>
    </row>
    <row r="1066" spans="1:10" x14ac:dyDescent="0.3">
      <c r="A1066" s="72" t="s">
        <v>1800</v>
      </c>
      <c r="B1066" s="73" t="s">
        <v>611</v>
      </c>
      <c r="C1066" s="95" t="s">
        <v>1480</v>
      </c>
      <c r="D1066" s="73" t="s">
        <v>1799</v>
      </c>
      <c r="E1066" s="74" t="s">
        <v>1479</v>
      </c>
      <c r="F1066" s="74" t="s">
        <v>1485</v>
      </c>
      <c r="G1066" s="74" t="s">
        <v>2275</v>
      </c>
      <c r="H1066" s="74"/>
      <c r="I1066" s="74"/>
      <c r="J1066" s="230"/>
    </row>
    <row r="1067" spans="1:10" x14ac:dyDescent="0.3">
      <c r="A1067" s="76"/>
      <c r="B1067" s="77"/>
      <c r="C1067" s="93"/>
      <c r="D1067" s="77"/>
      <c r="E1067" s="78" t="s">
        <v>1489</v>
      </c>
      <c r="F1067" s="78" t="s">
        <v>2276</v>
      </c>
      <c r="G1067" s="78" t="s">
        <v>904</v>
      </c>
      <c r="H1067" s="78" t="s">
        <v>903</v>
      </c>
      <c r="I1067" s="78">
        <v>130</v>
      </c>
      <c r="J1067" s="231">
        <v>66</v>
      </c>
    </row>
    <row r="1068" spans="1:10" x14ac:dyDescent="0.3">
      <c r="A1068" s="76"/>
      <c r="B1068" s="77"/>
      <c r="C1068" s="93"/>
      <c r="D1068" s="77"/>
      <c r="E1068" s="78" t="s">
        <v>1493</v>
      </c>
      <c r="F1068" s="78" t="s">
        <v>2276</v>
      </c>
      <c r="G1068" s="78" t="s">
        <v>604</v>
      </c>
      <c r="H1068" s="78" t="s">
        <v>603</v>
      </c>
      <c r="I1068" s="78">
        <v>79</v>
      </c>
      <c r="J1068" s="231">
        <v>94</v>
      </c>
    </row>
    <row r="1069" spans="1:10" ht="15" thickBot="1" x14ac:dyDescent="0.35">
      <c r="A1069" s="81"/>
      <c r="B1069" s="83"/>
      <c r="C1069" s="96"/>
      <c r="D1069" s="83"/>
      <c r="E1069" s="82" t="s">
        <v>1496</v>
      </c>
      <c r="F1069" s="82" t="s">
        <v>2276</v>
      </c>
      <c r="G1069" s="82" t="s">
        <v>1254</v>
      </c>
      <c r="H1069" s="82" t="s">
        <v>1253</v>
      </c>
      <c r="I1069" s="82"/>
      <c r="J1069" s="231"/>
    </row>
    <row r="1070" spans="1:10" ht="15" thickBot="1" x14ac:dyDescent="0.35">
      <c r="A1070" s="72" t="s">
        <v>1800</v>
      </c>
      <c r="B1070" s="73" t="s">
        <v>579</v>
      </c>
      <c r="C1070" s="95" t="s">
        <v>1480</v>
      </c>
      <c r="D1070" s="73" t="s">
        <v>1810</v>
      </c>
      <c r="E1070" s="74" t="s">
        <v>1479</v>
      </c>
      <c r="F1070" s="74" t="s">
        <v>1485</v>
      </c>
      <c r="G1070" s="74" t="s">
        <v>2275</v>
      </c>
      <c r="H1070" s="74"/>
      <c r="I1070" s="74"/>
      <c r="J1070" s="232"/>
    </row>
    <row r="1071" spans="1:10" x14ac:dyDescent="0.3">
      <c r="A1071" s="76"/>
      <c r="B1071" s="77"/>
      <c r="C1071" s="93"/>
      <c r="D1071" s="77"/>
      <c r="E1071" s="78" t="s">
        <v>1489</v>
      </c>
      <c r="F1071" s="78" t="s">
        <v>2276</v>
      </c>
      <c r="G1071" s="78" t="s">
        <v>577</v>
      </c>
      <c r="H1071" s="78" t="s">
        <v>576</v>
      </c>
      <c r="I1071" s="78">
        <v>74</v>
      </c>
      <c r="J1071" s="230"/>
    </row>
    <row r="1072" spans="1:10" x14ac:dyDescent="0.3">
      <c r="A1072" s="76"/>
      <c r="B1072" s="77"/>
      <c r="C1072" s="93"/>
      <c r="D1072" s="77"/>
      <c r="E1072" s="78" t="s">
        <v>1493</v>
      </c>
      <c r="F1072" s="78" t="s">
        <v>2276</v>
      </c>
      <c r="G1072" s="78" t="s">
        <v>898</v>
      </c>
      <c r="H1072" s="78" t="s">
        <v>897</v>
      </c>
      <c r="I1072" s="78">
        <v>129</v>
      </c>
      <c r="J1072" s="231">
        <v>65</v>
      </c>
    </row>
    <row r="1073" spans="1:10" ht="15" thickBot="1" x14ac:dyDescent="0.35">
      <c r="A1073" s="81"/>
      <c r="B1073" s="83"/>
      <c r="C1073" s="96"/>
      <c r="D1073" s="83"/>
      <c r="E1073" s="82" t="s">
        <v>1496</v>
      </c>
      <c r="F1073" s="82" t="s">
        <v>2276</v>
      </c>
      <c r="G1073" s="82" t="s">
        <v>1250</v>
      </c>
      <c r="H1073" s="82" t="s">
        <v>1249</v>
      </c>
      <c r="I1073" s="82"/>
      <c r="J1073" s="231"/>
    </row>
    <row r="1074" spans="1:10" x14ac:dyDescent="0.3">
      <c r="A1074" s="72" t="s">
        <v>1963</v>
      </c>
      <c r="B1074" s="73" t="s">
        <v>455</v>
      </c>
      <c r="C1074" s="95" t="s">
        <v>1480</v>
      </c>
      <c r="D1074" s="73" t="s">
        <v>2106</v>
      </c>
      <c r="E1074" s="74" t="s">
        <v>1479</v>
      </c>
      <c r="F1074" s="74" t="s">
        <v>1485</v>
      </c>
      <c r="G1074" s="74" t="s">
        <v>2275</v>
      </c>
      <c r="H1074" s="74"/>
      <c r="I1074" s="74"/>
      <c r="J1074" s="231">
        <v>93</v>
      </c>
    </row>
    <row r="1075" spans="1:10" ht="15" thickBot="1" x14ac:dyDescent="0.35">
      <c r="A1075" s="81"/>
      <c r="B1075" s="83"/>
      <c r="C1075" s="96"/>
      <c r="D1075" s="83"/>
      <c r="E1075" s="82" t="s">
        <v>1489</v>
      </c>
      <c r="F1075" s="82" t="s">
        <v>2276</v>
      </c>
      <c r="G1075" s="82" t="s">
        <v>452</v>
      </c>
      <c r="H1075" s="82" t="s">
        <v>451</v>
      </c>
      <c r="I1075" s="82">
        <v>55</v>
      </c>
      <c r="J1075" s="232"/>
    </row>
    <row r="1076" spans="1:10" x14ac:dyDescent="0.3">
      <c r="A1076" s="72" t="s">
        <v>1963</v>
      </c>
      <c r="B1076" s="73" t="s">
        <v>424</v>
      </c>
      <c r="C1076" s="95" t="s">
        <v>1480</v>
      </c>
      <c r="D1076" s="73" t="s">
        <v>2098</v>
      </c>
      <c r="E1076" s="74" t="s">
        <v>1479</v>
      </c>
      <c r="F1076" s="74" t="s">
        <v>1485</v>
      </c>
      <c r="G1076" s="74" t="s">
        <v>2275</v>
      </c>
      <c r="H1076" s="74"/>
      <c r="I1076" s="74"/>
      <c r="J1076" s="230"/>
    </row>
    <row r="1077" spans="1:10" ht="15" thickBot="1" x14ac:dyDescent="0.35">
      <c r="A1077" s="81"/>
      <c r="B1077" s="83"/>
      <c r="C1077" s="96"/>
      <c r="D1077" s="83"/>
      <c r="E1077" s="82" t="s">
        <v>1489</v>
      </c>
      <c r="F1077" s="82" t="s">
        <v>2276</v>
      </c>
      <c r="G1077" s="82" t="s">
        <v>419</v>
      </c>
      <c r="H1077" s="82" t="s">
        <v>418</v>
      </c>
      <c r="I1077" s="82">
        <v>51</v>
      </c>
      <c r="J1077" s="231">
        <v>68</v>
      </c>
    </row>
    <row r="1078" spans="1:10" x14ac:dyDescent="0.3">
      <c r="A1078" s="72" t="s">
        <v>1963</v>
      </c>
      <c r="B1078" s="73" t="s">
        <v>447</v>
      </c>
      <c r="C1078" s="95" t="s">
        <v>1480</v>
      </c>
      <c r="D1078" s="73" t="s">
        <v>2110</v>
      </c>
      <c r="E1078" s="74" t="s">
        <v>1479</v>
      </c>
      <c r="F1078" s="74" t="s">
        <v>1485</v>
      </c>
      <c r="G1078" s="74" t="s">
        <v>2275</v>
      </c>
      <c r="H1078" s="74"/>
      <c r="I1078" s="74"/>
      <c r="J1078" s="231">
        <v>22</v>
      </c>
    </row>
    <row r="1079" spans="1:10" ht="15" thickBot="1" x14ac:dyDescent="0.35">
      <c r="A1079" s="81"/>
      <c r="B1079" s="83"/>
      <c r="C1079" s="96"/>
      <c r="D1079" s="83"/>
      <c r="E1079" s="82" t="s">
        <v>1489</v>
      </c>
      <c r="F1079" s="82" t="s">
        <v>2276</v>
      </c>
      <c r="G1079" s="82" t="s">
        <v>444</v>
      </c>
      <c r="H1079" s="82" t="s">
        <v>443</v>
      </c>
      <c r="I1079" s="82">
        <v>54</v>
      </c>
      <c r="J1079" s="232"/>
    </row>
    <row r="1080" spans="1:10" x14ac:dyDescent="0.3">
      <c r="A1080" s="72" t="s">
        <v>1963</v>
      </c>
      <c r="B1080" s="73" t="s">
        <v>414</v>
      </c>
      <c r="C1080" s="95" t="s">
        <v>1480</v>
      </c>
      <c r="D1080" s="73" t="s">
        <v>1966</v>
      </c>
      <c r="E1080" s="74" t="s">
        <v>1479</v>
      </c>
      <c r="F1080" s="74" t="s">
        <v>1485</v>
      </c>
      <c r="G1080" s="74" t="s">
        <v>2275</v>
      </c>
      <c r="H1080" s="74"/>
      <c r="I1080" s="74"/>
      <c r="J1080" s="230"/>
    </row>
    <row r="1081" spans="1:10" ht="15" thickBot="1" x14ac:dyDescent="0.35">
      <c r="A1081" s="81"/>
      <c r="B1081" s="83"/>
      <c r="C1081" s="96"/>
      <c r="D1081" s="83"/>
      <c r="E1081" s="82" t="s">
        <v>1489</v>
      </c>
      <c r="F1081" s="82" t="s">
        <v>2276</v>
      </c>
      <c r="G1081" s="82" t="s">
        <v>409</v>
      </c>
      <c r="H1081" s="82" t="s">
        <v>408</v>
      </c>
      <c r="I1081" s="82">
        <v>50</v>
      </c>
      <c r="J1081" s="231">
        <v>67</v>
      </c>
    </row>
    <row r="1082" spans="1:10" x14ac:dyDescent="0.3">
      <c r="A1082" s="72" t="s">
        <v>1963</v>
      </c>
      <c r="B1082" s="73" t="s">
        <v>462</v>
      </c>
      <c r="C1082" s="95" t="s">
        <v>1480</v>
      </c>
      <c r="D1082" s="73" t="s">
        <v>2103</v>
      </c>
      <c r="E1082" s="74" t="s">
        <v>1479</v>
      </c>
      <c r="F1082" s="74" t="s">
        <v>1485</v>
      </c>
      <c r="G1082" s="74" t="s">
        <v>2275</v>
      </c>
      <c r="H1082" s="74"/>
      <c r="I1082" s="74"/>
      <c r="J1082" s="231">
        <v>21</v>
      </c>
    </row>
    <row r="1083" spans="1:10" ht="15" thickBot="1" x14ac:dyDescent="0.35">
      <c r="A1083" s="81"/>
      <c r="B1083" s="83"/>
      <c r="C1083" s="96"/>
      <c r="D1083" s="83"/>
      <c r="E1083" s="82" t="s">
        <v>1489</v>
      </c>
      <c r="F1083" s="82" t="s">
        <v>2276</v>
      </c>
      <c r="G1083" s="82" t="s">
        <v>459</v>
      </c>
      <c r="H1083" s="82" t="s">
        <v>458</v>
      </c>
      <c r="I1083" s="82">
        <v>56</v>
      </c>
      <c r="J1083" s="232"/>
    </row>
    <row r="1084" spans="1:10" x14ac:dyDescent="0.3">
      <c r="A1084" s="72" t="s">
        <v>1792</v>
      </c>
      <c r="B1084" s="73" t="s">
        <v>640</v>
      </c>
      <c r="C1084" s="95" t="s">
        <v>1480</v>
      </c>
      <c r="D1084" s="73" t="s">
        <v>2017</v>
      </c>
      <c r="E1084" s="74" t="s">
        <v>1479</v>
      </c>
      <c r="F1084" s="74" t="s">
        <v>1485</v>
      </c>
      <c r="G1084" s="74" t="s">
        <v>2275</v>
      </c>
      <c r="H1084" s="74"/>
      <c r="I1084" s="74"/>
      <c r="J1084" s="230"/>
    </row>
    <row r="1085" spans="1:10" ht="15" thickBot="1" x14ac:dyDescent="0.35">
      <c r="A1085" s="81"/>
      <c r="B1085" s="83"/>
      <c r="C1085" s="96"/>
      <c r="D1085" s="83"/>
      <c r="E1085" s="82" t="s">
        <v>1489</v>
      </c>
      <c r="F1085" s="82" t="s">
        <v>2276</v>
      </c>
      <c r="G1085" s="82" t="s">
        <v>636</v>
      </c>
      <c r="H1085" s="82" t="s">
        <v>635</v>
      </c>
      <c r="I1085" s="82">
        <v>83</v>
      </c>
      <c r="J1085" s="231">
        <v>76</v>
      </c>
    </row>
    <row r="1086" spans="1:10" x14ac:dyDescent="0.3">
      <c r="A1086" s="72" t="s">
        <v>1792</v>
      </c>
      <c r="B1086" s="73" t="s">
        <v>608</v>
      </c>
      <c r="C1086" s="95" t="s">
        <v>1480</v>
      </c>
      <c r="D1086" s="73" t="s">
        <v>1802</v>
      </c>
      <c r="E1086" s="74" t="s">
        <v>1479</v>
      </c>
      <c r="F1086" s="74" t="s">
        <v>1485</v>
      </c>
      <c r="G1086" s="74" t="s">
        <v>2275</v>
      </c>
      <c r="H1086" s="74"/>
      <c r="I1086" s="74"/>
      <c r="J1086" s="231">
        <v>48</v>
      </c>
    </row>
    <row r="1087" spans="1:10" ht="15" thickBot="1" x14ac:dyDescent="0.35">
      <c r="A1087" s="81"/>
      <c r="B1087" s="83"/>
      <c r="C1087" s="96"/>
      <c r="D1087" s="83"/>
      <c r="E1087" s="82" t="s">
        <v>1489</v>
      </c>
      <c r="F1087" s="82" t="s">
        <v>2276</v>
      </c>
      <c r="G1087" s="82" t="s">
        <v>604</v>
      </c>
      <c r="H1087" s="82" t="s">
        <v>603</v>
      </c>
      <c r="I1087" s="82">
        <v>79</v>
      </c>
      <c r="J1087" s="232"/>
    </row>
    <row r="1088" spans="1:10" x14ac:dyDescent="0.3">
      <c r="A1088" s="72" t="s">
        <v>1792</v>
      </c>
      <c r="B1088" s="73" t="s">
        <v>618</v>
      </c>
      <c r="C1088" s="95" t="s">
        <v>1480</v>
      </c>
      <c r="D1088" s="73" t="s">
        <v>1943</v>
      </c>
      <c r="E1088" s="74" t="s">
        <v>1479</v>
      </c>
      <c r="F1088" s="74" t="s">
        <v>1485</v>
      </c>
      <c r="G1088" s="74" t="s">
        <v>2275</v>
      </c>
      <c r="H1088" s="74"/>
      <c r="I1088" s="74"/>
      <c r="J1088" s="230"/>
    </row>
    <row r="1089" spans="1:10" ht="15" thickBot="1" x14ac:dyDescent="0.35">
      <c r="A1089" s="81"/>
      <c r="B1089" s="83"/>
      <c r="C1089" s="96"/>
      <c r="D1089" s="83"/>
      <c r="E1089" s="82" t="s">
        <v>1489</v>
      </c>
      <c r="F1089" s="82" t="s">
        <v>2276</v>
      </c>
      <c r="G1089" s="82" t="s">
        <v>615</v>
      </c>
      <c r="H1089" s="82" t="s">
        <v>614</v>
      </c>
      <c r="I1089" s="82">
        <v>80</v>
      </c>
      <c r="J1089" s="231">
        <v>47</v>
      </c>
    </row>
    <row r="1090" spans="1:10" x14ac:dyDescent="0.3">
      <c r="A1090" s="72" t="s">
        <v>1792</v>
      </c>
      <c r="B1090" s="73" t="s">
        <v>632</v>
      </c>
      <c r="C1090" s="95" t="s">
        <v>1480</v>
      </c>
      <c r="D1090" s="73" t="s">
        <v>2042</v>
      </c>
      <c r="E1090" s="74" t="s">
        <v>1479</v>
      </c>
      <c r="F1090" s="74" t="s">
        <v>1485</v>
      </c>
      <c r="G1090" s="74" t="s">
        <v>2275</v>
      </c>
      <c r="H1090" s="74"/>
      <c r="I1090" s="74"/>
      <c r="J1090" s="231">
        <v>75</v>
      </c>
    </row>
    <row r="1091" spans="1:10" ht="15" thickBot="1" x14ac:dyDescent="0.35">
      <c r="A1091" s="81"/>
      <c r="B1091" s="83"/>
      <c r="C1091" s="96"/>
      <c r="D1091" s="83"/>
      <c r="E1091" s="82" t="s">
        <v>1489</v>
      </c>
      <c r="F1091" s="82" t="s">
        <v>2276</v>
      </c>
      <c r="G1091" s="82" t="s">
        <v>629</v>
      </c>
      <c r="H1091" s="82" t="s">
        <v>628</v>
      </c>
      <c r="I1091" s="82">
        <v>82</v>
      </c>
      <c r="J1091" s="232"/>
    </row>
    <row r="1092" spans="1:10" x14ac:dyDescent="0.3">
      <c r="A1092" s="72" t="s">
        <v>1792</v>
      </c>
      <c r="B1092" s="73" t="s">
        <v>649</v>
      </c>
      <c r="C1092" s="95" t="s">
        <v>1480</v>
      </c>
      <c r="D1092" s="73" t="s">
        <v>2044</v>
      </c>
      <c r="E1092" s="74" t="s">
        <v>1479</v>
      </c>
      <c r="F1092" s="74" t="s">
        <v>1485</v>
      </c>
      <c r="G1092" s="74" t="s">
        <v>2275</v>
      </c>
      <c r="H1092" s="74"/>
      <c r="I1092" s="74"/>
      <c r="J1092" s="230"/>
    </row>
    <row r="1093" spans="1:10" ht="15" thickBot="1" x14ac:dyDescent="0.35">
      <c r="A1093" s="81"/>
      <c r="B1093" s="83"/>
      <c r="C1093" s="96"/>
      <c r="D1093" s="83"/>
      <c r="E1093" s="82" t="s">
        <v>1489</v>
      </c>
      <c r="F1093" s="82" t="s">
        <v>2276</v>
      </c>
      <c r="G1093" s="82" t="s">
        <v>645</v>
      </c>
      <c r="H1093" s="82" t="s">
        <v>644</v>
      </c>
      <c r="I1093" s="82">
        <v>84</v>
      </c>
      <c r="J1093" s="232">
        <v>35</v>
      </c>
    </row>
    <row r="1094" spans="1:10" x14ac:dyDescent="0.3">
      <c r="A1094" s="72" t="s">
        <v>1792</v>
      </c>
      <c r="B1094" s="73" t="s">
        <v>585</v>
      </c>
      <c r="C1094" s="95" t="s">
        <v>1480</v>
      </c>
      <c r="D1094" s="73" t="s">
        <v>1807</v>
      </c>
      <c r="E1094" s="74" t="s">
        <v>1479</v>
      </c>
      <c r="F1094" s="74" t="s">
        <v>1485</v>
      </c>
      <c r="G1094" s="74" t="s">
        <v>2275</v>
      </c>
      <c r="H1094" s="74"/>
      <c r="I1094" s="74"/>
      <c r="J1094" s="230"/>
    </row>
    <row r="1095" spans="1:10" ht="15" thickBot="1" x14ac:dyDescent="0.35">
      <c r="A1095" s="81"/>
      <c r="B1095" s="83"/>
      <c r="C1095" s="96"/>
      <c r="D1095" s="83"/>
      <c r="E1095" s="82" t="s">
        <v>1489</v>
      </c>
      <c r="F1095" s="82" t="s">
        <v>2276</v>
      </c>
      <c r="G1095" s="82" t="s">
        <v>577</v>
      </c>
      <c r="H1095" s="82" t="s">
        <v>576</v>
      </c>
      <c r="I1095" s="82">
        <v>74</v>
      </c>
      <c r="J1095" s="232">
        <v>31</v>
      </c>
    </row>
    <row r="1096" spans="1:10" x14ac:dyDescent="0.3">
      <c r="A1096" s="72" t="s">
        <v>1792</v>
      </c>
      <c r="B1096" s="73" t="s">
        <v>625</v>
      </c>
      <c r="C1096" s="95" t="s">
        <v>1480</v>
      </c>
      <c r="D1096" s="73" t="s">
        <v>2022</v>
      </c>
      <c r="E1096" s="74" t="s">
        <v>1479</v>
      </c>
      <c r="F1096" s="74" t="s">
        <v>1485</v>
      </c>
      <c r="G1096" s="74" t="s">
        <v>2275</v>
      </c>
      <c r="H1096" s="74"/>
      <c r="I1096" s="74"/>
      <c r="J1096" s="230"/>
    </row>
    <row r="1097" spans="1:10" ht="15" thickBot="1" x14ac:dyDescent="0.35">
      <c r="A1097" s="81"/>
      <c r="B1097" s="83"/>
      <c r="C1097" s="96"/>
      <c r="D1097" s="83"/>
      <c r="E1097" s="82" t="s">
        <v>1489</v>
      </c>
      <c r="F1097" s="82" t="s">
        <v>2276</v>
      </c>
      <c r="G1097" s="82" t="s">
        <v>621</v>
      </c>
      <c r="H1097" s="82" t="s">
        <v>620</v>
      </c>
      <c r="I1097" s="82">
        <v>81</v>
      </c>
      <c r="J1097" s="232">
        <v>34</v>
      </c>
    </row>
    <row r="1098" spans="1:10" x14ac:dyDescent="0.3">
      <c r="A1098" s="72" t="s">
        <v>2112</v>
      </c>
      <c r="B1098" s="73" t="s">
        <v>384</v>
      </c>
      <c r="C1098" s="95" t="s">
        <v>1480</v>
      </c>
      <c r="D1098" s="73" t="s">
        <v>2165</v>
      </c>
      <c r="E1098" s="74" t="s">
        <v>1479</v>
      </c>
      <c r="F1098" s="74" t="s">
        <v>1485</v>
      </c>
      <c r="G1098" s="74" t="s">
        <v>2275</v>
      </c>
      <c r="H1098" s="74"/>
      <c r="I1098" s="74"/>
      <c r="J1098" s="230"/>
    </row>
    <row r="1099" spans="1:10" ht="15" thickBot="1" x14ac:dyDescent="0.35">
      <c r="A1099" s="81"/>
      <c r="B1099" s="83"/>
      <c r="C1099" s="96"/>
      <c r="D1099" s="83"/>
      <c r="E1099" s="82" t="s">
        <v>1489</v>
      </c>
      <c r="F1099" s="82" t="s">
        <v>2276</v>
      </c>
      <c r="G1099" s="82" t="s">
        <v>378</v>
      </c>
      <c r="H1099" s="82" t="s">
        <v>377</v>
      </c>
      <c r="I1099" s="82">
        <v>46</v>
      </c>
      <c r="J1099" s="232">
        <v>30</v>
      </c>
    </row>
    <row r="1100" spans="1:10" x14ac:dyDescent="0.3">
      <c r="A1100" s="72" t="s">
        <v>2112</v>
      </c>
      <c r="B1100" s="73" t="s">
        <v>342</v>
      </c>
      <c r="C1100" s="95" t="s">
        <v>1480</v>
      </c>
      <c r="D1100" s="73" t="s">
        <v>2114</v>
      </c>
      <c r="E1100" s="74" t="s">
        <v>1479</v>
      </c>
      <c r="F1100" s="74" t="s">
        <v>1485</v>
      </c>
      <c r="G1100" s="74" t="s">
        <v>2275</v>
      </c>
      <c r="H1100" s="74"/>
      <c r="I1100" s="74"/>
      <c r="J1100" s="230"/>
    </row>
    <row r="1101" spans="1:10" ht="15" thickBot="1" x14ac:dyDescent="0.35">
      <c r="A1101" s="81"/>
      <c r="B1101" s="83"/>
      <c r="C1101" s="96"/>
      <c r="D1101" s="83"/>
      <c r="E1101" s="82" t="s">
        <v>1489</v>
      </c>
      <c r="F1101" s="82" t="s">
        <v>2276</v>
      </c>
      <c r="G1101" s="82" t="s">
        <v>338</v>
      </c>
      <c r="H1101" s="82" t="s">
        <v>337</v>
      </c>
      <c r="I1101" s="82">
        <v>41</v>
      </c>
      <c r="J1101" s="232">
        <v>36</v>
      </c>
    </row>
    <row r="1102" spans="1:10" x14ac:dyDescent="0.3">
      <c r="A1102" s="72" t="s">
        <v>2112</v>
      </c>
      <c r="B1102" s="73" t="s">
        <v>335</v>
      </c>
      <c r="C1102" s="95" t="s">
        <v>1480</v>
      </c>
      <c r="D1102" s="73" t="s">
        <v>2117</v>
      </c>
      <c r="E1102" s="74" t="s">
        <v>1479</v>
      </c>
      <c r="F1102" s="74" t="s">
        <v>1485</v>
      </c>
      <c r="G1102" s="74" t="s">
        <v>2275</v>
      </c>
      <c r="H1102" s="74"/>
      <c r="I1102" s="74"/>
      <c r="J1102" s="230"/>
    </row>
    <row r="1103" spans="1:10" ht="15" thickBot="1" x14ac:dyDescent="0.35">
      <c r="A1103" s="81"/>
      <c r="B1103" s="83"/>
      <c r="C1103" s="96"/>
      <c r="D1103" s="83"/>
      <c r="E1103" s="82" t="s">
        <v>1489</v>
      </c>
      <c r="F1103" s="82" t="s">
        <v>2276</v>
      </c>
      <c r="G1103" s="82" t="s">
        <v>328</v>
      </c>
      <c r="H1103" s="82" t="s">
        <v>327</v>
      </c>
      <c r="I1103" s="82">
        <v>40</v>
      </c>
      <c r="J1103" s="232">
        <v>50</v>
      </c>
    </row>
    <row r="1104" spans="1:10" x14ac:dyDescent="0.3">
      <c r="A1104" s="72" t="s">
        <v>2112</v>
      </c>
      <c r="B1104" s="73" t="s">
        <v>300</v>
      </c>
      <c r="C1104" s="95" t="s">
        <v>1480</v>
      </c>
      <c r="D1104" s="73" t="s">
        <v>2119</v>
      </c>
      <c r="E1104" s="74" t="s">
        <v>1479</v>
      </c>
      <c r="F1104" s="74" t="s">
        <v>1485</v>
      </c>
      <c r="G1104" s="74" t="s">
        <v>2275</v>
      </c>
      <c r="H1104" s="74"/>
      <c r="I1104" s="74"/>
      <c r="J1104" s="230"/>
    </row>
    <row r="1105" spans="1:10" ht="15" thickBot="1" x14ac:dyDescent="0.35">
      <c r="A1105" s="81"/>
      <c r="B1105" s="83"/>
      <c r="C1105" s="96"/>
      <c r="D1105" s="83"/>
      <c r="E1105" s="82" t="s">
        <v>1489</v>
      </c>
      <c r="F1105" s="82" t="s">
        <v>2276</v>
      </c>
      <c r="G1105" s="82" t="s">
        <v>295</v>
      </c>
      <c r="H1105" s="82" t="s">
        <v>294</v>
      </c>
      <c r="I1105" s="82">
        <v>35</v>
      </c>
      <c r="J1105" s="232">
        <v>48</v>
      </c>
    </row>
    <row r="1106" spans="1:10" x14ac:dyDescent="0.3">
      <c r="A1106" s="72" t="s">
        <v>1480</v>
      </c>
      <c r="B1106" s="73" t="s">
        <v>31</v>
      </c>
      <c r="C1106" s="95" t="s">
        <v>1480</v>
      </c>
      <c r="D1106" s="73" t="s">
        <v>1517</v>
      </c>
      <c r="E1106" s="74" t="s">
        <v>1479</v>
      </c>
      <c r="F1106" s="74" t="s">
        <v>1485</v>
      </c>
      <c r="G1106" s="74" t="s">
        <v>2275</v>
      </c>
      <c r="H1106" s="74"/>
      <c r="I1106" s="74"/>
      <c r="J1106" s="230"/>
    </row>
    <row r="1107" spans="1:10" ht="15" thickBot="1" x14ac:dyDescent="0.35">
      <c r="A1107" s="76"/>
      <c r="B1107" s="77"/>
      <c r="C1107" s="93"/>
      <c r="D1107" s="77"/>
      <c r="E1107" s="78" t="s">
        <v>1489</v>
      </c>
      <c r="F1107" s="78" t="s">
        <v>2276</v>
      </c>
      <c r="G1107" s="78" t="s">
        <v>946</v>
      </c>
      <c r="H1107" s="78" t="s">
        <v>945</v>
      </c>
      <c r="I1107" s="78">
        <v>137</v>
      </c>
      <c r="J1107" s="232"/>
    </row>
    <row r="1108" spans="1:10" x14ac:dyDescent="0.3">
      <c r="A1108" s="76"/>
      <c r="B1108" s="77"/>
      <c r="C1108" s="93"/>
      <c r="D1108" s="77"/>
      <c r="E1108" s="78" t="s">
        <v>1493</v>
      </c>
      <c r="F1108" s="78" t="s">
        <v>2276</v>
      </c>
      <c r="G1108" s="78" t="s">
        <v>23</v>
      </c>
      <c r="H1108" s="78" t="s">
        <v>22</v>
      </c>
      <c r="I1108" s="78">
        <v>1</v>
      </c>
      <c r="J1108" s="230"/>
    </row>
    <row r="1109" spans="1:10" ht="15" thickBot="1" x14ac:dyDescent="0.35">
      <c r="A1109" s="76"/>
      <c r="B1109" s="77"/>
      <c r="C1109" s="93"/>
      <c r="D1109" s="77"/>
      <c r="E1109" s="78" t="s">
        <v>1496</v>
      </c>
      <c r="F1109" s="78" t="s">
        <v>2276</v>
      </c>
      <c r="G1109" s="78" t="s">
        <v>477</v>
      </c>
      <c r="H1109" s="78" t="s">
        <v>476</v>
      </c>
      <c r="I1109" s="78">
        <v>62</v>
      </c>
      <c r="J1109" s="232"/>
    </row>
    <row r="1110" spans="1:10" x14ac:dyDescent="0.3">
      <c r="A1110" s="76"/>
      <c r="B1110" s="77"/>
      <c r="C1110" s="93"/>
      <c r="D1110" s="77"/>
      <c r="E1110" s="78" t="s">
        <v>1499</v>
      </c>
      <c r="F1110" s="78" t="s">
        <v>2276</v>
      </c>
      <c r="G1110" s="78" t="s">
        <v>1071</v>
      </c>
      <c r="H1110" s="78" t="s">
        <v>1070</v>
      </c>
      <c r="I1110" s="78">
        <v>163</v>
      </c>
      <c r="J1110" s="230"/>
    </row>
    <row r="1111" spans="1:10" ht="15" thickBot="1" x14ac:dyDescent="0.35">
      <c r="A1111" s="81"/>
      <c r="B1111" s="83"/>
      <c r="C1111" s="96"/>
      <c r="D1111" s="83"/>
      <c r="E1111" s="82" t="s">
        <v>1502</v>
      </c>
      <c r="F1111" s="82" t="s">
        <v>2276</v>
      </c>
      <c r="G1111" s="82" t="s">
        <v>1158</v>
      </c>
      <c r="H1111" s="82" t="s">
        <v>1157</v>
      </c>
      <c r="I1111" s="82"/>
      <c r="J1111" s="232"/>
    </row>
    <row r="1112" spans="1:10" x14ac:dyDescent="0.3">
      <c r="A1112" s="72" t="s">
        <v>1480</v>
      </c>
      <c r="B1112" s="73" t="s">
        <v>133</v>
      </c>
      <c r="C1112" s="95" t="s">
        <v>1480</v>
      </c>
      <c r="D1112" s="73" t="s">
        <v>1796</v>
      </c>
      <c r="E1112" s="74" t="s">
        <v>1479</v>
      </c>
      <c r="F1112" s="74" t="s">
        <v>1485</v>
      </c>
      <c r="G1112" s="74" t="s">
        <v>2275</v>
      </c>
      <c r="H1112" s="74"/>
      <c r="I1112" s="74"/>
      <c r="J1112" s="230"/>
    </row>
    <row r="1113" spans="1:10" ht="15" thickBot="1" x14ac:dyDescent="0.35">
      <c r="A1113" s="76"/>
      <c r="B1113" s="77"/>
      <c r="C1113" s="93"/>
      <c r="D1113" s="77"/>
      <c r="E1113" s="78" t="s">
        <v>1489</v>
      </c>
      <c r="F1113" s="78" t="s">
        <v>2276</v>
      </c>
      <c r="G1113" s="78" t="s">
        <v>604</v>
      </c>
      <c r="H1113" s="78" t="s">
        <v>603</v>
      </c>
      <c r="I1113" s="78">
        <v>79</v>
      </c>
      <c r="J1113" s="232">
        <v>47</v>
      </c>
    </row>
    <row r="1114" spans="1:10" x14ac:dyDescent="0.3">
      <c r="A1114" s="76"/>
      <c r="B1114" s="77"/>
      <c r="C1114" s="93"/>
      <c r="D1114" s="77"/>
      <c r="E1114" s="78" t="s">
        <v>1493</v>
      </c>
      <c r="F1114" s="78" t="s">
        <v>2276</v>
      </c>
      <c r="G1114" s="78" t="s">
        <v>534</v>
      </c>
      <c r="H1114" s="78" t="s">
        <v>533</v>
      </c>
      <c r="I1114" s="78">
        <v>69</v>
      </c>
      <c r="J1114" s="230"/>
    </row>
    <row r="1115" spans="1:10" ht="15" thickBot="1" x14ac:dyDescent="0.35">
      <c r="A1115" s="76"/>
      <c r="B1115" s="77"/>
      <c r="C1115" s="93"/>
      <c r="D1115" s="77"/>
      <c r="E1115" s="78" t="s">
        <v>1496</v>
      </c>
      <c r="F1115" s="78" t="s">
        <v>2276</v>
      </c>
      <c r="G1115" s="78" t="s">
        <v>856</v>
      </c>
      <c r="H1115" s="78" t="s">
        <v>855</v>
      </c>
      <c r="I1115" s="78">
        <v>121</v>
      </c>
      <c r="J1115" s="232">
        <v>49</v>
      </c>
    </row>
    <row r="1116" spans="1:10" x14ac:dyDescent="0.3">
      <c r="A1116" s="76"/>
      <c r="B1116" s="77"/>
      <c r="C1116" s="93"/>
      <c r="D1116" s="77"/>
      <c r="E1116" s="78" t="s">
        <v>1499</v>
      </c>
      <c r="F1116" s="78" t="s">
        <v>2276</v>
      </c>
      <c r="G1116" s="78" t="s">
        <v>124</v>
      </c>
      <c r="H1116" s="78" t="s">
        <v>123</v>
      </c>
      <c r="I1116" s="78">
        <v>9</v>
      </c>
      <c r="J1116" s="230"/>
    </row>
    <row r="1117" spans="1:10" ht="15" thickBot="1" x14ac:dyDescent="0.35">
      <c r="A1117" s="81"/>
      <c r="B1117" s="83"/>
      <c r="C1117" s="96"/>
      <c r="D1117" s="83"/>
      <c r="E1117" s="82" t="s">
        <v>1502</v>
      </c>
      <c r="F1117" s="82" t="s">
        <v>2276</v>
      </c>
      <c r="G1117" s="82" t="s">
        <v>1295</v>
      </c>
      <c r="H1117" s="82" t="s">
        <v>1294</v>
      </c>
      <c r="I1117" s="82"/>
      <c r="J1117" s="232">
        <v>26</v>
      </c>
    </row>
    <row r="1118" spans="1:10" x14ac:dyDescent="0.3">
      <c r="A1118" s="72" t="s">
        <v>1480</v>
      </c>
      <c r="B1118" s="73" t="s">
        <v>247</v>
      </c>
      <c r="C1118" s="95" t="s">
        <v>1480</v>
      </c>
      <c r="D1118" s="73" t="s">
        <v>1805</v>
      </c>
      <c r="E1118" s="74" t="s">
        <v>1479</v>
      </c>
      <c r="F1118" s="74" t="s">
        <v>1485</v>
      </c>
      <c r="G1118" s="74" t="s">
        <v>2275</v>
      </c>
      <c r="H1118" s="74"/>
      <c r="I1118" s="74"/>
      <c r="J1118" s="230"/>
    </row>
    <row r="1119" spans="1:10" ht="15" thickBot="1" x14ac:dyDescent="0.35">
      <c r="A1119" s="76"/>
      <c r="B1119" s="77"/>
      <c r="C1119" s="93"/>
      <c r="D1119" s="77"/>
      <c r="E1119" s="78" t="s">
        <v>1489</v>
      </c>
      <c r="F1119" s="78" t="s">
        <v>2276</v>
      </c>
      <c r="G1119" s="78" t="s">
        <v>577</v>
      </c>
      <c r="H1119" s="78" t="s">
        <v>576</v>
      </c>
      <c r="I1119" s="78">
        <v>74</v>
      </c>
      <c r="J1119" s="232"/>
    </row>
    <row r="1120" spans="1:10" x14ac:dyDescent="0.3">
      <c r="A1120" s="76"/>
      <c r="B1120" s="77"/>
      <c r="C1120" s="93"/>
      <c r="D1120" s="77"/>
      <c r="E1120" s="78" t="s">
        <v>1493</v>
      </c>
      <c r="F1120" s="78" t="s">
        <v>2276</v>
      </c>
      <c r="G1120" s="78" t="s">
        <v>545</v>
      </c>
      <c r="H1120" s="78" t="s">
        <v>544</v>
      </c>
      <c r="I1120" s="78">
        <v>70</v>
      </c>
      <c r="J1120" s="230"/>
    </row>
    <row r="1121" spans="1:10" ht="15" thickBot="1" x14ac:dyDescent="0.35">
      <c r="A1121" s="76"/>
      <c r="B1121" s="77"/>
      <c r="C1121" s="93"/>
      <c r="D1121" s="77"/>
      <c r="E1121" s="78" t="s">
        <v>1496</v>
      </c>
      <c r="F1121" s="78" t="s">
        <v>2276</v>
      </c>
      <c r="G1121" s="78" t="s">
        <v>849</v>
      </c>
      <c r="H1121" s="78" t="s">
        <v>848</v>
      </c>
      <c r="I1121" s="78">
        <v>120</v>
      </c>
      <c r="J1121" s="232"/>
    </row>
    <row r="1122" spans="1:10" x14ac:dyDescent="0.3">
      <c r="A1122" s="76"/>
      <c r="B1122" s="77"/>
      <c r="C1122" s="93"/>
      <c r="D1122" s="77"/>
      <c r="E1122" s="78" t="s">
        <v>1499</v>
      </c>
      <c r="F1122" s="78" t="s">
        <v>2276</v>
      </c>
      <c r="G1122" s="78" t="s">
        <v>241</v>
      </c>
      <c r="H1122" s="78" t="s">
        <v>240</v>
      </c>
      <c r="I1122" s="78">
        <v>29</v>
      </c>
      <c r="J1122" s="230"/>
    </row>
    <row r="1123" spans="1:10" ht="15" thickBot="1" x14ac:dyDescent="0.35">
      <c r="A1123" s="81"/>
      <c r="B1123" s="83"/>
      <c r="C1123" s="96"/>
      <c r="D1123" s="83"/>
      <c r="E1123" s="82" t="s">
        <v>1502</v>
      </c>
      <c r="F1123" s="82" t="s">
        <v>2276</v>
      </c>
      <c r="G1123" s="82" t="s">
        <v>1299</v>
      </c>
      <c r="H1123" s="82" t="s">
        <v>1298</v>
      </c>
      <c r="I1123" s="82"/>
      <c r="J1123" s="232">
        <v>22</v>
      </c>
    </row>
    <row r="1124" spans="1:10" x14ac:dyDescent="0.3">
      <c r="A1124" s="72" t="s">
        <v>1480</v>
      </c>
      <c r="B1124" s="73" t="s">
        <v>152</v>
      </c>
      <c r="C1124" s="95" t="s">
        <v>1480</v>
      </c>
      <c r="D1124" s="73" t="s">
        <v>1814</v>
      </c>
      <c r="E1124" s="74" t="s">
        <v>1479</v>
      </c>
      <c r="F1124" s="74" t="s">
        <v>1485</v>
      </c>
      <c r="G1124" s="74" t="s">
        <v>2275</v>
      </c>
      <c r="H1124" s="74"/>
      <c r="I1124" s="74"/>
      <c r="J1124" s="230"/>
    </row>
    <row r="1125" spans="1:10" x14ac:dyDescent="0.3">
      <c r="A1125" s="76"/>
      <c r="B1125" s="77"/>
      <c r="C1125" s="93"/>
      <c r="D1125" s="77"/>
      <c r="E1125" s="78" t="s">
        <v>1489</v>
      </c>
      <c r="F1125" s="78" t="s">
        <v>2276</v>
      </c>
      <c r="G1125" s="78" t="s">
        <v>396</v>
      </c>
      <c r="H1125" s="78" t="s">
        <v>395</v>
      </c>
      <c r="I1125" s="78">
        <v>48</v>
      </c>
      <c r="J1125" s="231">
        <v>79</v>
      </c>
    </row>
    <row r="1126" spans="1:10" x14ac:dyDescent="0.3">
      <c r="A1126" s="76"/>
      <c r="B1126" s="77"/>
      <c r="C1126" s="93"/>
      <c r="D1126" s="77"/>
      <c r="E1126" s="78" t="s">
        <v>1493</v>
      </c>
      <c r="F1126" s="78" t="s">
        <v>2276</v>
      </c>
      <c r="G1126" s="78" t="s">
        <v>562</v>
      </c>
      <c r="H1126" s="78" t="s">
        <v>561</v>
      </c>
      <c r="I1126" s="78">
        <v>72</v>
      </c>
      <c r="J1126" s="231"/>
    </row>
    <row r="1127" spans="1:10" x14ac:dyDescent="0.3">
      <c r="A1127" s="76"/>
      <c r="B1127" s="77"/>
      <c r="C1127" s="93"/>
      <c r="D1127" s="77"/>
      <c r="E1127" s="78" t="s">
        <v>1496</v>
      </c>
      <c r="F1127" s="78" t="s">
        <v>2276</v>
      </c>
      <c r="G1127" s="78" t="s">
        <v>843</v>
      </c>
      <c r="H1127" s="78" t="s">
        <v>842</v>
      </c>
      <c r="I1127" s="78">
        <v>119</v>
      </c>
      <c r="J1127" s="231">
        <v>40</v>
      </c>
    </row>
    <row r="1128" spans="1:10" x14ac:dyDescent="0.3">
      <c r="A1128" s="76"/>
      <c r="B1128" s="77"/>
      <c r="C1128" s="93"/>
      <c r="D1128" s="77"/>
      <c r="E1128" s="78" t="s">
        <v>1499</v>
      </c>
      <c r="F1128" s="78" t="s">
        <v>2276</v>
      </c>
      <c r="G1128" s="78" t="s">
        <v>148</v>
      </c>
      <c r="H1128" s="78" t="s">
        <v>147</v>
      </c>
      <c r="I1128" s="78">
        <v>11</v>
      </c>
      <c r="J1128" s="231">
        <v>94</v>
      </c>
    </row>
    <row r="1129" spans="1:10" ht="15" thickBot="1" x14ac:dyDescent="0.35">
      <c r="A1129" s="81"/>
      <c r="B1129" s="83"/>
      <c r="C1129" s="96"/>
      <c r="D1129" s="83"/>
      <c r="E1129" s="82" t="s">
        <v>1502</v>
      </c>
      <c r="F1129" s="82" t="s">
        <v>2276</v>
      </c>
      <c r="G1129" s="82" t="s">
        <v>1303</v>
      </c>
      <c r="H1129" s="82" t="s">
        <v>1302</v>
      </c>
      <c r="I1129" s="82"/>
      <c r="J1129" s="232"/>
    </row>
    <row r="1130" spans="1:10" x14ac:dyDescent="0.3">
      <c r="A1130" s="72" t="s">
        <v>1480</v>
      </c>
      <c r="B1130" s="73" t="s">
        <v>220</v>
      </c>
      <c r="C1130" s="95" t="s">
        <v>1480</v>
      </c>
      <c r="D1130" s="73" t="s">
        <v>1821</v>
      </c>
      <c r="E1130" s="74" t="s">
        <v>1479</v>
      </c>
      <c r="F1130" s="74" t="s">
        <v>1485</v>
      </c>
      <c r="G1130" s="74" t="s">
        <v>2275</v>
      </c>
      <c r="H1130" s="74"/>
      <c r="I1130" s="74"/>
      <c r="J1130" s="230"/>
    </row>
    <row r="1131" spans="1:10" x14ac:dyDescent="0.3">
      <c r="A1131" s="76"/>
      <c r="B1131" s="77"/>
      <c r="C1131" s="93"/>
      <c r="D1131" s="77"/>
      <c r="E1131" s="78" t="s">
        <v>1489</v>
      </c>
      <c r="F1131" s="78" t="s">
        <v>2276</v>
      </c>
      <c r="G1131" s="78" t="s">
        <v>389</v>
      </c>
      <c r="H1131" s="78" t="s">
        <v>388</v>
      </c>
      <c r="I1131" s="78">
        <v>47</v>
      </c>
      <c r="J1131" s="231">
        <v>48</v>
      </c>
    </row>
    <row r="1132" spans="1:10" x14ac:dyDescent="0.3">
      <c r="A1132" s="76"/>
      <c r="B1132" s="77"/>
      <c r="C1132" s="93"/>
      <c r="D1132" s="77"/>
      <c r="E1132" s="78" t="s">
        <v>1493</v>
      </c>
      <c r="F1132" s="78" t="s">
        <v>2276</v>
      </c>
      <c r="G1132" s="78" t="s">
        <v>569</v>
      </c>
      <c r="H1132" s="78" t="s">
        <v>568</v>
      </c>
      <c r="I1132" s="78">
        <v>73</v>
      </c>
      <c r="J1132" s="231"/>
    </row>
    <row r="1133" spans="1:10" x14ac:dyDescent="0.3">
      <c r="A1133" s="76"/>
      <c r="B1133" s="77"/>
      <c r="C1133" s="93"/>
      <c r="D1133" s="77"/>
      <c r="E1133" s="78" t="s">
        <v>1496</v>
      </c>
      <c r="F1133" s="78" t="s">
        <v>2276</v>
      </c>
      <c r="G1133" s="78" t="s">
        <v>437</v>
      </c>
      <c r="H1133" s="78" t="s">
        <v>436</v>
      </c>
      <c r="I1133" s="78">
        <v>53</v>
      </c>
      <c r="J1133" s="231">
        <v>71</v>
      </c>
    </row>
    <row r="1134" spans="1:10" x14ac:dyDescent="0.3">
      <c r="A1134" s="76"/>
      <c r="B1134" s="77"/>
      <c r="C1134" s="93"/>
      <c r="D1134" s="77"/>
      <c r="E1134" s="78" t="s">
        <v>1499</v>
      </c>
      <c r="F1134" s="78" t="s">
        <v>2276</v>
      </c>
      <c r="G1134" s="78" t="s">
        <v>215</v>
      </c>
      <c r="H1134" s="78" t="s">
        <v>214</v>
      </c>
      <c r="I1134" s="78">
        <v>26</v>
      </c>
      <c r="J1134" s="231">
        <v>5</v>
      </c>
    </row>
    <row r="1135" spans="1:10" ht="15" thickBot="1" x14ac:dyDescent="0.35">
      <c r="A1135" s="81"/>
      <c r="B1135" s="83"/>
      <c r="C1135" s="96"/>
      <c r="D1135" s="83"/>
      <c r="E1135" s="82" t="s">
        <v>1502</v>
      </c>
      <c r="F1135" s="82" t="s">
        <v>2276</v>
      </c>
      <c r="G1135" s="82" t="s">
        <v>1307</v>
      </c>
      <c r="H1135" s="82" t="s">
        <v>1306</v>
      </c>
      <c r="I1135" s="82"/>
      <c r="J1135" s="232"/>
    </row>
    <row r="1136" spans="1:10" x14ac:dyDescent="0.3">
      <c r="A1136" s="72" t="s">
        <v>1480</v>
      </c>
      <c r="B1136" s="73" t="s">
        <v>82</v>
      </c>
      <c r="C1136" s="95" t="s">
        <v>1480</v>
      </c>
      <c r="D1136" s="73" t="s">
        <v>1828</v>
      </c>
      <c r="E1136" s="74" t="s">
        <v>1479</v>
      </c>
      <c r="F1136" s="74" t="s">
        <v>1485</v>
      </c>
      <c r="G1136" s="74" t="s">
        <v>2275</v>
      </c>
      <c r="H1136" s="74"/>
      <c r="I1136" s="74"/>
      <c r="J1136" s="230"/>
    </row>
    <row r="1137" spans="1:10" x14ac:dyDescent="0.3">
      <c r="A1137" s="76"/>
      <c r="B1137" s="77"/>
      <c r="C1137" s="93"/>
      <c r="D1137" s="77"/>
      <c r="E1137" s="78" t="s">
        <v>1489</v>
      </c>
      <c r="F1137" s="78" t="s">
        <v>2276</v>
      </c>
      <c r="G1137" s="78" t="s">
        <v>922</v>
      </c>
      <c r="H1137" s="78" t="s">
        <v>921</v>
      </c>
      <c r="I1137" s="78">
        <v>133</v>
      </c>
      <c r="J1137" s="231">
        <v>47</v>
      </c>
    </row>
    <row r="1138" spans="1:10" x14ac:dyDescent="0.3">
      <c r="A1138" s="76"/>
      <c r="B1138" s="77"/>
      <c r="C1138" s="93"/>
      <c r="D1138" s="77"/>
      <c r="E1138" s="78" t="s">
        <v>1493</v>
      </c>
      <c r="F1138" s="78" t="s">
        <v>2276</v>
      </c>
      <c r="G1138" s="78" t="s">
        <v>595</v>
      </c>
      <c r="H1138" s="78" t="s">
        <v>594</v>
      </c>
      <c r="I1138" s="78">
        <v>76</v>
      </c>
      <c r="J1138" s="231"/>
    </row>
    <row r="1139" spans="1:10" x14ac:dyDescent="0.3">
      <c r="A1139" s="76"/>
      <c r="B1139" s="77"/>
      <c r="C1139" s="93"/>
      <c r="D1139" s="77"/>
      <c r="E1139" s="78" t="s">
        <v>1496</v>
      </c>
      <c r="F1139" s="78" t="s">
        <v>2276</v>
      </c>
      <c r="G1139" s="78" t="s">
        <v>428</v>
      </c>
      <c r="H1139" s="78" t="s">
        <v>427</v>
      </c>
      <c r="I1139" s="78">
        <v>52</v>
      </c>
      <c r="J1139" s="231">
        <v>70</v>
      </c>
    </row>
    <row r="1140" spans="1:10" x14ac:dyDescent="0.3">
      <c r="A1140" s="76"/>
      <c r="B1140" s="77"/>
      <c r="C1140" s="93"/>
      <c r="D1140" s="77"/>
      <c r="E1140" s="78" t="s">
        <v>1499</v>
      </c>
      <c r="F1140" s="78" t="s">
        <v>2276</v>
      </c>
      <c r="G1140" s="78" t="s">
        <v>73</v>
      </c>
      <c r="H1140" s="78" t="s">
        <v>72</v>
      </c>
      <c r="I1140" s="78">
        <v>5</v>
      </c>
      <c r="J1140" s="231">
        <v>19</v>
      </c>
    </row>
    <row r="1141" spans="1:10" ht="15" thickBot="1" x14ac:dyDescent="0.35">
      <c r="A1141" s="81"/>
      <c r="B1141" s="83"/>
      <c r="C1141" s="96"/>
      <c r="D1141" s="83"/>
      <c r="E1141" s="82" t="s">
        <v>1502</v>
      </c>
      <c r="F1141" s="82" t="s">
        <v>2276</v>
      </c>
      <c r="G1141" s="82" t="s">
        <v>1311</v>
      </c>
      <c r="H1141" s="82" t="s">
        <v>1310</v>
      </c>
      <c r="I1141" s="82"/>
      <c r="J1141" s="232"/>
    </row>
    <row r="1142" spans="1:10" x14ac:dyDescent="0.3">
      <c r="A1142" s="72" t="s">
        <v>1480</v>
      </c>
      <c r="B1142" s="73" t="s">
        <v>68</v>
      </c>
      <c r="C1142" s="95" t="s">
        <v>1480</v>
      </c>
      <c r="D1142" s="73" t="s">
        <v>1837</v>
      </c>
      <c r="E1142" s="74" t="s">
        <v>1479</v>
      </c>
      <c r="F1142" s="74" t="s">
        <v>1485</v>
      </c>
      <c r="G1142" s="74" t="s">
        <v>2275</v>
      </c>
      <c r="H1142" s="74"/>
      <c r="I1142" s="74"/>
      <c r="J1142" s="230"/>
    </row>
    <row r="1143" spans="1:10" x14ac:dyDescent="0.3">
      <c r="A1143" s="76"/>
      <c r="B1143" s="77"/>
      <c r="C1143" s="93"/>
      <c r="D1143" s="77"/>
      <c r="E1143" s="78" t="s">
        <v>1489</v>
      </c>
      <c r="F1143" s="78" t="s">
        <v>2276</v>
      </c>
      <c r="G1143" s="78" t="s">
        <v>904</v>
      </c>
      <c r="H1143" s="78" t="s">
        <v>903</v>
      </c>
      <c r="I1143" s="78">
        <v>130</v>
      </c>
      <c r="J1143" s="231">
        <v>28</v>
      </c>
    </row>
    <row r="1144" spans="1:10" x14ac:dyDescent="0.3">
      <c r="A1144" s="76"/>
      <c r="B1144" s="77"/>
      <c r="C1144" s="93"/>
      <c r="D1144" s="77"/>
      <c r="E1144" s="78" t="s">
        <v>1493</v>
      </c>
      <c r="F1144" s="78" t="s">
        <v>2276</v>
      </c>
      <c r="G1144" s="78" t="s">
        <v>1427</v>
      </c>
      <c r="H1144" s="78" t="s">
        <v>1426</v>
      </c>
      <c r="I1144" s="78"/>
      <c r="J1144" s="231"/>
    </row>
    <row r="1145" spans="1:10" x14ac:dyDescent="0.3">
      <c r="A1145" s="76"/>
      <c r="B1145" s="77"/>
      <c r="C1145" s="93"/>
      <c r="D1145" s="77"/>
      <c r="E1145" s="78" t="s">
        <v>1496</v>
      </c>
      <c r="F1145" s="78" t="s">
        <v>2276</v>
      </c>
      <c r="G1145" s="78" t="s">
        <v>419</v>
      </c>
      <c r="H1145" s="78" t="s">
        <v>418</v>
      </c>
      <c r="I1145" s="78">
        <v>51</v>
      </c>
      <c r="J1145" s="231">
        <v>69</v>
      </c>
    </row>
    <row r="1146" spans="1:10" x14ac:dyDescent="0.3">
      <c r="A1146" s="76"/>
      <c r="B1146" s="77"/>
      <c r="C1146" s="93"/>
      <c r="D1146" s="77"/>
      <c r="E1146" s="78" t="s">
        <v>1499</v>
      </c>
      <c r="F1146" s="78" t="s">
        <v>2276</v>
      </c>
      <c r="G1146" s="78" t="s">
        <v>58</v>
      </c>
      <c r="H1146" s="78" t="s">
        <v>57</v>
      </c>
      <c r="I1146" s="78">
        <v>4</v>
      </c>
      <c r="J1146" s="231">
        <v>7</v>
      </c>
    </row>
    <row r="1147" spans="1:10" ht="15" thickBot="1" x14ac:dyDescent="0.35">
      <c r="A1147" s="81"/>
      <c r="B1147" s="83"/>
      <c r="C1147" s="96"/>
      <c r="D1147" s="83"/>
      <c r="E1147" s="82" t="s">
        <v>1502</v>
      </c>
      <c r="F1147" s="82" t="s">
        <v>2276</v>
      </c>
      <c r="G1147" s="82" t="s">
        <v>1315</v>
      </c>
      <c r="H1147" s="82" t="s">
        <v>1314</v>
      </c>
      <c r="I1147" s="82"/>
      <c r="J1147" s="232"/>
    </row>
    <row r="1148" spans="1:10" x14ac:dyDescent="0.3">
      <c r="A1148" s="72" t="s">
        <v>1480</v>
      </c>
      <c r="B1148" s="73" t="s">
        <v>656</v>
      </c>
      <c r="C1148" s="95" t="s">
        <v>1480</v>
      </c>
      <c r="D1148" s="73" t="s">
        <v>1624</v>
      </c>
      <c r="E1148" s="74" t="s">
        <v>1479</v>
      </c>
      <c r="F1148" s="74" t="s">
        <v>1485</v>
      </c>
      <c r="G1148" s="74" t="s">
        <v>2275</v>
      </c>
      <c r="H1148" s="74"/>
      <c r="I1148" s="74"/>
      <c r="J1148" s="230"/>
    </row>
    <row r="1149" spans="1:10" x14ac:dyDescent="0.3">
      <c r="A1149" s="76"/>
      <c r="B1149" s="77"/>
      <c r="C1149" s="93"/>
      <c r="D1149" s="77"/>
      <c r="E1149" s="78" t="s">
        <v>1489</v>
      </c>
      <c r="F1149" s="78" t="s">
        <v>2276</v>
      </c>
      <c r="G1149" s="78" t="s">
        <v>1113</v>
      </c>
      <c r="H1149" s="78" t="s">
        <v>1112</v>
      </c>
      <c r="I1149" s="78">
        <v>172</v>
      </c>
      <c r="J1149" s="231">
        <v>27</v>
      </c>
    </row>
    <row r="1150" spans="1:10" x14ac:dyDescent="0.3">
      <c r="A1150" s="76"/>
      <c r="B1150" s="77"/>
      <c r="C1150" s="93"/>
      <c r="D1150" s="77"/>
      <c r="E1150" s="78" t="s">
        <v>1493</v>
      </c>
      <c r="F1150" s="78" t="s">
        <v>2276</v>
      </c>
      <c r="G1150" s="78" t="s">
        <v>739</v>
      </c>
      <c r="H1150" s="78" t="s">
        <v>738</v>
      </c>
      <c r="I1150" s="78">
        <v>98</v>
      </c>
      <c r="J1150" s="231"/>
    </row>
    <row r="1151" spans="1:10" x14ac:dyDescent="0.3">
      <c r="A1151" s="76"/>
      <c r="B1151" s="77"/>
      <c r="C1151" s="93"/>
      <c r="D1151" s="77"/>
      <c r="E1151" s="78" t="s">
        <v>1496</v>
      </c>
      <c r="F1151" s="78" t="s">
        <v>2276</v>
      </c>
      <c r="G1151" s="78" t="s">
        <v>652</v>
      </c>
      <c r="H1151" s="78" t="s">
        <v>651</v>
      </c>
      <c r="I1151" s="78">
        <v>85</v>
      </c>
      <c r="J1151" s="231">
        <v>33</v>
      </c>
    </row>
    <row r="1152" spans="1:10" ht="15" thickBot="1" x14ac:dyDescent="0.35">
      <c r="A1152" s="81"/>
      <c r="B1152" s="83"/>
      <c r="C1152" s="96"/>
      <c r="D1152" s="83"/>
      <c r="E1152" s="82" t="s">
        <v>1499</v>
      </c>
      <c r="F1152" s="82" t="s">
        <v>2276</v>
      </c>
      <c r="G1152" s="82" t="s">
        <v>1190</v>
      </c>
      <c r="H1152" s="82" t="s">
        <v>1189</v>
      </c>
      <c r="I1152" s="82"/>
      <c r="J1152" s="231"/>
    </row>
    <row r="1153" spans="1:10" ht="15" thickBot="1" x14ac:dyDescent="0.35">
      <c r="A1153" s="72" t="s">
        <v>1480</v>
      </c>
      <c r="B1153" s="73" t="s">
        <v>663</v>
      </c>
      <c r="C1153" s="95" t="s">
        <v>1480</v>
      </c>
      <c r="D1153" s="73" t="s">
        <v>1635</v>
      </c>
      <c r="E1153" s="74" t="s">
        <v>1479</v>
      </c>
      <c r="F1153" s="74" t="s">
        <v>1485</v>
      </c>
      <c r="G1153" s="74" t="s">
        <v>2275</v>
      </c>
      <c r="H1153" s="74"/>
      <c r="I1153" s="74"/>
      <c r="J1153" s="232"/>
    </row>
    <row r="1154" spans="1:10" x14ac:dyDescent="0.3">
      <c r="A1154" s="76"/>
      <c r="B1154" s="77"/>
      <c r="C1154" s="93"/>
      <c r="D1154" s="77"/>
      <c r="E1154" s="78" t="s">
        <v>1489</v>
      </c>
      <c r="F1154" s="78" t="s">
        <v>2276</v>
      </c>
      <c r="G1154" s="78" t="s">
        <v>1107</v>
      </c>
      <c r="H1154" s="78" t="s">
        <v>1106</v>
      </c>
      <c r="I1154" s="78">
        <v>171</v>
      </c>
      <c r="J1154" s="230"/>
    </row>
    <row r="1155" spans="1:10" x14ac:dyDescent="0.3">
      <c r="A1155" s="76"/>
      <c r="B1155" s="77"/>
      <c r="C1155" s="93"/>
      <c r="D1155" s="77"/>
      <c r="E1155" s="78" t="s">
        <v>1493</v>
      </c>
      <c r="F1155" s="78" t="s">
        <v>2276</v>
      </c>
      <c r="G1155" s="78" t="s">
        <v>733</v>
      </c>
      <c r="H1155" s="78" t="s">
        <v>732</v>
      </c>
      <c r="I1155" s="78">
        <v>97</v>
      </c>
      <c r="J1155" s="231">
        <v>77</v>
      </c>
    </row>
    <row r="1156" spans="1:10" x14ac:dyDescent="0.3">
      <c r="A1156" s="76"/>
      <c r="B1156" s="77"/>
      <c r="C1156" s="93"/>
      <c r="D1156" s="77"/>
      <c r="E1156" s="78" t="s">
        <v>1496</v>
      </c>
      <c r="F1156" s="78" t="s">
        <v>2276</v>
      </c>
      <c r="G1156" s="78" t="s">
        <v>660</v>
      </c>
      <c r="H1156" s="78" t="s">
        <v>659</v>
      </c>
      <c r="I1156" s="78">
        <v>86</v>
      </c>
      <c r="J1156" s="231"/>
    </row>
    <row r="1157" spans="1:10" ht="15" thickBot="1" x14ac:dyDescent="0.35">
      <c r="A1157" s="81"/>
      <c r="B1157" s="83"/>
      <c r="C1157" s="96"/>
      <c r="D1157" s="83"/>
      <c r="E1157" s="82" t="s">
        <v>1499</v>
      </c>
      <c r="F1157" s="82" t="s">
        <v>2276</v>
      </c>
      <c r="G1157" s="82" t="s">
        <v>1194</v>
      </c>
      <c r="H1157" s="82" t="s">
        <v>1193</v>
      </c>
      <c r="I1157" s="82"/>
      <c r="J1157" s="231">
        <v>32</v>
      </c>
    </row>
    <row r="1158" spans="1:10" x14ac:dyDescent="0.3">
      <c r="A1158" s="72" t="s">
        <v>1480</v>
      </c>
      <c r="B1158" s="73" t="s">
        <v>669</v>
      </c>
      <c r="C1158" s="95" t="s">
        <v>1480</v>
      </c>
      <c r="D1158" s="73" t="s">
        <v>1647</v>
      </c>
      <c r="E1158" s="74" t="s">
        <v>1479</v>
      </c>
      <c r="F1158" s="74" t="s">
        <v>1485</v>
      </c>
      <c r="G1158" s="74" t="s">
        <v>2275</v>
      </c>
      <c r="H1158" s="74"/>
      <c r="I1158" s="74"/>
      <c r="J1158" s="231">
        <v>2</v>
      </c>
    </row>
    <row r="1159" spans="1:10" ht="15" thickBot="1" x14ac:dyDescent="0.35">
      <c r="A1159" s="76"/>
      <c r="B1159" s="77"/>
      <c r="C1159" s="93"/>
      <c r="D1159" s="77"/>
      <c r="E1159" s="78" t="s">
        <v>1489</v>
      </c>
      <c r="F1159" s="78" t="s">
        <v>2276</v>
      </c>
      <c r="G1159" s="78" t="s">
        <v>1061</v>
      </c>
      <c r="H1159" s="78" t="s">
        <v>1060</v>
      </c>
      <c r="I1159" s="78">
        <v>161</v>
      </c>
      <c r="J1159" s="232"/>
    </row>
    <row r="1160" spans="1:10" x14ac:dyDescent="0.3">
      <c r="A1160" s="76"/>
      <c r="B1160" s="77"/>
      <c r="C1160" s="93"/>
      <c r="D1160" s="77"/>
      <c r="E1160" s="78" t="s">
        <v>1493</v>
      </c>
      <c r="F1160" s="78" t="s">
        <v>2276</v>
      </c>
      <c r="G1160" s="78" t="s">
        <v>699</v>
      </c>
      <c r="H1160" s="78" t="s">
        <v>698</v>
      </c>
      <c r="I1160" s="78">
        <v>92</v>
      </c>
      <c r="J1160" s="230"/>
    </row>
    <row r="1161" spans="1:10" x14ac:dyDescent="0.3">
      <c r="A1161" s="76"/>
      <c r="B1161" s="77"/>
      <c r="C1161" s="93"/>
      <c r="D1161" s="77"/>
      <c r="E1161" s="78" t="s">
        <v>1496</v>
      </c>
      <c r="F1161" s="78" t="s">
        <v>2276</v>
      </c>
      <c r="G1161" s="78" t="s">
        <v>666</v>
      </c>
      <c r="H1161" s="78" t="s">
        <v>665</v>
      </c>
      <c r="I1161" s="78">
        <v>87</v>
      </c>
      <c r="J1161" s="231">
        <v>76</v>
      </c>
    </row>
    <row r="1162" spans="1:10" ht="15" thickBot="1" x14ac:dyDescent="0.35">
      <c r="A1162" s="81"/>
      <c r="B1162" s="83"/>
      <c r="C1162" s="96"/>
      <c r="D1162" s="83"/>
      <c r="E1162" s="82" t="s">
        <v>1499</v>
      </c>
      <c r="F1162" s="82" t="s">
        <v>2276</v>
      </c>
      <c r="G1162" s="82" t="s">
        <v>1198</v>
      </c>
      <c r="H1162" s="82" t="s">
        <v>1197</v>
      </c>
      <c r="I1162" s="82"/>
      <c r="J1162" s="231"/>
    </row>
    <row r="1163" spans="1:10" x14ac:dyDescent="0.3">
      <c r="A1163" s="72" t="s">
        <v>1480</v>
      </c>
      <c r="B1163" s="73" t="s">
        <v>676</v>
      </c>
      <c r="C1163" s="95" t="s">
        <v>1480</v>
      </c>
      <c r="D1163" s="73" t="s">
        <v>1653</v>
      </c>
      <c r="E1163" s="74" t="s">
        <v>1479</v>
      </c>
      <c r="F1163" s="74" t="s">
        <v>1485</v>
      </c>
      <c r="G1163" s="74" t="s">
        <v>2275</v>
      </c>
      <c r="H1163" s="74"/>
      <c r="I1163" s="74"/>
      <c r="J1163" s="231">
        <v>31</v>
      </c>
    </row>
    <row r="1164" spans="1:10" x14ac:dyDescent="0.3">
      <c r="A1164" s="76"/>
      <c r="B1164" s="77"/>
      <c r="C1164" s="93"/>
      <c r="D1164" s="77"/>
      <c r="E1164" s="78" t="s">
        <v>1489</v>
      </c>
      <c r="F1164" s="78" t="s">
        <v>2276</v>
      </c>
      <c r="G1164" s="78" t="s">
        <v>1056</v>
      </c>
      <c r="H1164" s="78" t="s">
        <v>1055</v>
      </c>
      <c r="I1164" s="78">
        <v>160</v>
      </c>
      <c r="J1164" s="231">
        <v>1</v>
      </c>
    </row>
    <row r="1165" spans="1:10" ht="15" thickBot="1" x14ac:dyDescent="0.35">
      <c r="A1165" s="76"/>
      <c r="B1165" s="77"/>
      <c r="C1165" s="93"/>
      <c r="D1165" s="77"/>
      <c r="E1165" s="78" t="s">
        <v>1493</v>
      </c>
      <c r="F1165" s="78" t="s">
        <v>2276</v>
      </c>
      <c r="G1165" s="78" t="s">
        <v>685</v>
      </c>
      <c r="H1165" s="78" t="s">
        <v>684</v>
      </c>
      <c r="I1165" s="78">
        <v>90</v>
      </c>
      <c r="J1165" s="232"/>
    </row>
    <row r="1166" spans="1:10" x14ac:dyDescent="0.3">
      <c r="A1166" s="76"/>
      <c r="B1166" s="77"/>
      <c r="C1166" s="93"/>
      <c r="D1166" s="77"/>
      <c r="E1166" s="78" t="s">
        <v>1496</v>
      </c>
      <c r="F1166" s="78" t="s">
        <v>2276</v>
      </c>
      <c r="G1166" s="78" t="s">
        <v>672</v>
      </c>
      <c r="H1166" s="78" t="s">
        <v>671</v>
      </c>
      <c r="I1166" s="78">
        <v>88</v>
      </c>
      <c r="J1166" s="230"/>
    </row>
    <row r="1167" spans="1:10" ht="15" thickBot="1" x14ac:dyDescent="0.35">
      <c r="A1167" s="81"/>
      <c r="B1167" s="83"/>
      <c r="C1167" s="96"/>
      <c r="D1167" s="83"/>
      <c r="E1167" s="82" t="s">
        <v>1499</v>
      </c>
      <c r="F1167" s="82" t="s">
        <v>2276</v>
      </c>
      <c r="G1167" s="82" t="s">
        <v>1202</v>
      </c>
      <c r="H1167" s="82" t="s">
        <v>1201</v>
      </c>
      <c r="I1167" s="82"/>
      <c r="J1167" s="231">
        <v>100</v>
      </c>
    </row>
    <row r="1168" spans="1:10" x14ac:dyDescent="0.3">
      <c r="A1168" s="72" t="s">
        <v>1480</v>
      </c>
      <c r="B1168" s="73" t="s">
        <v>43</v>
      </c>
      <c r="C1168" s="95" t="s">
        <v>1480</v>
      </c>
      <c r="D1168" s="73" t="s">
        <v>1536</v>
      </c>
      <c r="E1168" s="74" t="s">
        <v>1479</v>
      </c>
      <c r="F1168" s="74" t="s">
        <v>1485</v>
      </c>
      <c r="G1168" s="74" t="s">
        <v>2275</v>
      </c>
      <c r="H1168" s="74"/>
      <c r="I1168" s="74"/>
      <c r="J1168" s="231">
        <v>56</v>
      </c>
    </row>
    <row r="1169" spans="1:10" x14ac:dyDescent="0.3">
      <c r="A1169" s="76"/>
      <c r="B1169" s="77"/>
      <c r="C1169" s="93"/>
      <c r="D1169" s="77"/>
      <c r="E1169" s="78" t="s">
        <v>1489</v>
      </c>
      <c r="F1169" s="78" t="s">
        <v>2276</v>
      </c>
      <c r="G1169" s="78" t="s">
        <v>933</v>
      </c>
      <c r="H1169" s="78" t="s">
        <v>932</v>
      </c>
      <c r="I1169" s="78">
        <v>135</v>
      </c>
      <c r="J1169" s="231"/>
    </row>
    <row r="1170" spans="1:10" ht="15" thickBot="1" x14ac:dyDescent="0.35">
      <c r="A1170" s="76"/>
      <c r="B1170" s="77"/>
      <c r="C1170" s="93"/>
      <c r="D1170" s="77"/>
      <c r="E1170" s="78" t="s">
        <v>1493</v>
      </c>
      <c r="F1170" s="78" t="s">
        <v>2276</v>
      </c>
      <c r="G1170" s="78" t="s">
        <v>37</v>
      </c>
      <c r="H1170" s="78" t="s">
        <v>36</v>
      </c>
      <c r="I1170" s="78">
        <v>2</v>
      </c>
      <c r="J1170" s="232"/>
    </row>
    <row r="1171" spans="1:10" x14ac:dyDescent="0.3">
      <c r="A1171" s="76"/>
      <c r="B1171" s="77"/>
      <c r="C1171" s="93"/>
      <c r="D1171" s="77"/>
      <c r="E1171" s="78" t="s">
        <v>1496</v>
      </c>
      <c r="F1171" s="78" t="s">
        <v>2276</v>
      </c>
      <c r="G1171" s="78" t="s">
        <v>470</v>
      </c>
      <c r="H1171" s="78" t="s">
        <v>469</v>
      </c>
      <c r="I1171" s="78">
        <v>61</v>
      </c>
      <c r="J1171" s="230"/>
    </row>
    <row r="1172" spans="1:10" x14ac:dyDescent="0.3">
      <c r="A1172" s="76"/>
      <c r="B1172" s="77"/>
      <c r="C1172" s="93"/>
      <c r="D1172" s="77"/>
      <c r="E1172" s="78" t="s">
        <v>1499</v>
      </c>
      <c r="F1172" s="78" t="s">
        <v>2276</v>
      </c>
      <c r="G1172" s="78" t="s">
        <v>1066</v>
      </c>
      <c r="H1172" s="78" t="s">
        <v>1065</v>
      </c>
      <c r="I1172" s="78">
        <v>162</v>
      </c>
      <c r="J1172" s="231">
        <v>99</v>
      </c>
    </row>
    <row r="1173" spans="1:10" ht="15" thickBot="1" x14ac:dyDescent="0.35">
      <c r="A1173" s="81"/>
      <c r="B1173" s="83"/>
      <c r="C1173" s="96"/>
      <c r="D1173" s="83"/>
      <c r="E1173" s="82" t="s">
        <v>1502</v>
      </c>
      <c r="F1173" s="82" t="s">
        <v>2276</v>
      </c>
      <c r="G1173" s="82" t="s">
        <v>1162</v>
      </c>
      <c r="H1173" s="82" t="s">
        <v>1161</v>
      </c>
      <c r="I1173" s="82"/>
      <c r="J1173" s="231">
        <v>55</v>
      </c>
    </row>
    <row r="1174" spans="1:10" x14ac:dyDescent="0.3">
      <c r="A1174" s="72" t="s">
        <v>1480</v>
      </c>
      <c r="B1174" s="73" t="s">
        <v>641</v>
      </c>
      <c r="C1174" s="95" t="s">
        <v>1480</v>
      </c>
      <c r="D1174" s="73" t="s">
        <v>1663</v>
      </c>
      <c r="E1174" s="74" t="s">
        <v>1479</v>
      </c>
      <c r="F1174" s="74" t="s">
        <v>1485</v>
      </c>
      <c r="G1174" s="74" t="s">
        <v>2275</v>
      </c>
      <c r="H1174" s="74"/>
      <c r="I1174" s="74"/>
      <c r="J1174" s="231"/>
    </row>
    <row r="1175" spans="1:10" ht="15" thickBot="1" x14ac:dyDescent="0.35">
      <c r="A1175" s="76"/>
      <c r="B1175" s="77"/>
      <c r="C1175" s="93"/>
      <c r="D1175" s="77"/>
      <c r="E1175" s="78" t="s">
        <v>1489</v>
      </c>
      <c r="F1175" s="78" t="s">
        <v>2276</v>
      </c>
      <c r="G1175" s="78" t="s">
        <v>1049</v>
      </c>
      <c r="H1175" s="78" t="s">
        <v>1048</v>
      </c>
      <c r="I1175" s="78">
        <v>159</v>
      </c>
      <c r="J1175" s="232"/>
    </row>
    <row r="1176" spans="1:10" x14ac:dyDescent="0.3">
      <c r="A1176" s="76"/>
      <c r="B1176" s="77"/>
      <c r="C1176" s="93"/>
      <c r="D1176" s="77"/>
      <c r="E1176" s="78" t="s">
        <v>1493</v>
      </c>
      <c r="F1176" s="78" t="s">
        <v>2276</v>
      </c>
      <c r="G1176" s="78" t="s">
        <v>636</v>
      </c>
      <c r="H1176" s="78" t="s">
        <v>635</v>
      </c>
      <c r="I1176" s="78">
        <v>83</v>
      </c>
      <c r="J1176" s="230"/>
    </row>
    <row r="1177" spans="1:10" x14ac:dyDescent="0.3">
      <c r="A1177" s="76"/>
      <c r="B1177" s="77"/>
      <c r="C1177" s="93"/>
      <c r="D1177" s="77"/>
      <c r="E1177" s="78" t="s">
        <v>1496</v>
      </c>
      <c r="F1177" s="78" t="s">
        <v>2276</v>
      </c>
      <c r="G1177" s="78" t="s">
        <v>679</v>
      </c>
      <c r="H1177" s="78" t="s">
        <v>678</v>
      </c>
      <c r="I1177" s="78">
        <v>89</v>
      </c>
      <c r="J1177" s="231">
        <v>92</v>
      </c>
    </row>
    <row r="1178" spans="1:10" ht="15" thickBot="1" x14ac:dyDescent="0.35">
      <c r="A1178" s="81"/>
      <c r="B1178" s="83"/>
      <c r="C1178" s="96"/>
      <c r="D1178" s="83"/>
      <c r="E1178" s="82" t="s">
        <v>1499</v>
      </c>
      <c r="F1178" s="82" t="s">
        <v>2276</v>
      </c>
      <c r="G1178" s="82" t="s">
        <v>1206</v>
      </c>
      <c r="H1178" s="82" t="s">
        <v>1205</v>
      </c>
      <c r="I1178" s="82"/>
      <c r="J1178" s="231">
        <v>52</v>
      </c>
    </row>
    <row r="1179" spans="1:10" x14ac:dyDescent="0.3">
      <c r="A1179" s="72" t="s">
        <v>1480</v>
      </c>
      <c r="B1179" s="73" t="s">
        <v>626</v>
      </c>
      <c r="C1179" s="95" t="s">
        <v>1480</v>
      </c>
      <c r="D1179" s="73" t="s">
        <v>1673</v>
      </c>
      <c r="E1179" s="74" t="s">
        <v>1479</v>
      </c>
      <c r="F1179" s="74" t="s">
        <v>1485</v>
      </c>
      <c r="G1179" s="74" t="s">
        <v>2275</v>
      </c>
      <c r="H1179" s="74"/>
      <c r="I1179" s="74"/>
      <c r="J1179" s="231"/>
    </row>
    <row r="1180" spans="1:10" ht="15" thickBot="1" x14ac:dyDescent="0.35">
      <c r="A1180" s="76"/>
      <c r="B1180" s="77"/>
      <c r="C1180" s="93"/>
      <c r="D1180" s="77"/>
      <c r="E1180" s="78" t="s">
        <v>1489</v>
      </c>
      <c r="F1180" s="78" t="s">
        <v>2276</v>
      </c>
      <c r="G1180" s="78" t="s">
        <v>1028</v>
      </c>
      <c r="H1180" s="78" t="s">
        <v>1027</v>
      </c>
      <c r="I1180" s="78">
        <v>155</v>
      </c>
      <c r="J1180" s="232"/>
    </row>
    <row r="1181" spans="1:10" x14ac:dyDescent="0.3">
      <c r="A1181" s="76"/>
      <c r="B1181" s="77"/>
      <c r="C1181" s="93"/>
      <c r="D1181" s="77"/>
      <c r="E1181" s="78" t="s">
        <v>1493</v>
      </c>
      <c r="F1181" s="78" t="s">
        <v>2276</v>
      </c>
      <c r="G1181" s="78" t="s">
        <v>621</v>
      </c>
      <c r="H1181" s="78" t="s">
        <v>620</v>
      </c>
      <c r="I1181" s="78">
        <v>81</v>
      </c>
      <c r="J1181" s="230"/>
    </row>
    <row r="1182" spans="1:10" x14ac:dyDescent="0.3">
      <c r="A1182" s="76"/>
      <c r="B1182" s="77"/>
      <c r="C1182" s="93"/>
      <c r="D1182" s="77"/>
      <c r="E1182" s="78" t="s">
        <v>1496</v>
      </c>
      <c r="F1182" s="78" t="s">
        <v>2276</v>
      </c>
      <c r="G1182" s="78" t="s">
        <v>693</v>
      </c>
      <c r="H1182" s="78" t="s">
        <v>692</v>
      </c>
      <c r="I1182" s="78">
        <v>91</v>
      </c>
      <c r="J1182" s="231">
        <v>91</v>
      </c>
    </row>
    <row r="1183" spans="1:10" ht="15" thickBot="1" x14ac:dyDescent="0.35">
      <c r="A1183" s="81"/>
      <c r="B1183" s="83"/>
      <c r="C1183" s="96"/>
      <c r="D1183" s="83"/>
      <c r="E1183" s="82" t="s">
        <v>1499</v>
      </c>
      <c r="F1183" s="82" t="s">
        <v>2276</v>
      </c>
      <c r="G1183" s="82" t="s">
        <v>1210</v>
      </c>
      <c r="H1183" s="82" t="s">
        <v>1209</v>
      </c>
      <c r="I1183" s="82"/>
      <c r="J1183" s="231">
        <v>51</v>
      </c>
    </row>
    <row r="1184" spans="1:10" x14ac:dyDescent="0.3">
      <c r="A1184" s="72" t="s">
        <v>1480</v>
      </c>
      <c r="B1184" s="73" t="s">
        <v>558</v>
      </c>
      <c r="C1184" s="95" t="s">
        <v>1480</v>
      </c>
      <c r="D1184" s="73" t="s">
        <v>1681</v>
      </c>
      <c r="E1184" s="74" t="s">
        <v>1479</v>
      </c>
      <c r="F1184" s="74" t="s">
        <v>1485</v>
      </c>
      <c r="G1184" s="74" t="s">
        <v>2275</v>
      </c>
      <c r="H1184" s="74"/>
      <c r="I1184" s="74"/>
      <c r="J1184" s="231"/>
    </row>
    <row r="1185" spans="1:10" ht="15" thickBot="1" x14ac:dyDescent="0.35">
      <c r="A1185" s="76"/>
      <c r="B1185" s="77"/>
      <c r="C1185" s="93"/>
      <c r="D1185" s="77"/>
      <c r="E1185" s="78" t="s">
        <v>1489</v>
      </c>
      <c r="F1185" s="78" t="s">
        <v>2276</v>
      </c>
      <c r="G1185" s="78" t="s">
        <v>1013</v>
      </c>
      <c r="H1185" s="78" t="s">
        <v>1012</v>
      </c>
      <c r="I1185" s="78">
        <v>152</v>
      </c>
      <c r="J1185" s="232"/>
    </row>
    <row r="1186" spans="1:10" x14ac:dyDescent="0.3">
      <c r="A1186" s="76"/>
      <c r="B1186" s="77"/>
      <c r="C1186" s="93"/>
      <c r="D1186" s="77"/>
      <c r="E1186" s="78" t="s">
        <v>1493</v>
      </c>
      <c r="F1186" s="78" t="s">
        <v>2276</v>
      </c>
      <c r="G1186" s="78" t="s">
        <v>552</v>
      </c>
      <c r="H1186" s="78" t="s">
        <v>551</v>
      </c>
      <c r="I1186" s="78">
        <v>71</v>
      </c>
      <c r="J1186" s="230"/>
    </row>
    <row r="1187" spans="1:10" x14ac:dyDescent="0.3">
      <c r="A1187" s="76"/>
      <c r="B1187" s="77"/>
      <c r="C1187" s="93"/>
      <c r="D1187" s="77"/>
      <c r="E1187" s="78" t="s">
        <v>1496</v>
      </c>
      <c r="F1187" s="78" t="s">
        <v>2276</v>
      </c>
      <c r="G1187" s="78" t="s">
        <v>707</v>
      </c>
      <c r="H1187" s="78" t="s">
        <v>706</v>
      </c>
      <c r="I1187" s="78">
        <v>93</v>
      </c>
      <c r="J1187" s="231">
        <v>78</v>
      </c>
    </row>
    <row r="1188" spans="1:10" ht="15" thickBot="1" x14ac:dyDescent="0.35">
      <c r="A1188" s="81"/>
      <c r="B1188" s="83"/>
      <c r="C1188" s="96"/>
      <c r="D1188" s="83"/>
      <c r="E1188" s="82" t="s">
        <v>1499</v>
      </c>
      <c r="F1188" s="82" t="s">
        <v>2276</v>
      </c>
      <c r="G1188" s="82" t="s">
        <v>1214</v>
      </c>
      <c r="H1188" s="82" t="s">
        <v>1213</v>
      </c>
      <c r="I1188" s="82"/>
      <c r="J1188" s="231"/>
    </row>
    <row r="1189" spans="1:10" x14ac:dyDescent="0.3">
      <c r="A1189" s="72" t="s">
        <v>1480</v>
      </c>
      <c r="B1189" s="73" t="s">
        <v>530</v>
      </c>
      <c r="C1189" s="95" t="s">
        <v>1480</v>
      </c>
      <c r="D1189" s="73" t="s">
        <v>1690</v>
      </c>
      <c r="E1189" s="74" t="s">
        <v>1479</v>
      </c>
      <c r="F1189" s="74" t="s">
        <v>1485</v>
      </c>
      <c r="G1189" s="74" t="s">
        <v>2275</v>
      </c>
      <c r="H1189" s="74"/>
      <c r="I1189" s="74"/>
      <c r="J1189" s="231">
        <v>39</v>
      </c>
    </row>
    <row r="1190" spans="1:10" x14ac:dyDescent="0.3">
      <c r="A1190" s="76"/>
      <c r="B1190" s="77"/>
      <c r="C1190" s="93"/>
      <c r="D1190" s="77"/>
      <c r="E1190" s="78" t="s">
        <v>1489</v>
      </c>
      <c r="F1190" s="78" t="s">
        <v>2276</v>
      </c>
      <c r="G1190" s="78" t="s">
        <v>993</v>
      </c>
      <c r="H1190" s="78" t="s">
        <v>992</v>
      </c>
      <c r="I1190" s="78">
        <v>145</v>
      </c>
      <c r="J1190" s="231">
        <v>93</v>
      </c>
    </row>
    <row r="1191" spans="1:10" ht="15" thickBot="1" x14ac:dyDescent="0.35">
      <c r="A1191" s="76"/>
      <c r="B1191" s="77"/>
      <c r="C1191" s="93"/>
      <c r="D1191" s="77"/>
      <c r="E1191" s="78" t="s">
        <v>1493</v>
      </c>
      <c r="F1191" s="78" t="s">
        <v>2276</v>
      </c>
      <c r="G1191" s="78" t="s">
        <v>525</v>
      </c>
      <c r="H1191" s="78" t="s">
        <v>524</v>
      </c>
      <c r="I1191" s="78">
        <v>68</v>
      </c>
      <c r="J1191" s="232"/>
    </row>
    <row r="1192" spans="1:10" x14ac:dyDescent="0.3">
      <c r="A1192" s="76"/>
      <c r="B1192" s="77"/>
      <c r="C1192" s="93"/>
      <c r="D1192" s="77"/>
      <c r="E1192" s="78" t="s">
        <v>1496</v>
      </c>
      <c r="F1192" s="78" t="s">
        <v>2276</v>
      </c>
      <c r="G1192" s="78" t="s">
        <v>745</v>
      </c>
      <c r="H1192" s="78" t="s">
        <v>744</v>
      </c>
      <c r="I1192" s="78">
        <v>99</v>
      </c>
      <c r="J1192" s="230"/>
    </row>
    <row r="1193" spans="1:10" ht="15" thickBot="1" x14ac:dyDescent="0.35">
      <c r="A1193" s="81"/>
      <c r="B1193" s="83"/>
      <c r="C1193" s="96"/>
      <c r="D1193" s="83"/>
      <c r="E1193" s="82" t="s">
        <v>1499</v>
      </c>
      <c r="F1193" s="82" t="s">
        <v>2276</v>
      </c>
      <c r="G1193" s="82" t="s">
        <v>1218</v>
      </c>
      <c r="H1193" s="82" t="s">
        <v>1217</v>
      </c>
      <c r="I1193" s="82"/>
      <c r="J1193" s="231">
        <v>90</v>
      </c>
    </row>
    <row r="1194" spans="1:10" x14ac:dyDescent="0.3">
      <c r="A1194" s="72" t="s">
        <v>1480</v>
      </c>
      <c r="B1194" s="73" t="s">
        <v>267</v>
      </c>
      <c r="C1194" s="95" t="s">
        <v>1480</v>
      </c>
      <c r="D1194" s="73" t="s">
        <v>1843</v>
      </c>
      <c r="E1194" s="74" t="s">
        <v>1479</v>
      </c>
      <c r="F1194" s="74" t="s">
        <v>1485</v>
      </c>
      <c r="G1194" s="74" t="s">
        <v>2275</v>
      </c>
      <c r="H1194" s="74"/>
      <c r="I1194" s="74"/>
      <c r="J1194" s="231">
        <v>50</v>
      </c>
    </row>
    <row r="1195" spans="1:10" x14ac:dyDescent="0.3">
      <c r="A1195" s="76"/>
      <c r="B1195" s="77"/>
      <c r="C1195" s="93"/>
      <c r="D1195" s="77"/>
      <c r="E1195" s="78" t="s">
        <v>1489</v>
      </c>
      <c r="F1195" s="78" t="s">
        <v>2276</v>
      </c>
      <c r="G1195" s="78" t="s">
        <v>898</v>
      </c>
      <c r="H1195" s="78" t="s">
        <v>897</v>
      </c>
      <c r="I1195" s="78">
        <v>129</v>
      </c>
      <c r="J1195" s="231"/>
    </row>
    <row r="1196" spans="1:10" ht="15" thickBot="1" x14ac:dyDescent="0.35">
      <c r="A1196" s="76"/>
      <c r="B1196" s="77"/>
      <c r="C1196" s="93"/>
      <c r="D1196" s="77"/>
      <c r="E1196" s="78" t="s">
        <v>1493</v>
      </c>
      <c r="F1196" s="78" t="s">
        <v>2276</v>
      </c>
      <c r="G1196" s="78" t="s">
        <v>491</v>
      </c>
      <c r="H1196" s="78" t="s">
        <v>490</v>
      </c>
      <c r="I1196" s="78">
        <v>64</v>
      </c>
      <c r="J1196" s="232"/>
    </row>
    <row r="1197" spans="1:10" x14ac:dyDescent="0.3">
      <c r="A1197" s="76"/>
      <c r="B1197" s="77"/>
      <c r="C1197" s="93"/>
      <c r="D1197" s="77"/>
      <c r="E1197" s="78" t="s">
        <v>1496</v>
      </c>
      <c r="F1197" s="78" t="s">
        <v>2276</v>
      </c>
      <c r="G1197" s="78" t="s">
        <v>259</v>
      </c>
      <c r="H1197" s="78" t="s">
        <v>258</v>
      </c>
      <c r="I1197" s="78">
        <v>31</v>
      </c>
      <c r="J1197" s="230"/>
    </row>
    <row r="1198" spans="1:10" ht="15" thickBot="1" x14ac:dyDescent="0.35">
      <c r="A1198" s="81"/>
      <c r="B1198" s="83"/>
      <c r="C1198" s="96"/>
      <c r="D1198" s="83"/>
      <c r="E1198" s="82" t="s">
        <v>1499</v>
      </c>
      <c r="F1198" s="82" t="s">
        <v>2276</v>
      </c>
      <c r="G1198" s="82" t="s">
        <v>1319</v>
      </c>
      <c r="H1198" s="82" t="s">
        <v>1318</v>
      </c>
      <c r="I1198" s="82"/>
      <c r="J1198" s="231">
        <v>89</v>
      </c>
    </row>
    <row r="1199" spans="1:10" x14ac:dyDescent="0.3">
      <c r="A1199" s="72" t="s">
        <v>1480</v>
      </c>
      <c r="B1199" s="73" t="s">
        <v>488</v>
      </c>
      <c r="C1199" s="95" t="s">
        <v>1480</v>
      </c>
      <c r="D1199" s="73" t="s">
        <v>1851</v>
      </c>
      <c r="E1199" s="74" t="s">
        <v>1479</v>
      </c>
      <c r="F1199" s="74" t="s">
        <v>1485</v>
      </c>
      <c r="G1199" s="74" t="s">
        <v>2275</v>
      </c>
      <c r="H1199" s="74"/>
      <c r="I1199" s="74"/>
      <c r="J1199" s="231">
        <v>49</v>
      </c>
    </row>
    <row r="1200" spans="1:10" x14ac:dyDescent="0.3">
      <c r="A1200" s="76"/>
      <c r="B1200" s="77"/>
      <c r="C1200" s="93"/>
      <c r="D1200" s="77"/>
      <c r="E1200" s="78" t="s">
        <v>1489</v>
      </c>
      <c r="F1200" s="78" t="s">
        <v>2276</v>
      </c>
      <c r="G1200" s="78" t="s">
        <v>889</v>
      </c>
      <c r="H1200" s="78" t="s">
        <v>888</v>
      </c>
      <c r="I1200" s="78">
        <v>126</v>
      </c>
      <c r="J1200" s="231"/>
    </row>
    <row r="1201" spans="1:10" ht="15" thickBot="1" x14ac:dyDescent="0.35">
      <c r="A1201" s="76"/>
      <c r="B1201" s="77"/>
      <c r="C1201" s="93"/>
      <c r="D1201" s="77"/>
      <c r="E1201" s="78" t="s">
        <v>1493</v>
      </c>
      <c r="F1201" s="78" t="s">
        <v>2276</v>
      </c>
      <c r="G1201" s="78" t="s">
        <v>482</v>
      </c>
      <c r="H1201" s="78" t="s">
        <v>481</v>
      </c>
      <c r="I1201" s="78">
        <v>63</v>
      </c>
      <c r="J1201" s="232"/>
    </row>
    <row r="1202" spans="1:10" x14ac:dyDescent="0.3">
      <c r="A1202" s="76"/>
      <c r="B1202" s="77"/>
      <c r="C1202" s="93"/>
      <c r="D1202" s="77"/>
      <c r="E1202" s="78" t="s">
        <v>1496</v>
      </c>
      <c r="F1202" s="78" t="s">
        <v>2276</v>
      </c>
      <c r="G1202" s="78" t="s">
        <v>794</v>
      </c>
      <c r="H1202" s="78" t="s">
        <v>793</v>
      </c>
      <c r="I1202" s="78">
        <v>111</v>
      </c>
      <c r="J1202" s="230"/>
    </row>
    <row r="1203" spans="1:10" ht="15" thickBot="1" x14ac:dyDescent="0.35">
      <c r="A1203" s="81"/>
      <c r="B1203" s="83"/>
      <c r="C1203" s="96"/>
      <c r="D1203" s="83"/>
      <c r="E1203" s="82" t="s">
        <v>1499</v>
      </c>
      <c r="F1203" s="82" t="s">
        <v>2276</v>
      </c>
      <c r="G1203" s="82" t="s">
        <v>1323</v>
      </c>
      <c r="H1203" s="82" t="s">
        <v>1322</v>
      </c>
      <c r="I1203" s="82"/>
      <c r="J1203" s="231">
        <v>88</v>
      </c>
    </row>
    <row r="1204" spans="1:10" x14ac:dyDescent="0.3">
      <c r="A1204" s="72" t="s">
        <v>1480</v>
      </c>
      <c r="B1204" s="73" t="s">
        <v>463</v>
      </c>
      <c r="C1204" s="95" t="s">
        <v>1480</v>
      </c>
      <c r="D1204" s="73" t="s">
        <v>1860</v>
      </c>
      <c r="E1204" s="74" t="s">
        <v>1479</v>
      </c>
      <c r="F1204" s="74" t="s">
        <v>1485</v>
      </c>
      <c r="G1204" s="74" t="s">
        <v>2275</v>
      </c>
      <c r="H1204" s="74"/>
      <c r="I1204" s="74"/>
      <c r="J1204" s="231">
        <v>46</v>
      </c>
    </row>
    <row r="1205" spans="1:10" x14ac:dyDescent="0.3">
      <c r="A1205" s="76"/>
      <c r="B1205" s="77"/>
      <c r="C1205" s="93"/>
      <c r="D1205" s="77"/>
      <c r="E1205" s="78" t="s">
        <v>1489</v>
      </c>
      <c r="F1205" s="78" t="s">
        <v>2276</v>
      </c>
      <c r="G1205" s="78" t="s">
        <v>830</v>
      </c>
      <c r="H1205" s="78" t="s">
        <v>829</v>
      </c>
      <c r="I1205" s="78">
        <v>117</v>
      </c>
      <c r="J1205" s="231"/>
    </row>
    <row r="1206" spans="1:10" ht="15" thickBot="1" x14ac:dyDescent="0.35">
      <c r="A1206" s="76"/>
      <c r="B1206" s="77"/>
      <c r="C1206" s="93"/>
      <c r="D1206" s="77"/>
      <c r="E1206" s="78" t="s">
        <v>1493</v>
      </c>
      <c r="F1206" s="78" t="s">
        <v>2276</v>
      </c>
      <c r="G1206" s="78" t="s">
        <v>459</v>
      </c>
      <c r="H1206" s="78" t="s">
        <v>458</v>
      </c>
      <c r="I1206" s="78">
        <v>56</v>
      </c>
      <c r="J1206" s="232"/>
    </row>
    <row r="1207" spans="1:10" x14ac:dyDescent="0.3">
      <c r="A1207" s="76"/>
      <c r="B1207" s="77"/>
      <c r="C1207" s="93"/>
      <c r="D1207" s="77"/>
      <c r="E1207" s="78" t="s">
        <v>1496</v>
      </c>
      <c r="F1207" s="78" t="s">
        <v>2276</v>
      </c>
      <c r="G1207" s="78" t="s">
        <v>817</v>
      </c>
      <c r="H1207" s="78" t="s">
        <v>816</v>
      </c>
      <c r="I1207" s="78">
        <v>115</v>
      </c>
      <c r="J1207" s="230"/>
    </row>
    <row r="1208" spans="1:10" ht="15" thickBot="1" x14ac:dyDescent="0.35">
      <c r="A1208" s="81"/>
      <c r="B1208" s="83"/>
      <c r="C1208" s="96"/>
      <c r="D1208" s="83"/>
      <c r="E1208" s="82" t="s">
        <v>1499</v>
      </c>
      <c r="F1208" s="82" t="s">
        <v>2276</v>
      </c>
      <c r="G1208" s="82" t="s">
        <v>1327</v>
      </c>
      <c r="H1208" s="82" t="s">
        <v>1326</v>
      </c>
      <c r="I1208" s="82"/>
      <c r="J1208" s="231">
        <v>83</v>
      </c>
    </row>
    <row r="1209" spans="1:10" x14ac:dyDescent="0.3">
      <c r="A1209" s="72" t="s">
        <v>1480</v>
      </c>
      <c r="B1209" s="73" t="s">
        <v>456</v>
      </c>
      <c r="C1209" s="95" t="s">
        <v>1480</v>
      </c>
      <c r="D1209" s="73" t="s">
        <v>1870</v>
      </c>
      <c r="E1209" s="74" t="s">
        <v>1479</v>
      </c>
      <c r="F1209" s="74" t="s">
        <v>1485</v>
      </c>
      <c r="G1209" s="74" t="s">
        <v>2275</v>
      </c>
      <c r="H1209" s="74"/>
      <c r="I1209" s="74"/>
      <c r="J1209" s="231">
        <v>45</v>
      </c>
    </row>
    <row r="1210" spans="1:10" x14ac:dyDescent="0.3">
      <c r="A1210" s="76"/>
      <c r="B1210" s="77"/>
      <c r="C1210" s="93"/>
      <c r="D1210" s="77"/>
      <c r="E1210" s="78" t="s">
        <v>1489</v>
      </c>
      <c r="F1210" s="78" t="s">
        <v>2276</v>
      </c>
      <c r="G1210" s="78" t="s">
        <v>824</v>
      </c>
      <c r="H1210" s="78" t="s">
        <v>823</v>
      </c>
      <c r="I1210" s="78">
        <v>116</v>
      </c>
      <c r="J1210" s="231"/>
    </row>
    <row r="1211" spans="1:10" ht="15" thickBot="1" x14ac:dyDescent="0.35">
      <c r="A1211" s="76"/>
      <c r="B1211" s="77"/>
      <c r="C1211" s="93"/>
      <c r="D1211" s="77"/>
      <c r="E1211" s="78" t="s">
        <v>1493</v>
      </c>
      <c r="F1211" s="78" t="s">
        <v>2276</v>
      </c>
      <c r="G1211" s="78" t="s">
        <v>452</v>
      </c>
      <c r="H1211" s="78" t="s">
        <v>451</v>
      </c>
      <c r="I1211" s="78">
        <v>55</v>
      </c>
      <c r="J1211" s="232"/>
    </row>
    <row r="1212" spans="1:10" x14ac:dyDescent="0.3">
      <c r="A1212" s="76"/>
      <c r="B1212" s="77"/>
      <c r="C1212" s="93"/>
      <c r="D1212" s="77"/>
      <c r="E1212" s="78" t="s">
        <v>1496</v>
      </c>
      <c r="F1212" s="78" t="s">
        <v>2276</v>
      </c>
      <c r="G1212" s="78" t="s">
        <v>836</v>
      </c>
      <c r="H1212" s="78" t="s">
        <v>835</v>
      </c>
      <c r="I1212" s="78">
        <v>118</v>
      </c>
      <c r="J1212" s="230"/>
    </row>
    <row r="1213" spans="1:10" ht="15" thickBot="1" x14ac:dyDescent="0.35">
      <c r="A1213" s="81"/>
      <c r="B1213" s="83"/>
      <c r="C1213" s="96"/>
      <c r="D1213" s="83"/>
      <c r="E1213" s="82" t="s">
        <v>1499</v>
      </c>
      <c r="F1213" s="82" t="s">
        <v>2276</v>
      </c>
      <c r="G1213" s="82" t="s">
        <v>1331</v>
      </c>
      <c r="H1213" s="82" t="s">
        <v>1330</v>
      </c>
      <c r="I1213" s="82"/>
      <c r="J1213" s="231">
        <v>75</v>
      </c>
    </row>
    <row r="1214" spans="1:10" x14ac:dyDescent="0.3">
      <c r="A1214" s="72" t="s">
        <v>1480</v>
      </c>
      <c r="B1214" s="73" t="s">
        <v>448</v>
      </c>
      <c r="C1214" s="95" t="s">
        <v>1480</v>
      </c>
      <c r="D1214" s="73" t="s">
        <v>1877</v>
      </c>
      <c r="E1214" s="74" t="s">
        <v>1479</v>
      </c>
      <c r="F1214" s="74" t="s">
        <v>1485</v>
      </c>
      <c r="G1214" s="74" t="s">
        <v>2275</v>
      </c>
      <c r="H1214" s="74"/>
      <c r="I1214" s="74"/>
      <c r="J1214" s="231">
        <v>42</v>
      </c>
    </row>
    <row r="1215" spans="1:10" x14ac:dyDescent="0.3">
      <c r="A1215" s="76"/>
      <c r="B1215" s="77"/>
      <c r="C1215" s="93"/>
      <c r="D1215" s="77"/>
      <c r="E1215" s="78" t="s">
        <v>1489</v>
      </c>
      <c r="F1215" s="78" t="s">
        <v>2276</v>
      </c>
      <c r="G1215" s="78" t="s">
        <v>811</v>
      </c>
      <c r="H1215" s="78" t="s">
        <v>810</v>
      </c>
      <c r="I1215" s="78">
        <v>114</v>
      </c>
      <c r="J1215" s="231">
        <v>20</v>
      </c>
    </row>
    <row r="1216" spans="1:10" ht="15" thickBot="1" x14ac:dyDescent="0.35">
      <c r="A1216" s="76"/>
      <c r="B1216" s="77"/>
      <c r="C1216" s="93"/>
      <c r="D1216" s="77"/>
      <c r="E1216" s="78" t="s">
        <v>1493</v>
      </c>
      <c r="F1216" s="78" t="s">
        <v>2276</v>
      </c>
      <c r="G1216" s="78" t="s">
        <v>444</v>
      </c>
      <c r="H1216" s="78" t="s">
        <v>443</v>
      </c>
      <c r="I1216" s="78">
        <v>54</v>
      </c>
      <c r="J1216" s="232"/>
    </row>
    <row r="1217" spans="1:10" x14ac:dyDescent="0.3">
      <c r="A1217" s="76"/>
      <c r="B1217" s="77"/>
      <c r="C1217" s="93"/>
      <c r="D1217" s="77"/>
      <c r="E1217" s="78" t="s">
        <v>1496</v>
      </c>
      <c r="F1217" s="78" t="s">
        <v>2276</v>
      </c>
      <c r="G1217" s="78" t="s">
        <v>863</v>
      </c>
      <c r="H1217" s="78" t="s">
        <v>862</v>
      </c>
      <c r="I1217" s="78">
        <v>122</v>
      </c>
      <c r="J1217" s="230"/>
    </row>
    <row r="1218" spans="1:10" ht="15" thickBot="1" x14ac:dyDescent="0.35">
      <c r="A1218" s="81"/>
      <c r="B1218" s="83"/>
      <c r="C1218" s="96"/>
      <c r="D1218" s="83"/>
      <c r="E1218" s="82" t="s">
        <v>1499</v>
      </c>
      <c r="F1218" s="82" t="s">
        <v>2276</v>
      </c>
      <c r="G1218" s="82" t="s">
        <v>1335</v>
      </c>
      <c r="H1218" s="82" t="s">
        <v>1334</v>
      </c>
      <c r="I1218" s="82"/>
      <c r="J1218" s="231">
        <v>74</v>
      </c>
    </row>
    <row r="1219" spans="1:10" x14ac:dyDescent="0.3">
      <c r="A1219" s="72" t="s">
        <v>1480</v>
      </c>
      <c r="B1219" s="73" t="s">
        <v>344</v>
      </c>
      <c r="C1219" s="95" t="s">
        <v>1480</v>
      </c>
      <c r="D1219" s="73" t="s">
        <v>1885</v>
      </c>
      <c r="E1219" s="74" t="s">
        <v>1479</v>
      </c>
      <c r="F1219" s="74" t="s">
        <v>1485</v>
      </c>
      <c r="G1219" s="74" t="s">
        <v>2275</v>
      </c>
      <c r="H1219" s="74"/>
      <c r="I1219" s="74"/>
      <c r="J1219" s="231">
        <v>41</v>
      </c>
    </row>
    <row r="1220" spans="1:10" x14ac:dyDescent="0.3">
      <c r="A1220" s="76"/>
      <c r="B1220" s="77"/>
      <c r="C1220" s="93"/>
      <c r="D1220" s="77"/>
      <c r="E1220" s="78" t="s">
        <v>1489</v>
      </c>
      <c r="F1220" s="78" t="s">
        <v>2276</v>
      </c>
      <c r="G1220" s="78" t="s">
        <v>806</v>
      </c>
      <c r="H1220" s="78" t="s">
        <v>805</v>
      </c>
      <c r="I1220" s="78">
        <v>113</v>
      </c>
      <c r="J1220" s="231"/>
    </row>
    <row r="1221" spans="1:10" ht="15" thickBot="1" x14ac:dyDescent="0.35">
      <c r="A1221" s="76"/>
      <c r="B1221" s="77"/>
      <c r="C1221" s="93"/>
      <c r="D1221" s="77"/>
      <c r="E1221" s="78" t="s">
        <v>1493</v>
      </c>
      <c r="F1221" s="78" t="s">
        <v>2276</v>
      </c>
      <c r="G1221" s="78" t="s">
        <v>338</v>
      </c>
      <c r="H1221" s="78" t="s">
        <v>337</v>
      </c>
      <c r="I1221" s="78">
        <v>41</v>
      </c>
      <c r="J1221" s="232"/>
    </row>
    <row r="1222" spans="1:10" x14ac:dyDescent="0.3">
      <c r="A1222" s="76"/>
      <c r="B1222" s="77"/>
      <c r="C1222" s="93"/>
      <c r="D1222" s="77"/>
      <c r="E1222" s="78" t="s">
        <v>1496</v>
      </c>
      <c r="F1222" s="78" t="s">
        <v>2276</v>
      </c>
      <c r="G1222" s="78" t="s">
        <v>882</v>
      </c>
      <c r="H1222" s="78" t="s">
        <v>881</v>
      </c>
      <c r="I1222" s="78">
        <v>125</v>
      </c>
      <c r="J1222" s="230"/>
    </row>
    <row r="1223" spans="1:10" ht="15" thickBot="1" x14ac:dyDescent="0.35">
      <c r="A1223" s="81"/>
      <c r="B1223" s="83"/>
      <c r="C1223" s="96"/>
      <c r="D1223" s="83"/>
      <c r="E1223" s="82" t="s">
        <v>1499</v>
      </c>
      <c r="F1223" s="82" t="s">
        <v>2276</v>
      </c>
      <c r="G1223" s="82" t="s">
        <v>1339</v>
      </c>
      <c r="H1223" s="82" t="s">
        <v>1338</v>
      </c>
      <c r="I1223" s="82"/>
      <c r="J1223" s="231">
        <v>68</v>
      </c>
    </row>
    <row r="1224" spans="1:10" x14ac:dyDescent="0.3">
      <c r="A1224" s="72" t="s">
        <v>1480</v>
      </c>
      <c r="B1224" s="73" t="s">
        <v>54</v>
      </c>
      <c r="C1224" s="95" t="s">
        <v>1480</v>
      </c>
      <c r="D1224" s="73" t="s">
        <v>1552</v>
      </c>
      <c r="E1224" s="74" t="s">
        <v>1479</v>
      </c>
      <c r="F1224" s="74" t="s">
        <v>1485</v>
      </c>
      <c r="G1224" s="74" t="s">
        <v>2275</v>
      </c>
      <c r="H1224" s="74"/>
      <c r="I1224" s="74"/>
      <c r="J1224" s="231">
        <v>36</v>
      </c>
    </row>
    <row r="1225" spans="1:10" x14ac:dyDescent="0.3">
      <c r="A1225" s="76"/>
      <c r="B1225" s="77"/>
      <c r="C1225" s="93"/>
      <c r="D1225" s="77"/>
      <c r="E1225" s="78" t="s">
        <v>1489</v>
      </c>
      <c r="F1225" s="78" t="s">
        <v>2276</v>
      </c>
      <c r="G1225" s="78" t="s">
        <v>877</v>
      </c>
      <c r="H1225" s="78" t="s">
        <v>876</v>
      </c>
      <c r="I1225" s="78">
        <v>124</v>
      </c>
      <c r="J1225" s="231"/>
    </row>
    <row r="1226" spans="1:10" ht="15" thickBot="1" x14ac:dyDescent="0.35">
      <c r="A1226" s="76"/>
      <c r="B1226" s="77"/>
      <c r="C1226" s="93"/>
      <c r="D1226" s="77"/>
      <c r="E1226" s="78" t="s">
        <v>1493</v>
      </c>
      <c r="F1226" s="78" t="s">
        <v>2276</v>
      </c>
      <c r="G1226" s="78" t="s">
        <v>48</v>
      </c>
      <c r="H1226" s="78" t="s">
        <v>47</v>
      </c>
      <c r="I1226" s="78">
        <v>3</v>
      </c>
      <c r="J1226" s="232"/>
    </row>
    <row r="1227" spans="1:10" x14ac:dyDescent="0.3">
      <c r="A1227" s="76"/>
      <c r="B1227" s="77"/>
      <c r="C1227" s="93"/>
      <c r="D1227" s="77"/>
      <c r="E1227" s="78" t="s">
        <v>1496</v>
      </c>
      <c r="F1227" s="78" t="s">
        <v>2276</v>
      </c>
      <c r="G1227" s="78" t="s">
        <v>409</v>
      </c>
      <c r="H1227" s="78" t="s">
        <v>408</v>
      </c>
      <c r="I1227" s="78">
        <v>50</v>
      </c>
      <c r="J1227" s="230"/>
    </row>
    <row r="1228" spans="1:10" x14ac:dyDescent="0.3">
      <c r="A1228" s="76"/>
      <c r="B1228" s="77"/>
      <c r="C1228" s="93"/>
      <c r="D1228" s="77"/>
      <c r="E1228" s="78" t="s">
        <v>1499</v>
      </c>
      <c r="F1228" s="78" t="s">
        <v>2276</v>
      </c>
      <c r="G1228" s="78" t="s">
        <v>1004</v>
      </c>
      <c r="H1228" s="78" t="s">
        <v>1003</v>
      </c>
      <c r="I1228" s="78">
        <v>147</v>
      </c>
      <c r="J1228" s="231">
        <v>67</v>
      </c>
    </row>
    <row r="1229" spans="1:10" ht="15" thickBot="1" x14ac:dyDescent="0.35">
      <c r="A1229" s="81"/>
      <c r="B1229" s="83"/>
      <c r="C1229" s="96"/>
      <c r="D1229" s="83"/>
      <c r="E1229" s="82" t="s">
        <v>1502</v>
      </c>
      <c r="F1229" s="82" t="s">
        <v>2276</v>
      </c>
      <c r="G1229" s="82" t="s">
        <v>1166</v>
      </c>
      <c r="H1229" s="82" t="s">
        <v>1165</v>
      </c>
      <c r="I1229" s="82"/>
      <c r="J1229" s="231">
        <v>35</v>
      </c>
    </row>
    <row r="1230" spans="1:10" x14ac:dyDescent="0.3">
      <c r="A1230" s="72" t="s">
        <v>1480</v>
      </c>
      <c r="B1230" s="73" t="s">
        <v>334</v>
      </c>
      <c r="C1230" s="95" t="s">
        <v>1480</v>
      </c>
      <c r="D1230" s="73" t="s">
        <v>1891</v>
      </c>
      <c r="E1230" s="74" t="s">
        <v>1479</v>
      </c>
      <c r="F1230" s="74" t="s">
        <v>1485</v>
      </c>
      <c r="G1230" s="74" t="s">
        <v>2275</v>
      </c>
      <c r="H1230" s="74"/>
      <c r="I1230" s="74"/>
      <c r="J1230" s="231"/>
    </row>
    <row r="1231" spans="1:10" ht="15" thickBot="1" x14ac:dyDescent="0.35">
      <c r="A1231" s="76"/>
      <c r="B1231" s="77"/>
      <c r="C1231" s="93"/>
      <c r="D1231" s="77"/>
      <c r="E1231" s="78" t="s">
        <v>1489</v>
      </c>
      <c r="F1231" s="78" t="s">
        <v>2276</v>
      </c>
      <c r="G1231" s="78" t="s">
        <v>801</v>
      </c>
      <c r="H1231" s="78" t="s">
        <v>800</v>
      </c>
      <c r="I1231" s="78">
        <v>112</v>
      </c>
      <c r="J1231" s="232"/>
    </row>
    <row r="1232" spans="1:10" x14ac:dyDescent="0.3">
      <c r="A1232" s="76"/>
      <c r="B1232" s="77"/>
      <c r="C1232" s="93"/>
      <c r="D1232" s="77"/>
      <c r="E1232" s="78" t="s">
        <v>1493</v>
      </c>
      <c r="F1232" s="78" t="s">
        <v>2276</v>
      </c>
      <c r="G1232" s="78" t="s">
        <v>916</v>
      </c>
      <c r="H1232" s="78" t="s">
        <v>915</v>
      </c>
      <c r="I1232" s="78">
        <v>132</v>
      </c>
      <c r="J1232" s="230"/>
    </row>
    <row r="1233" spans="1:10" x14ac:dyDescent="0.3">
      <c r="A1233" s="76"/>
      <c r="B1233" s="77"/>
      <c r="C1233" s="93"/>
      <c r="D1233" s="77"/>
      <c r="E1233" s="78" t="s">
        <v>1496</v>
      </c>
      <c r="F1233" s="78" t="s">
        <v>2276</v>
      </c>
      <c r="G1233" s="78" t="s">
        <v>328</v>
      </c>
      <c r="H1233" s="78" t="s">
        <v>327</v>
      </c>
      <c r="I1233" s="78">
        <v>40</v>
      </c>
      <c r="J1233" s="231">
        <v>66</v>
      </c>
    </row>
    <row r="1234" spans="1:10" ht="15" thickBot="1" x14ac:dyDescent="0.35">
      <c r="A1234" s="81"/>
      <c r="B1234" s="83"/>
      <c r="C1234" s="96"/>
      <c r="D1234" s="83"/>
      <c r="E1234" s="82" t="s">
        <v>1499</v>
      </c>
      <c r="F1234" s="82" t="s">
        <v>2276</v>
      </c>
      <c r="G1234" s="82" t="s">
        <v>1343</v>
      </c>
      <c r="H1234" s="82" t="s">
        <v>1342</v>
      </c>
      <c r="I1234" s="82"/>
      <c r="J1234" s="231">
        <v>34</v>
      </c>
    </row>
    <row r="1235" spans="1:10" x14ac:dyDescent="0.3">
      <c r="A1235" s="72" t="s">
        <v>1480</v>
      </c>
      <c r="B1235" s="73" t="s">
        <v>304</v>
      </c>
      <c r="C1235" s="95" t="s">
        <v>1480</v>
      </c>
      <c r="D1235" s="73" t="s">
        <v>1896</v>
      </c>
      <c r="E1235" s="74" t="s">
        <v>1479</v>
      </c>
      <c r="F1235" s="74" t="s">
        <v>1485</v>
      </c>
      <c r="G1235" s="74" t="s">
        <v>2275</v>
      </c>
      <c r="H1235" s="74"/>
      <c r="I1235" s="74"/>
      <c r="J1235" s="231"/>
    </row>
    <row r="1236" spans="1:10" ht="15" thickBot="1" x14ac:dyDescent="0.35">
      <c r="A1236" s="76"/>
      <c r="B1236" s="77"/>
      <c r="C1236" s="93"/>
      <c r="D1236" s="77"/>
      <c r="E1236" s="78" t="s">
        <v>1489</v>
      </c>
      <c r="F1236" s="78" t="s">
        <v>2276</v>
      </c>
      <c r="G1236" s="78" t="s">
        <v>788</v>
      </c>
      <c r="H1236" s="78" t="s">
        <v>787</v>
      </c>
      <c r="I1236" s="78">
        <v>110</v>
      </c>
      <c r="J1236" s="232"/>
    </row>
    <row r="1237" spans="1:10" x14ac:dyDescent="0.3">
      <c r="A1237" s="76"/>
      <c r="B1237" s="77"/>
      <c r="C1237" s="93"/>
      <c r="D1237" s="77"/>
      <c r="E1237" s="78" t="s">
        <v>1493</v>
      </c>
      <c r="F1237" s="78" t="s">
        <v>2276</v>
      </c>
      <c r="G1237" s="78" t="s">
        <v>295</v>
      </c>
      <c r="H1237" s="78" t="s">
        <v>294</v>
      </c>
      <c r="I1237" s="78">
        <v>35</v>
      </c>
      <c r="J1237" s="230"/>
    </row>
    <row r="1238" spans="1:10" x14ac:dyDescent="0.3">
      <c r="A1238" s="76"/>
      <c r="B1238" s="77"/>
      <c r="C1238" s="93"/>
      <c r="D1238" s="77"/>
      <c r="E1238" s="78" t="s">
        <v>1496</v>
      </c>
      <c r="F1238" s="78" t="s">
        <v>2276</v>
      </c>
      <c r="G1238" s="78" t="s">
        <v>928</v>
      </c>
      <c r="H1238" s="78" t="s">
        <v>927</v>
      </c>
      <c r="I1238" s="78">
        <v>134</v>
      </c>
      <c r="J1238" s="231">
        <v>65</v>
      </c>
    </row>
    <row r="1239" spans="1:10" ht="15" thickBot="1" x14ac:dyDescent="0.35">
      <c r="A1239" s="81"/>
      <c r="B1239" s="83"/>
      <c r="C1239" s="96"/>
      <c r="D1239" s="83"/>
      <c r="E1239" s="82" t="s">
        <v>1499</v>
      </c>
      <c r="F1239" s="82" t="s">
        <v>2276</v>
      </c>
      <c r="G1239" s="82" t="s">
        <v>1347</v>
      </c>
      <c r="H1239" s="82" t="s">
        <v>1346</v>
      </c>
      <c r="I1239" s="82"/>
      <c r="J1239" s="231"/>
    </row>
    <row r="1240" spans="1:10" x14ac:dyDescent="0.3">
      <c r="A1240" s="72" t="s">
        <v>1480</v>
      </c>
      <c r="B1240" s="73" t="s">
        <v>96</v>
      </c>
      <c r="C1240" s="95" t="s">
        <v>1480</v>
      </c>
      <c r="D1240" s="73" t="s">
        <v>1566</v>
      </c>
      <c r="E1240" s="74" t="s">
        <v>1479</v>
      </c>
      <c r="F1240" s="74" t="s">
        <v>1485</v>
      </c>
      <c r="G1240" s="74" t="s">
        <v>2275</v>
      </c>
      <c r="H1240" s="74"/>
      <c r="I1240" s="74"/>
      <c r="J1240" s="231"/>
    </row>
    <row r="1241" spans="1:10" ht="15" thickBot="1" x14ac:dyDescent="0.35">
      <c r="A1241" s="76"/>
      <c r="B1241" s="77"/>
      <c r="C1241" s="93"/>
      <c r="D1241" s="77"/>
      <c r="E1241" s="78" t="s">
        <v>1489</v>
      </c>
      <c r="F1241" s="78" t="s">
        <v>2276</v>
      </c>
      <c r="G1241" s="78" t="s">
        <v>871</v>
      </c>
      <c r="H1241" s="78" t="s">
        <v>870</v>
      </c>
      <c r="I1241" s="78">
        <v>123</v>
      </c>
      <c r="J1241" s="232"/>
    </row>
    <row r="1242" spans="1:10" x14ac:dyDescent="0.3">
      <c r="A1242" s="76"/>
      <c r="B1242" s="77"/>
      <c r="C1242" s="93"/>
      <c r="D1242" s="77"/>
      <c r="E1242" s="78" t="s">
        <v>1493</v>
      </c>
      <c r="F1242" s="78" t="s">
        <v>2276</v>
      </c>
      <c r="G1242" s="78" t="s">
        <v>88</v>
      </c>
      <c r="H1242" s="78" t="s">
        <v>87</v>
      </c>
      <c r="I1242" s="78">
        <v>6</v>
      </c>
      <c r="J1242" s="230"/>
    </row>
    <row r="1243" spans="1:10" x14ac:dyDescent="0.3">
      <c r="A1243" s="76"/>
      <c r="B1243" s="77"/>
      <c r="C1243" s="93"/>
      <c r="D1243" s="77"/>
      <c r="E1243" s="78" t="s">
        <v>1496</v>
      </c>
      <c r="F1243" s="78" t="s">
        <v>2276</v>
      </c>
      <c r="G1243" s="78" t="s">
        <v>403</v>
      </c>
      <c r="H1243" s="78" t="s">
        <v>402</v>
      </c>
      <c r="I1243" s="78">
        <v>49</v>
      </c>
      <c r="J1243" s="231">
        <v>73</v>
      </c>
    </row>
    <row r="1244" spans="1:10" x14ac:dyDescent="0.3">
      <c r="A1244" s="76"/>
      <c r="B1244" s="77"/>
      <c r="C1244" s="93"/>
      <c r="D1244" s="77"/>
      <c r="E1244" s="78" t="s">
        <v>1499</v>
      </c>
      <c r="F1244" s="78" t="s">
        <v>2276</v>
      </c>
      <c r="G1244" s="78" t="s">
        <v>223</v>
      </c>
      <c r="H1244" s="78" t="s">
        <v>222</v>
      </c>
      <c r="I1244" s="78">
        <v>27</v>
      </c>
      <c r="J1244" s="231"/>
    </row>
    <row r="1245" spans="1:10" ht="15" thickBot="1" x14ac:dyDescent="0.35">
      <c r="A1245" s="81"/>
      <c r="B1245" s="83"/>
      <c r="C1245" s="96"/>
      <c r="D1245" s="83"/>
      <c r="E1245" s="82" t="s">
        <v>1502</v>
      </c>
      <c r="F1245" s="82" t="s">
        <v>2276</v>
      </c>
      <c r="G1245" s="82" t="s">
        <v>1170</v>
      </c>
      <c r="H1245" s="82" t="s">
        <v>1169</v>
      </c>
      <c r="I1245" s="82"/>
      <c r="J1245" s="231">
        <v>30</v>
      </c>
    </row>
    <row r="1246" spans="1:10" x14ac:dyDescent="0.3">
      <c r="A1246" s="72" t="s">
        <v>1480</v>
      </c>
      <c r="B1246" s="73" t="s">
        <v>173</v>
      </c>
      <c r="C1246" s="95" t="s">
        <v>1480</v>
      </c>
      <c r="D1246" s="73" t="s">
        <v>1584</v>
      </c>
      <c r="E1246" s="74" t="s">
        <v>1479</v>
      </c>
      <c r="F1246" s="74" t="s">
        <v>1485</v>
      </c>
      <c r="G1246" s="74" t="s">
        <v>2275</v>
      </c>
      <c r="H1246" s="74"/>
      <c r="I1246" s="74"/>
      <c r="J1246" s="231">
        <v>85</v>
      </c>
    </row>
    <row r="1247" spans="1:10" ht="15" thickBot="1" x14ac:dyDescent="0.35">
      <c r="A1247" s="76"/>
      <c r="B1247" s="77"/>
      <c r="C1247" s="93"/>
      <c r="D1247" s="77"/>
      <c r="E1247" s="78" t="s">
        <v>1489</v>
      </c>
      <c r="F1247" s="78" t="s">
        <v>2276</v>
      </c>
      <c r="G1247" s="78" t="s">
        <v>1101</v>
      </c>
      <c r="H1247" s="78" t="s">
        <v>1100</v>
      </c>
      <c r="I1247" s="78">
        <v>170</v>
      </c>
      <c r="J1247" s="232"/>
    </row>
    <row r="1248" spans="1:10" x14ac:dyDescent="0.3">
      <c r="A1248" s="76"/>
      <c r="B1248" s="77"/>
      <c r="C1248" s="93"/>
      <c r="D1248" s="77"/>
      <c r="E1248" s="78" t="s">
        <v>1493</v>
      </c>
      <c r="F1248" s="78" t="s">
        <v>2276</v>
      </c>
      <c r="G1248" s="78" t="s">
        <v>981</v>
      </c>
      <c r="H1248" s="78" t="s">
        <v>980</v>
      </c>
      <c r="I1248" s="78">
        <v>143</v>
      </c>
      <c r="J1248" s="230"/>
    </row>
    <row r="1249" spans="1:10" x14ac:dyDescent="0.3">
      <c r="A1249" s="76"/>
      <c r="B1249" s="77"/>
      <c r="C1249" s="93"/>
      <c r="D1249" s="77"/>
      <c r="E1249" s="78" t="s">
        <v>1496</v>
      </c>
      <c r="F1249" s="78" t="s">
        <v>2276</v>
      </c>
      <c r="G1249" s="78" t="s">
        <v>1088</v>
      </c>
      <c r="H1249" s="78" t="s">
        <v>1087</v>
      </c>
      <c r="I1249" s="78">
        <v>166</v>
      </c>
      <c r="J1249" s="231">
        <v>64</v>
      </c>
    </row>
    <row r="1250" spans="1:10" x14ac:dyDescent="0.3">
      <c r="A1250" s="76"/>
      <c r="B1250" s="77"/>
      <c r="C1250" s="93"/>
      <c r="D1250" s="77"/>
      <c r="E1250" s="78" t="s">
        <v>1499</v>
      </c>
      <c r="F1250" s="78" t="s">
        <v>2276</v>
      </c>
      <c r="G1250" s="78" t="s">
        <v>164</v>
      </c>
      <c r="H1250" s="78" t="s">
        <v>163</v>
      </c>
      <c r="I1250" s="78">
        <v>13</v>
      </c>
      <c r="J1250" s="231"/>
    </row>
    <row r="1251" spans="1:10" ht="15" thickBot="1" x14ac:dyDescent="0.35">
      <c r="A1251" s="81"/>
      <c r="B1251" s="83"/>
      <c r="C1251" s="96"/>
      <c r="D1251" s="83"/>
      <c r="E1251" s="82" t="s">
        <v>1502</v>
      </c>
      <c r="F1251" s="82" t="s">
        <v>2276</v>
      </c>
      <c r="G1251" s="82" t="s">
        <v>1174</v>
      </c>
      <c r="H1251" s="82" t="s">
        <v>1173</v>
      </c>
      <c r="I1251" s="82"/>
      <c r="J1251" s="231"/>
    </row>
    <row r="1252" spans="1:10" ht="15" thickBot="1" x14ac:dyDescent="0.35">
      <c r="A1252" s="72" t="s">
        <v>1480</v>
      </c>
      <c r="B1252" s="73" t="s">
        <v>160</v>
      </c>
      <c r="C1252" s="95" t="s">
        <v>1480</v>
      </c>
      <c r="D1252" s="73" t="s">
        <v>1593</v>
      </c>
      <c r="E1252" s="74" t="s">
        <v>1479</v>
      </c>
      <c r="F1252" s="74" t="s">
        <v>1485</v>
      </c>
      <c r="G1252" s="74" t="s">
        <v>2275</v>
      </c>
      <c r="H1252" s="74"/>
      <c r="I1252" s="74"/>
      <c r="J1252" s="232"/>
    </row>
    <row r="1253" spans="1:10" x14ac:dyDescent="0.3">
      <c r="A1253" s="76"/>
      <c r="B1253" s="77"/>
      <c r="C1253" s="93"/>
      <c r="D1253" s="77"/>
      <c r="E1253" s="78" t="s">
        <v>1489</v>
      </c>
      <c r="F1253" s="78" t="s">
        <v>2276</v>
      </c>
      <c r="G1253" s="78" t="s">
        <v>1094</v>
      </c>
      <c r="H1253" s="78" t="s">
        <v>1093</v>
      </c>
      <c r="I1253" s="78">
        <v>167</v>
      </c>
      <c r="J1253" s="230"/>
    </row>
    <row r="1254" spans="1:10" x14ac:dyDescent="0.3">
      <c r="A1254" s="76"/>
      <c r="B1254" s="77"/>
      <c r="C1254" s="93"/>
      <c r="D1254" s="77"/>
      <c r="E1254" s="78" t="s">
        <v>1493</v>
      </c>
      <c r="F1254" s="78" t="s">
        <v>2276</v>
      </c>
      <c r="G1254" s="78" t="s">
        <v>183</v>
      </c>
      <c r="H1254" s="78" t="s">
        <v>182</v>
      </c>
      <c r="I1254" s="78">
        <v>15</v>
      </c>
      <c r="J1254" s="231">
        <v>63</v>
      </c>
    </row>
    <row r="1255" spans="1:10" x14ac:dyDescent="0.3">
      <c r="A1255" s="76"/>
      <c r="B1255" s="77"/>
      <c r="C1255" s="93"/>
      <c r="D1255" s="77"/>
      <c r="E1255" s="78" t="s">
        <v>1496</v>
      </c>
      <c r="F1255" s="78" t="s">
        <v>2276</v>
      </c>
      <c r="G1255" s="78" t="s">
        <v>1081</v>
      </c>
      <c r="H1255" s="78" t="s">
        <v>1080</v>
      </c>
      <c r="I1255" s="78">
        <v>165</v>
      </c>
      <c r="J1255" s="231">
        <v>22</v>
      </c>
    </row>
    <row r="1256" spans="1:10" x14ac:dyDescent="0.3">
      <c r="A1256" s="76"/>
      <c r="B1256" s="77"/>
      <c r="C1256" s="93"/>
      <c r="D1256" s="77"/>
      <c r="E1256" s="78" t="s">
        <v>1499</v>
      </c>
      <c r="F1256" s="78" t="s">
        <v>2276</v>
      </c>
      <c r="G1256" s="78" t="s">
        <v>155</v>
      </c>
      <c r="H1256" s="78" t="s">
        <v>154</v>
      </c>
      <c r="I1256" s="78">
        <v>12</v>
      </c>
      <c r="J1256" s="231"/>
    </row>
    <row r="1257" spans="1:10" ht="15" thickBot="1" x14ac:dyDescent="0.35">
      <c r="A1257" s="81"/>
      <c r="B1257" s="83"/>
      <c r="C1257" s="96"/>
      <c r="D1257" s="83"/>
      <c r="E1257" s="82" t="s">
        <v>1502</v>
      </c>
      <c r="F1257" s="82" t="s">
        <v>2276</v>
      </c>
      <c r="G1257" s="82" t="s">
        <v>1178</v>
      </c>
      <c r="H1257" s="82" t="s">
        <v>1177</v>
      </c>
      <c r="I1257" s="82"/>
      <c r="J1257" s="232"/>
    </row>
    <row r="1258" spans="1:10" x14ac:dyDescent="0.3">
      <c r="A1258" s="72" t="s">
        <v>1480</v>
      </c>
      <c r="B1258" s="73" t="s">
        <v>255</v>
      </c>
      <c r="C1258" s="95" t="s">
        <v>1480</v>
      </c>
      <c r="D1258" s="73" t="s">
        <v>1601</v>
      </c>
      <c r="E1258" s="74" t="s">
        <v>1479</v>
      </c>
      <c r="F1258" s="74" t="s">
        <v>1485</v>
      </c>
      <c r="G1258" s="74" t="s">
        <v>2275</v>
      </c>
      <c r="H1258" s="74"/>
      <c r="I1258" s="74"/>
      <c r="J1258" s="230"/>
    </row>
    <row r="1259" spans="1:10" x14ac:dyDescent="0.3">
      <c r="A1259" s="76"/>
      <c r="B1259" s="77"/>
      <c r="C1259" s="93"/>
      <c r="D1259" s="77"/>
      <c r="E1259" s="78" t="s">
        <v>1489</v>
      </c>
      <c r="F1259" s="78" t="s">
        <v>2276</v>
      </c>
      <c r="G1259" s="78" t="s">
        <v>763</v>
      </c>
      <c r="H1259" s="78" t="s">
        <v>762</v>
      </c>
      <c r="I1259" s="78">
        <v>102</v>
      </c>
      <c r="J1259" s="231">
        <v>72</v>
      </c>
    </row>
    <row r="1260" spans="1:10" x14ac:dyDescent="0.3">
      <c r="A1260" s="76"/>
      <c r="B1260" s="77"/>
      <c r="C1260" s="93"/>
      <c r="D1260" s="77"/>
      <c r="E1260" s="78" t="s">
        <v>1493</v>
      </c>
      <c r="F1260" s="78" t="s">
        <v>2276</v>
      </c>
      <c r="G1260" s="78" t="s">
        <v>250</v>
      </c>
      <c r="H1260" s="78" t="s">
        <v>249</v>
      </c>
      <c r="I1260" s="78">
        <v>30</v>
      </c>
      <c r="J1260" s="231"/>
    </row>
    <row r="1261" spans="1:10" x14ac:dyDescent="0.3">
      <c r="A1261" s="76"/>
      <c r="B1261" s="77"/>
      <c r="C1261" s="93"/>
      <c r="D1261" s="77"/>
      <c r="E1261" s="78" t="s">
        <v>1496</v>
      </c>
      <c r="F1261" s="78" t="s">
        <v>2276</v>
      </c>
      <c r="G1261" s="78" t="s">
        <v>971</v>
      </c>
      <c r="H1261" s="78" t="s">
        <v>970</v>
      </c>
      <c r="I1261" s="78">
        <v>141</v>
      </c>
      <c r="J1261" s="231">
        <v>29</v>
      </c>
    </row>
    <row r="1262" spans="1:10" x14ac:dyDescent="0.3">
      <c r="A1262" s="76"/>
      <c r="B1262" s="77"/>
      <c r="C1262" s="93"/>
      <c r="D1262" s="77"/>
      <c r="E1262" s="78" t="s">
        <v>1499</v>
      </c>
      <c r="F1262" s="78" t="s">
        <v>2276</v>
      </c>
      <c r="G1262" s="78" t="s">
        <v>999</v>
      </c>
      <c r="H1262" s="78" t="s">
        <v>998</v>
      </c>
      <c r="I1262" s="78">
        <v>146</v>
      </c>
      <c r="J1262" s="231">
        <v>18</v>
      </c>
    </row>
    <row r="1263" spans="1:10" ht="15" thickBot="1" x14ac:dyDescent="0.35">
      <c r="A1263" s="81"/>
      <c r="B1263" s="83"/>
      <c r="C1263" s="96"/>
      <c r="D1263" s="83"/>
      <c r="E1263" s="82" t="s">
        <v>1502</v>
      </c>
      <c r="F1263" s="82" t="s">
        <v>2276</v>
      </c>
      <c r="G1263" s="82" t="s">
        <v>1182</v>
      </c>
      <c r="H1263" s="82" t="s">
        <v>1181</v>
      </c>
      <c r="I1263" s="82"/>
      <c r="J1263" s="232"/>
    </row>
    <row r="1264" spans="1:10" x14ac:dyDescent="0.3">
      <c r="A1264" s="72" t="s">
        <v>1480</v>
      </c>
      <c r="B1264" s="73" t="s">
        <v>283</v>
      </c>
      <c r="C1264" s="95" t="s">
        <v>1480</v>
      </c>
      <c r="D1264" s="73" t="s">
        <v>1612</v>
      </c>
      <c r="E1264" s="74" t="s">
        <v>1479</v>
      </c>
      <c r="F1264" s="74" t="s">
        <v>1485</v>
      </c>
      <c r="G1264" s="74" t="s">
        <v>2275</v>
      </c>
      <c r="H1264" s="74"/>
      <c r="I1264" s="74"/>
      <c r="J1264" s="230"/>
    </row>
    <row r="1265" spans="1:10" x14ac:dyDescent="0.3">
      <c r="A1265" s="76"/>
      <c r="B1265" s="77"/>
      <c r="C1265" s="93"/>
      <c r="D1265" s="77"/>
      <c r="E1265" s="78" t="s">
        <v>1489</v>
      </c>
      <c r="F1265" s="78" t="s">
        <v>2276</v>
      </c>
      <c r="G1265" s="78" t="s">
        <v>752</v>
      </c>
      <c r="H1265" s="78" t="s">
        <v>751</v>
      </c>
      <c r="I1265" s="78">
        <v>100</v>
      </c>
      <c r="J1265" s="231">
        <v>98</v>
      </c>
    </row>
    <row r="1266" spans="1:10" x14ac:dyDescent="0.3">
      <c r="A1266" s="76"/>
      <c r="B1266" s="77"/>
      <c r="C1266" s="93"/>
      <c r="D1266" s="77"/>
      <c r="E1266" s="78" t="s">
        <v>1493</v>
      </c>
      <c r="F1266" s="78" t="s">
        <v>2276</v>
      </c>
      <c r="G1266" s="78" t="s">
        <v>277</v>
      </c>
      <c r="H1266" s="78" t="s">
        <v>276</v>
      </c>
      <c r="I1266" s="78">
        <v>33</v>
      </c>
      <c r="J1266" s="231">
        <v>82</v>
      </c>
    </row>
    <row r="1267" spans="1:10" x14ac:dyDescent="0.3">
      <c r="A1267" s="76"/>
      <c r="B1267" s="77"/>
      <c r="C1267" s="93"/>
      <c r="D1267" s="77"/>
      <c r="E1267" s="78" t="s">
        <v>1496</v>
      </c>
      <c r="F1267" s="78" t="s">
        <v>2276</v>
      </c>
      <c r="G1267" s="78" t="s">
        <v>965</v>
      </c>
      <c r="H1267" s="78" t="s">
        <v>964</v>
      </c>
      <c r="I1267" s="78">
        <v>140</v>
      </c>
      <c r="J1267" s="231">
        <v>96</v>
      </c>
    </row>
    <row r="1268" spans="1:10" x14ac:dyDescent="0.3">
      <c r="A1268" s="76"/>
      <c r="B1268" s="77"/>
      <c r="C1268" s="93"/>
      <c r="D1268" s="77"/>
      <c r="E1268" s="78" t="s">
        <v>1499</v>
      </c>
      <c r="F1268" s="78" t="s">
        <v>2276</v>
      </c>
      <c r="G1268" s="78" t="s">
        <v>378</v>
      </c>
      <c r="H1268" s="78" t="s">
        <v>377</v>
      </c>
      <c r="I1268" s="78">
        <v>46</v>
      </c>
      <c r="J1268" s="231"/>
    </row>
    <row r="1269" spans="1:10" ht="15" thickBot="1" x14ac:dyDescent="0.35">
      <c r="A1269" s="81"/>
      <c r="B1269" s="83"/>
      <c r="C1269" s="96"/>
      <c r="D1269" s="83"/>
      <c r="E1269" s="82" t="s">
        <v>1502</v>
      </c>
      <c r="F1269" s="82" t="s">
        <v>2276</v>
      </c>
      <c r="G1269" s="82" t="s">
        <v>1186</v>
      </c>
      <c r="H1269" s="82" t="s">
        <v>1185</v>
      </c>
      <c r="I1269" s="82"/>
      <c r="J1269" s="232"/>
    </row>
    <row r="1270" spans="1:10" x14ac:dyDescent="0.3">
      <c r="A1270" s="72" t="s">
        <v>1480</v>
      </c>
      <c r="B1270" s="73" t="s">
        <v>119</v>
      </c>
      <c r="C1270" s="95" t="s">
        <v>1480</v>
      </c>
      <c r="D1270" s="73" t="s">
        <v>1778</v>
      </c>
      <c r="E1270" s="74" t="s">
        <v>1479</v>
      </c>
      <c r="F1270" s="74" t="s">
        <v>1485</v>
      </c>
      <c r="G1270" s="74" t="s">
        <v>2275</v>
      </c>
      <c r="H1270" s="74"/>
      <c r="I1270" s="74"/>
      <c r="J1270" s="230"/>
    </row>
    <row r="1271" spans="1:10" x14ac:dyDescent="0.3">
      <c r="A1271" s="76"/>
      <c r="B1271" s="77"/>
      <c r="C1271" s="93"/>
      <c r="D1271" s="77"/>
      <c r="E1271" s="78" t="s">
        <v>1489</v>
      </c>
      <c r="F1271" s="78" t="s">
        <v>2276</v>
      </c>
      <c r="G1271" s="78" t="s">
        <v>720</v>
      </c>
      <c r="H1271" s="78" t="s">
        <v>719</v>
      </c>
      <c r="I1271" s="78">
        <v>95</v>
      </c>
      <c r="J1271" s="231">
        <v>97</v>
      </c>
    </row>
    <row r="1272" spans="1:10" x14ac:dyDescent="0.3">
      <c r="A1272" s="76"/>
      <c r="B1272" s="77"/>
      <c r="C1272" s="93"/>
      <c r="D1272" s="77"/>
      <c r="E1272" s="78" t="s">
        <v>1493</v>
      </c>
      <c r="F1272" s="78" t="s">
        <v>2276</v>
      </c>
      <c r="G1272" s="78" t="s">
        <v>369</v>
      </c>
      <c r="H1272" s="78" t="s">
        <v>368</v>
      </c>
      <c r="I1272" s="78">
        <v>45</v>
      </c>
      <c r="J1272" s="231"/>
    </row>
    <row r="1273" spans="1:10" x14ac:dyDescent="0.3">
      <c r="A1273" s="76"/>
      <c r="B1273" s="77"/>
      <c r="C1273" s="93"/>
      <c r="D1273" s="77"/>
      <c r="E1273" s="78" t="s">
        <v>1496</v>
      </c>
      <c r="F1273" s="78" t="s">
        <v>2276</v>
      </c>
      <c r="G1273" s="78" t="s">
        <v>112</v>
      </c>
      <c r="H1273" s="78" t="s">
        <v>111</v>
      </c>
      <c r="I1273" s="78">
        <v>8</v>
      </c>
      <c r="J1273" s="231">
        <v>95</v>
      </c>
    </row>
    <row r="1274" spans="1:10" x14ac:dyDescent="0.3">
      <c r="A1274" s="76"/>
      <c r="B1274" s="77"/>
      <c r="C1274" s="93"/>
      <c r="D1274" s="77"/>
      <c r="E1274" s="78" t="s">
        <v>1499</v>
      </c>
      <c r="F1274" s="78" t="s">
        <v>2276</v>
      </c>
      <c r="G1274" s="78" t="s">
        <v>309</v>
      </c>
      <c r="H1274" s="78" t="s">
        <v>308</v>
      </c>
      <c r="I1274" s="78">
        <v>36</v>
      </c>
      <c r="J1274" s="231"/>
    </row>
    <row r="1275" spans="1:10" ht="15" thickBot="1" x14ac:dyDescent="0.35">
      <c r="A1275" s="81"/>
      <c r="B1275" s="83"/>
      <c r="C1275" s="96"/>
      <c r="D1275" s="83"/>
      <c r="E1275" s="82" t="s">
        <v>1502</v>
      </c>
      <c r="F1275" s="82" t="s">
        <v>2276</v>
      </c>
      <c r="G1275" s="82" t="s">
        <v>1287</v>
      </c>
      <c r="H1275" s="82" t="s">
        <v>1286</v>
      </c>
      <c r="I1275" s="82"/>
      <c r="J1275" s="232"/>
    </row>
    <row r="1276" spans="1:10" x14ac:dyDescent="0.3">
      <c r="A1276" s="72" t="s">
        <v>1480</v>
      </c>
      <c r="B1276" s="73" t="s">
        <v>109</v>
      </c>
      <c r="C1276" s="95" t="s">
        <v>1480</v>
      </c>
      <c r="D1276" s="73" t="s">
        <v>1784</v>
      </c>
      <c r="E1276" s="74" t="s">
        <v>1479</v>
      </c>
      <c r="F1276" s="74" t="s">
        <v>1485</v>
      </c>
      <c r="G1276" s="74" t="s">
        <v>2275</v>
      </c>
      <c r="H1276" s="74"/>
      <c r="I1276" s="74"/>
      <c r="J1276" s="230"/>
    </row>
    <row r="1277" spans="1:10" x14ac:dyDescent="0.3">
      <c r="A1277" s="76"/>
      <c r="B1277" s="77"/>
      <c r="C1277" s="93"/>
      <c r="D1277" s="77"/>
      <c r="E1277" s="78" t="s">
        <v>1489</v>
      </c>
      <c r="F1277" s="78" t="s">
        <v>2276</v>
      </c>
      <c r="G1277" s="78" t="s">
        <v>713</v>
      </c>
      <c r="H1277" s="78" t="s">
        <v>712</v>
      </c>
      <c r="I1277" s="78">
        <v>94</v>
      </c>
      <c r="J1277" s="231">
        <v>58</v>
      </c>
    </row>
    <row r="1278" spans="1:10" x14ac:dyDescent="0.3">
      <c r="A1278" s="76"/>
      <c r="B1278" s="77"/>
      <c r="C1278" s="93"/>
      <c r="D1278" s="77"/>
      <c r="E1278" s="78" t="s">
        <v>1493</v>
      </c>
      <c r="F1278" s="78" t="s">
        <v>2276</v>
      </c>
      <c r="G1278" s="78" t="s">
        <v>516</v>
      </c>
      <c r="H1278" s="78" t="s">
        <v>515</v>
      </c>
      <c r="I1278" s="78">
        <v>67</v>
      </c>
      <c r="J1278" s="231"/>
    </row>
    <row r="1279" spans="1:10" x14ac:dyDescent="0.3">
      <c r="A1279" s="76"/>
      <c r="B1279" s="77"/>
      <c r="C1279" s="93"/>
      <c r="D1279" s="77"/>
      <c r="E1279" s="78" t="s">
        <v>1496</v>
      </c>
      <c r="F1279" s="78" t="s">
        <v>2276</v>
      </c>
      <c r="G1279" s="78" t="s">
        <v>100</v>
      </c>
      <c r="H1279" s="78" t="s">
        <v>99</v>
      </c>
      <c r="I1279" s="78">
        <v>7</v>
      </c>
      <c r="J1279" s="231">
        <v>81</v>
      </c>
    </row>
    <row r="1280" spans="1:10" x14ac:dyDescent="0.3">
      <c r="A1280" s="76"/>
      <c r="B1280" s="77"/>
      <c r="C1280" s="93"/>
      <c r="D1280" s="77"/>
      <c r="E1280" s="78" t="s">
        <v>1499</v>
      </c>
      <c r="F1280" s="78" t="s">
        <v>2276</v>
      </c>
      <c r="G1280" s="78" t="s">
        <v>136</v>
      </c>
      <c r="H1280" s="78" t="s">
        <v>135</v>
      </c>
      <c r="I1280" s="78">
        <v>10</v>
      </c>
      <c r="J1280" s="231">
        <v>84</v>
      </c>
    </row>
    <row r="1281" spans="1:10" ht="15" thickBot="1" x14ac:dyDescent="0.35">
      <c r="A1281" s="81"/>
      <c r="B1281" s="83"/>
      <c r="C1281" s="96"/>
      <c r="D1281" s="83"/>
      <c r="E1281" s="82" t="s">
        <v>1502</v>
      </c>
      <c r="F1281" s="82" t="s">
        <v>2276</v>
      </c>
      <c r="G1281" s="82" t="s">
        <v>1291</v>
      </c>
      <c r="H1281" s="82" t="s">
        <v>1290</v>
      </c>
      <c r="I1281" s="82"/>
      <c r="J1281" s="232"/>
    </row>
    <row r="1282" spans="1:10" x14ac:dyDescent="0.3">
      <c r="A1282" s="72" t="s">
        <v>1508</v>
      </c>
      <c r="B1282" s="73" t="s">
        <v>393</v>
      </c>
      <c r="C1282" s="95" t="s">
        <v>1480</v>
      </c>
      <c r="D1282" s="73" t="s">
        <v>1823</v>
      </c>
      <c r="E1282" s="74" t="s">
        <v>1479</v>
      </c>
      <c r="F1282" s="74" t="s">
        <v>1485</v>
      </c>
      <c r="G1282" s="74" t="s">
        <v>2275</v>
      </c>
      <c r="H1282" s="74"/>
      <c r="I1282" s="74"/>
      <c r="J1282" s="230"/>
    </row>
    <row r="1283" spans="1:10" ht="15" thickBot="1" x14ac:dyDescent="0.35">
      <c r="A1283" s="81"/>
      <c r="B1283" s="83"/>
      <c r="C1283" s="96"/>
      <c r="D1283" s="83"/>
      <c r="E1283" s="82" t="s">
        <v>1489</v>
      </c>
      <c r="F1283" s="82" t="s">
        <v>2276</v>
      </c>
      <c r="G1283" s="82" t="s">
        <v>389</v>
      </c>
      <c r="H1283" s="82" t="s">
        <v>388</v>
      </c>
      <c r="I1283" s="82">
        <v>47</v>
      </c>
      <c r="J1283" s="231">
        <v>57</v>
      </c>
    </row>
    <row r="1284" spans="1:10" x14ac:dyDescent="0.3">
      <c r="A1284" s="72" t="s">
        <v>1508</v>
      </c>
      <c r="B1284" s="73" t="s">
        <v>400</v>
      </c>
      <c r="C1284" s="95" t="s">
        <v>1480</v>
      </c>
      <c r="D1284" s="73" t="s">
        <v>1817</v>
      </c>
      <c r="E1284" s="74" t="s">
        <v>1479</v>
      </c>
      <c r="F1284" s="74" t="s">
        <v>1485</v>
      </c>
      <c r="G1284" s="74" t="s">
        <v>2275</v>
      </c>
      <c r="H1284" s="74"/>
      <c r="I1284" s="74"/>
      <c r="J1284" s="231"/>
    </row>
    <row r="1285" spans="1:10" ht="15" thickBot="1" x14ac:dyDescent="0.35">
      <c r="A1285" s="81"/>
      <c r="B1285" s="83"/>
      <c r="C1285" s="96"/>
      <c r="D1285" s="83"/>
      <c r="E1285" s="82" t="s">
        <v>1489</v>
      </c>
      <c r="F1285" s="82" t="s">
        <v>2276</v>
      </c>
      <c r="G1285" s="82" t="s">
        <v>396</v>
      </c>
      <c r="H1285" s="82" t="s">
        <v>395</v>
      </c>
      <c r="I1285" s="82">
        <v>48</v>
      </c>
      <c r="J1285" s="231">
        <v>80</v>
      </c>
    </row>
    <row r="1286" spans="1:10" x14ac:dyDescent="0.3">
      <c r="A1286" s="72" t="s">
        <v>1508</v>
      </c>
      <c r="B1286" s="73" t="s">
        <v>690</v>
      </c>
      <c r="C1286" s="95" t="s">
        <v>1480</v>
      </c>
      <c r="D1286" s="73" t="s">
        <v>2011</v>
      </c>
      <c r="E1286" s="74" t="s">
        <v>1479</v>
      </c>
      <c r="F1286" s="74" t="s">
        <v>1485</v>
      </c>
      <c r="G1286" s="74" t="s">
        <v>2275</v>
      </c>
      <c r="H1286" s="74"/>
      <c r="I1286" s="74"/>
      <c r="J1286" s="231">
        <v>26</v>
      </c>
    </row>
    <row r="1287" spans="1:10" ht="15" thickBot="1" x14ac:dyDescent="0.35">
      <c r="A1287" s="81"/>
      <c r="B1287" s="83"/>
      <c r="C1287" s="96"/>
      <c r="D1287" s="83"/>
      <c r="E1287" s="82" t="s">
        <v>1489</v>
      </c>
      <c r="F1287" s="82" t="s">
        <v>2276</v>
      </c>
      <c r="G1287" s="82" t="s">
        <v>685</v>
      </c>
      <c r="H1287" s="82" t="s">
        <v>684</v>
      </c>
      <c r="I1287" s="82">
        <v>90</v>
      </c>
      <c r="J1287" s="232"/>
    </row>
    <row r="1288" spans="1:10" x14ac:dyDescent="0.3">
      <c r="A1288" s="72" t="s">
        <v>1508</v>
      </c>
      <c r="B1288" s="73" t="s">
        <v>704</v>
      </c>
      <c r="C1288" s="95" t="s">
        <v>1480</v>
      </c>
      <c r="D1288" s="73" t="s">
        <v>2006</v>
      </c>
      <c r="E1288" s="74" t="s">
        <v>1479</v>
      </c>
      <c r="F1288" s="74" t="s">
        <v>1485</v>
      </c>
      <c r="G1288" s="74" t="s">
        <v>2275</v>
      </c>
      <c r="H1288" s="74"/>
      <c r="I1288" s="74"/>
      <c r="J1288" s="230"/>
    </row>
    <row r="1289" spans="1:10" ht="15" thickBot="1" x14ac:dyDescent="0.35">
      <c r="A1289" s="81"/>
      <c r="B1289" s="83"/>
      <c r="C1289" s="96"/>
      <c r="D1289" s="83"/>
      <c r="E1289" s="82" t="s">
        <v>1489</v>
      </c>
      <c r="F1289" s="82" t="s">
        <v>2276</v>
      </c>
      <c r="G1289" s="82" t="s">
        <v>699</v>
      </c>
      <c r="H1289" s="82" t="s">
        <v>698</v>
      </c>
      <c r="I1289" s="82">
        <v>92</v>
      </c>
      <c r="J1289" s="231">
        <v>54</v>
      </c>
    </row>
    <row r="1290" spans="1:10" x14ac:dyDescent="0.3">
      <c r="A1290" s="72" t="s">
        <v>1508</v>
      </c>
      <c r="B1290" s="73" t="s">
        <v>32</v>
      </c>
      <c r="C1290" s="95" t="s">
        <v>1480</v>
      </c>
      <c r="D1290" s="73" t="s">
        <v>1717</v>
      </c>
      <c r="E1290" s="74" t="s">
        <v>1479</v>
      </c>
      <c r="F1290" s="74" t="s">
        <v>1485</v>
      </c>
      <c r="G1290" s="74" t="s">
        <v>2275</v>
      </c>
      <c r="H1290" s="74"/>
      <c r="I1290" s="74"/>
      <c r="J1290" s="231"/>
    </row>
    <row r="1291" spans="1:10" ht="15" thickBot="1" x14ac:dyDescent="0.35">
      <c r="A1291" s="81"/>
      <c r="B1291" s="83"/>
      <c r="C1291" s="96"/>
      <c r="D1291" s="83"/>
      <c r="E1291" s="82" t="s">
        <v>1489</v>
      </c>
      <c r="F1291" s="82" t="s">
        <v>2276</v>
      </c>
      <c r="G1291" s="82" t="s">
        <v>23</v>
      </c>
      <c r="H1291" s="82" t="s">
        <v>22</v>
      </c>
      <c r="I1291" s="82">
        <v>1</v>
      </c>
      <c r="J1291" s="231">
        <v>4</v>
      </c>
    </row>
    <row r="1292" spans="1:10" x14ac:dyDescent="0.3">
      <c r="A1292" s="72" t="s">
        <v>1508</v>
      </c>
      <c r="B1292" s="73" t="s">
        <v>45</v>
      </c>
      <c r="C1292" s="95" t="s">
        <v>1480</v>
      </c>
      <c r="D1292" s="73" t="s">
        <v>1723</v>
      </c>
      <c r="E1292" s="74" t="s">
        <v>1479</v>
      </c>
      <c r="F1292" s="74" t="s">
        <v>1485</v>
      </c>
      <c r="G1292" s="74" t="s">
        <v>2275</v>
      </c>
      <c r="H1292" s="74"/>
      <c r="I1292" s="74"/>
      <c r="J1292" s="231">
        <v>23</v>
      </c>
    </row>
    <row r="1293" spans="1:10" ht="15" thickBot="1" x14ac:dyDescent="0.35">
      <c r="A1293" s="81"/>
      <c r="B1293" s="83"/>
      <c r="C1293" s="96"/>
      <c r="D1293" s="83"/>
      <c r="E1293" s="82" t="s">
        <v>1489</v>
      </c>
      <c r="F1293" s="82" t="s">
        <v>2276</v>
      </c>
      <c r="G1293" s="82" t="s">
        <v>37</v>
      </c>
      <c r="H1293" s="82" t="s">
        <v>36</v>
      </c>
      <c r="I1293" s="82">
        <v>2</v>
      </c>
      <c r="J1293" s="232"/>
    </row>
    <row r="1294" spans="1:10" x14ac:dyDescent="0.3">
      <c r="A1294" s="72" t="s">
        <v>1508</v>
      </c>
      <c r="B1294" s="73" t="s">
        <v>55</v>
      </c>
      <c r="C1294" s="95" t="s">
        <v>1480</v>
      </c>
      <c r="D1294" s="73" t="s">
        <v>1728</v>
      </c>
      <c r="E1294" s="74" t="s">
        <v>1479</v>
      </c>
      <c r="F1294" s="74" t="s">
        <v>1485</v>
      </c>
      <c r="G1294" s="74" t="s">
        <v>2275</v>
      </c>
      <c r="H1294" s="74"/>
      <c r="I1294" s="74"/>
      <c r="J1294" s="230"/>
    </row>
    <row r="1295" spans="1:10" ht="15" thickBot="1" x14ac:dyDescent="0.35">
      <c r="A1295" s="81"/>
      <c r="B1295" s="83"/>
      <c r="C1295" s="96"/>
      <c r="D1295" s="83"/>
      <c r="E1295" s="82" t="s">
        <v>1489</v>
      </c>
      <c r="F1295" s="82" t="s">
        <v>2276</v>
      </c>
      <c r="G1295" s="82" t="s">
        <v>48</v>
      </c>
      <c r="H1295" s="82" t="s">
        <v>47</v>
      </c>
      <c r="I1295" s="82">
        <v>3</v>
      </c>
      <c r="J1295" s="231">
        <v>53</v>
      </c>
    </row>
    <row r="1296" spans="1:10" x14ac:dyDescent="0.3">
      <c r="A1296" s="72" t="s">
        <v>1508</v>
      </c>
      <c r="B1296" s="73" t="s">
        <v>97</v>
      </c>
      <c r="C1296" s="95" t="s">
        <v>1480</v>
      </c>
      <c r="D1296" s="73" t="s">
        <v>1732</v>
      </c>
      <c r="E1296" s="74" t="s">
        <v>1479</v>
      </c>
      <c r="F1296" s="74" t="s">
        <v>1485</v>
      </c>
      <c r="G1296" s="74" t="s">
        <v>2275</v>
      </c>
      <c r="H1296" s="74"/>
      <c r="I1296" s="74"/>
      <c r="J1296" s="231"/>
    </row>
    <row r="1297" spans="1:10" ht="15" thickBot="1" x14ac:dyDescent="0.35">
      <c r="A1297" s="81"/>
      <c r="B1297" s="83"/>
      <c r="C1297" s="96"/>
      <c r="D1297" s="83"/>
      <c r="E1297" s="82" t="s">
        <v>1489</v>
      </c>
      <c r="F1297" s="82" t="s">
        <v>2276</v>
      </c>
      <c r="G1297" s="82" t="s">
        <v>88</v>
      </c>
      <c r="H1297" s="82" t="s">
        <v>87</v>
      </c>
      <c r="I1297" s="82">
        <v>6</v>
      </c>
      <c r="J1297" s="231">
        <v>3</v>
      </c>
    </row>
    <row r="1298" spans="1:10" x14ac:dyDescent="0.3">
      <c r="A1298" s="72" t="s">
        <v>1508</v>
      </c>
      <c r="B1298" s="73" t="s">
        <v>586</v>
      </c>
      <c r="C1298" s="95" t="s">
        <v>1480</v>
      </c>
      <c r="D1298" s="73" t="s">
        <v>1809</v>
      </c>
      <c r="E1298" s="74" t="s">
        <v>1479</v>
      </c>
      <c r="F1298" s="74" t="s">
        <v>1485</v>
      </c>
      <c r="G1298" s="74" t="s">
        <v>2275</v>
      </c>
      <c r="H1298" s="74"/>
      <c r="I1298" s="74"/>
      <c r="J1298" s="231">
        <v>6</v>
      </c>
    </row>
    <row r="1299" spans="1:10" ht="15" thickBot="1" x14ac:dyDescent="0.35">
      <c r="A1299" s="81"/>
      <c r="B1299" s="83"/>
      <c r="C1299" s="96"/>
      <c r="D1299" s="83"/>
      <c r="E1299" s="82" t="s">
        <v>1489</v>
      </c>
      <c r="F1299" s="82" t="s">
        <v>2276</v>
      </c>
      <c r="G1299" s="82" t="s">
        <v>577</v>
      </c>
      <c r="H1299" s="82" t="s">
        <v>576</v>
      </c>
      <c r="I1299" s="82">
        <v>74</v>
      </c>
      <c r="J1299" s="232"/>
    </row>
    <row r="1300" spans="1:10" x14ac:dyDescent="0.3">
      <c r="A1300" s="72" t="s">
        <v>1508</v>
      </c>
      <c r="B1300" s="73" t="s">
        <v>612</v>
      </c>
      <c r="C1300" s="95" t="s">
        <v>1480</v>
      </c>
      <c r="D1300" s="73" t="s">
        <v>1803</v>
      </c>
      <c r="E1300" s="74" t="s">
        <v>1479</v>
      </c>
      <c r="F1300" s="74" t="s">
        <v>1485</v>
      </c>
      <c r="G1300" s="74" t="s">
        <v>2275</v>
      </c>
      <c r="H1300" s="74"/>
      <c r="I1300" s="74"/>
      <c r="J1300" s="230"/>
    </row>
    <row r="1301" spans="1:10" ht="15" thickBot="1" x14ac:dyDescent="0.35">
      <c r="A1301" s="81"/>
      <c r="B1301" s="83"/>
      <c r="C1301" s="96"/>
      <c r="D1301" s="83"/>
      <c r="E1301" s="82" t="s">
        <v>1489</v>
      </c>
      <c r="F1301" s="82" t="s">
        <v>2276</v>
      </c>
      <c r="G1301" s="82" t="s">
        <v>604</v>
      </c>
      <c r="H1301" s="82" t="s">
        <v>603</v>
      </c>
      <c r="I1301" s="82">
        <v>79</v>
      </c>
      <c r="J1301" s="232">
        <v>27</v>
      </c>
    </row>
    <row r="1302" spans="1:10" x14ac:dyDescent="0.3">
      <c r="A1302" s="72" t="s">
        <v>1508</v>
      </c>
      <c r="B1302" s="73" t="s">
        <v>853</v>
      </c>
      <c r="C1302" s="95" t="s">
        <v>1480</v>
      </c>
      <c r="D1302" s="73" t="s">
        <v>2087</v>
      </c>
      <c r="E1302" s="74" t="s">
        <v>1479</v>
      </c>
      <c r="F1302" s="74" t="s">
        <v>1485</v>
      </c>
      <c r="G1302" s="74" t="s">
        <v>2275</v>
      </c>
      <c r="H1302" s="74"/>
      <c r="I1302" s="74"/>
      <c r="J1302" s="230"/>
    </row>
    <row r="1303" spans="1:10" ht="15" thickBot="1" x14ac:dyDescent="0.35">
      <c r="A1303" s="81"/>
      <c r="B1303" s="83"/>
      <c r="C1303" s="96"/>
      <c r="D1303" s="83"/>
      <c r="E1303" s="82" t="s">
        <v>1489</v>
      </c>
      <c r="F1303" s="82" t="s">
        <v>2276</v>
      </c>
      <c r="G1303" s="82" t="s">
        <v>849</v>
      </c>
      <c r="H1303" s="82" t="s">
        <v>848</v>
      </c>
      <c r="I1303" s="82">
        <v>120</v>
      </c>
      <c r="J1303" s="232">
        <v>28</v>
      </c>
    </row>
    <row r="1304" spans="1:10" x14ac:dyDescent="0.3">
      <c r="A1304" s="72" t="s">
        <v>1508</v>
      </c>
      <c r="B1304" s="73" t="s">
        <v>860</v>
      </c>
      <c r="C1304" s="95" t="s">
        <v>1480</v>
      </c>
      <c r="D1304" s="73" t="s">
        <v>2081</v>
      </c>
      <c r="E1304" s="74" t="s">
        <v>1479</v>
      </c>
      <c r="F1304" s="74" t="s">
        <v>1485</v>
      </c>
      <c r="G1304" s="74" t="s">
        <v>2275</v>
      </c>
      <c r="H1304" s="74"/>
      <c r="I1304" s="74"/>
      <c r="J1304" s="230"/>
    </row>
    <row r="1305" spans="1:10" ht="15" thickBot="1" x14ac:dyDescent="0.35">
      <c r="A1305" s="81"/>
      <c r="B1305" s="83"/>
      <c r="C1305" s="96"/>
      <c r="D1305" s="83"/>
      <c r="E1305" s="82" t="s">
        <v>1489</v>
      </c>
      <c r="F1305" s="82" t="s">
        <v>2276</v>
      </c>
      <c r="G1305" s="82" t="s">
        <v>856</v>
      </c>
      <c r="H1305" s="82" t="s">
        <v>855</v>
      </c>
      <c r="I1305" s="82">
        <v>121</v>
      </c>
      <c r="J1305" s="232">
        <v>51</v>
      </c>
    </row>
    <row r="1306" spans="1:10" x14ac:dyDescent="0.3">
      <c r="A1306" s="72" t="s">
        <v>1508</v>
      </c>
      <c r="B1306" s="73" t="s">
        <v>229</v>
      </c>
      <c r="C1306" s="95" t="s">
        <v>1480</v>
      </c>
      <c r="D1306" s="73" t="s">
        <v>2156</v>
      </c>
      <c r="E1306" s="74" t="s">
        <v>1479</v>
      </c>
      <c r="F1306" s="74" t="s">
        <v>1485</v>
      </c>
      <c r="G1306" s="74" t="s">
        <v>2275</v>
      </c>
      <c r="H1306" s="74"/>
      <c r="I1306" s="74"/>
      <c r="J1306" s="230"/>
    </row>
    <row r="1307" spans="1:10" ht="15" thickBot="1" x14ac:dyDescent="0.35">
      <c r="A1307" s="81"/>
      <c r="B1307" s="83"/>
      <c r="C1307" s="96"/>
      <c r="D1307" s="83"/>
      <c r="E1307" s="82" t="s">
        <v>1489</v>
      </c>
      <c r="F1307" s="82" t="s">
        <v>2276</v>
      </c>
      <c r="G1307" s="82" t="s">
        <v>223</v>
      </c>
      <c r="H1307" s="82" t="s">
        <v>222</v>
      </c>
      <c r="I1307" s="82">
        <v>27</v>
      </c>
      <c r="J1307" s="232">
        <v>52</v>
      </c>
    </row>
    <row r="1308" spans="1:10" x14ac:dyDescent="0.3">
      <c r="A1308" s="72" t="s">
        <v>1508</v>
      </c>
      <c r="B1308" s="73" t="s">
        <v>441</v>
      </c>
      <c r="C1308" s="95" t="s">
        <v>1480</v>
      </c>
      <c r="D1308" s="73" t="s">
        <v>2094</v>
      </c>
      <c r="E1308" s="74" t="s">
        <v>1479</v>
      </c>
      <c r="F1308" s="74" t="s">
        <v>1485</v>
      </c>
      <c r="G1308" s="74" t="s">
        <v>2275</v>
      </c>
      <c r="H1308" s="74"/>
      <c r="I1308" s="74"/>
      <c r="J1308" s="230"/>
    </row>
    <row r="1309" spans="1:10" ht="15" thickBot="1" x14ac:dyDescent="0.35">
      <c r="A1309" s="81"/>
      <c r="B1309" s="83"/>
      <c r="C1309" s="96"/>
      <c r="D1309" s="83"/>
      <c r="E1309" s="82" t="s">
        <v>1489</v>
      </c>
      <c r="F1309" s="82" t="s">
        <v>2276</v>
      </c>
      <c r="G1309" s="82" t="s">
        <v>437</v>
      </c>
      <c r="H1309" s="82" t="s">
        <v>436</v>
      </c>
      <c r="I1309" s="82">
        <v>53</v>
      </c>
      <c r="J1309" s="232"/>
    </row>
    <row r="1310" spans="1:10" x14ac:dyDescent="0.3">
      <c r="A1310" s="72" t="s">
        <v>1508</v>
      </c>
      <c r="B1310" s="73" t="s">
        <v>531</v>
      </c>
      <c r="C1310" s="95" t="s">
        <v>1480</v>
      </c>
      <c r="D1310" s="73" t="s">
        <v>2034</v>
      </c>
      <c r="E1310" s="74" t="s">
        <v>1479</v>
      </c>
      <c r="F1310" s="74" t="s">
        <v>1485</v>
      </c>
      <c r="G1310" s="74" t="s">
        <v>2275</v>
      </c>
      <c r="H1310" s="74"/>
      <c r="I1310" s="74"/>
      <c r="J1310" s="230"/>
    </row>
    <row r="1311" spans="1:10" ht="15" thickBot="1" x14ac:dyDescent="0.35">
      <c r="A1311" s="81"/>
      <c r="B1311" s="83"/>
      <c r="C1311" s="96"/>
      <c r="D1311" s="83"/>
      <c r="E1311" s="82" t="s">
        <v>1489</v>
      </c>
      <c r="F1311" s="82" t="s">
        <v>2276</v>
      </c>
      <c r="G1311" s="82" t="s">
        <v>525</v>
      </c>
      <c r="H1311" s="82" t="s">
        <v>524</v>
      </c>
      <c r="I1311" s="82">
        <v>68</v>
      </c>
      <c r="J1311" s="232"/>
    </row>
    <row r="1312" spans="1:10" x14ac:dyDescent="0.3">
      <c r="A1312" s="72" t="s">
        <v>1508</v>
      </c>
      <c r="B1312" s="73" t="s">
        <v>559</v>
      </c>
      <c r="C1312" s="95" t="s">
        <v>1480</v>
      </c>
      <c r="D1312" s="73" t="s">
        <v>2029</v>
      </c>
      <c r="E1312" s="74" t="s">
        <v>1479</v>
      </c>
      <c r="F1312" s="74" t="s">
        <v>1485</v>
      </c>
      <c r="G1312" s="74" t="s">
        <v>2275</v>
      </c>
      <c r="H1312" s="74"/>
      <c r="I1312" s="74"/>
      <c r="J1312" s="230"/>
    </row>
    <row r="1313" spans="1:10" ht="15" thickBot="1" x14ac:dyDescent="0.35">
      <c r="A1313" s="86"/>
      <c r="B1313" s="88"/>
      <c r="C1313" s="97"/>
      <c r="D1313" s="88"/>
      <c r="E1313" s="87" t="s">
        <v>1489</v>
      </c>
      <c r="F1313" s="87" t="s">
        <v>2276</v>
      </c>
      <c r="G1313" s="87" t="s">
        <v>552</v>
      </c>
      <c r="H1313" s="87" t="s">
        <v>551</v>
      </c>
      <c r="I1313" s="87">
        <v>71</v>
      </c>
      <c r="J1313" s="232"/>
    </row>
    <row r="1314" spans="1:10" ht="15" thickTop="1" x14ac:dyDescent="0.3">
      <c r="J1314" s="230"/>
    </row>
    <row r="1315" spans="1:10" ht="15" thickBot="1" x14ac:dyDescent="0.35">
      <c r="J1315" s="232"/>
    </row>
    <row r="1316" spans="1:10" x14ac:dyDescent="0.3">
      <c r="J1316" s="230"/>
    </row>
    <row r="1317" spans="1:10" ht="15" thickBot="1" x14ac:dyDescent="0.35">
      <c r="J1317" s="232">
        <v>47</v>
      </c>
    </row>
    <row r="1318" spans="1:10" x14ac:dyDescent="0.3">
      <c r="J1318" s="230"/>
    </row>
    <row r="1319" spans="1:10" ht="15" thickBot="1" x14ac:dyDescent="0.35">
      <c r="J1319" s="232">
        <v>48</v>
      </c>
    </row>
    <row r="1320" spans="1:10" x14ac:dyDescent="0.3">
      <c r="J1320" s="230"/>
    </row>
    <row r="1321" spans="1:10" ht="15" thickBot="1" x14ac:dyDescent="0.35">
      <c r="J1321" s="232">
        <v>70</v>
      </c>
    </row>
    <row r="1322" spans="1:10" x14ac:dyDescent="0.3">
      <c r="J1322" s="230"/>
    </row>
    <row r="1323" spans="1:10" ht="15" thickBot="1" x14ac:dyDescent="0.35">
      <c r="J1323" s="232">
        <v>71</v>
      </c>
    </row>
    <row r="1324" spans="1:10" x14ac:dyDescent="0.3">
      <c r="J1324" s="230"/>
    </row>
    <row r="1325" spans="1:10" ht="15" thickBot="1" x14ac:dyDescent="0.35">
      <c r="J1325" s="232">
        <v>18</v>
      </c>
    </row>
    <row r="1326" spans="1:10" x14ac:dyDescent="0.3">
      <c r="J1326" s="230"/>
    </row>
    <row r="1327" spans="1:10" ht="15" thickBot="1" x14ac:dyDescent="0.35">
      <c r="J1327" s="232">
        <v>33</v>
      </c>
    </row>
    <row r="1328" spans="1:10" x14ac:dyDescent="0.3">
      <c r="J1328" s="230"/>
    </row>
    <row r="1329" spans="10:10" ht="15" thickBot="1" x14ac:dyDescent="0.35">
      <c r="J1329" s="232">
        <v>45</v>
      </c>
    </row>
    <row r="1330" spans="10:10" x14ac:dyDescent="0.3">
      <c r="J1330" s="230"/>
    </row>
    <row r="1331" spans="10:10" ht="15" thickBot="1" x14ac:dyDescent="0.35">
      <c r="J1331" s="233">
        <v>46</v>
      </c>
    </row>
    <row r="1332" spans="10:10" ht="15" thickTop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37FD-123E-4FCE-8B52-54E2CD191930}">
  <sheetPr>
    <tabColor rgb="FF00B050"/>
  </sheetPr>
  <dimension ref="A1:G39"/>
  <sheetViews>
    <sheetView workbookViewId="0">
      <selection activeCell="B10" sqref="B10"/>
    </sheetView>
  </sheetViews>
  <sheetFormatPr defaultColWidth="8.6640625" defaultRowHeight="14.4" x14ac:dyDescent="0.3"/>
  <cols>
    <col min="1" max="1" width="15.33203125" style="71" customWidth="1"/>
    <col min="2" max="2" width="43.5546875" style="71" customWidth="1"/>
    <col min="3" max="5" width="4.5546875" style="71" customWidth="1"/>
    <col min="6" max="6" width="14" style="71" customWidth="1"/>
    <col min="7" max="7" width="10.5546875" style="71" customWidth="1"/>
    <col min="8" max="16384" width="8.6640625" style="71"/>
  </cols>
  <sheetData>
    <row r="1" spans="1:7" ht="96" thickTop="1" thickBot="1" x14ac:dyDescent="0.35">
      <c r="A1" s="193" t="s">
        <v>2306</v>
      </c>
      <c r="B1" s="163" t="s">
        <v>1455</v>
      </c>
      <c r="C1" s="234" t="s">
        <v>2657</v>
      </c>
      <c r="D1" s="164" t="s">
        <v>4</v>
      </c>
      <c r="E1" s="164" t="s">
        <v>3</v>
      </c>
      <c r="F1" s="163" t="s">
        <v>2307</v>
      </c>
      <c r="G1" s="194" t="s">
        <v>1453</v>
      </c>
    </row>
    <row r="2" spans="1:7" x14ac:dyDescent="0.3">
      <c r="A2" s="72" t="s">
        <v>204</v>
      </c>
      <c r="B2" s="73"/>
      <c r="C2" s="236">
        <v>13</v>
      </c>
      <c r="D2" s="74" t="s">
        <v>1009</v>
      </c>
      <c r="E2" s="74">
        <v>21</v>
      </c>
      <c r="F2" s="73" t="s">
        <v>204</v>
      </c>
      <c r="G2" s="75"/>
    </row>
    <row r="3" spans="1:7" x14ac:dyDescent="0.3">
      <c r="A3" s="101"/>
      <c r="B3" s="77"/>
      <c r="C3" s="218">
        <v>60</v>
      </c>
      <c r="D3" s="78" t="s">
        <v>203</v>
      </c>
      <c r="E3" s="78">
        <v>59</v>
      </c>
      <c r="F3" s="77"/>
      <c r="G3" s="79"/>
    </row>
    <row r="4" spans="1:7" x14ac:dyDescent="0.3">
      <c r="A4" s="101"/>
      <c r="B4" s="77"/>
      <c r="C4" s="218"/>
      <c r="D4" s="78" t="s">
        <v>780</v>
      </c>
      <c r="E4" s="78">
        <v>106</v>
      </c>
      <c r="F4" s="77"/>
      <c r="G4" s="79"/>
    </row>
    <row r="5" spans="1:7" ht="15" thickBot="1" x14ac:dyDescent="0.35">
      <c r="A5" s="102"/>
      <c r="B5" s="83"/>
      <c r="C5" s="237"/>
      <c r="D5" s="82" t="s">
        <v>467</v>
      </c>
      <c r="E5" s="82">
        <v>149</v>
      </c>
      <c r="F5" s="83"/>
      <c r="G5" s="84"/>
    </row>
    <row r="6" spans="1:7" x14ac:dyDescent="0.3">
      <c r="A6" s="72" t="s">
        <v>201</v>
      </c>
      <c r="B6" s="73"/>
      <c r="C6" s="236">
        <v>12</v>
      </c>
      <c r="D6" s="74" t="s">
        <v>200</v>
      </c>
      <c r="E6" s="74">
        <v>20</v>
      </c>
      <c r="F6" s="73" t="s">
        <v>201</v>
      </c>
      <c r="G6" s="75"/>
    </row>
    <row r="7" spans="1:7" x14ac:dyDescent="0.3">
      <c r="A7" s="101"/>
      <c r="B7" s="77"/>
      <c r="C7" s="218">
        <v>59</v>
      </c>
      <c r="D7" s="78" t="s">
        <v>1008</v>
      </c>
      <c r="E7" s="78">
        <v>60</v>
      </c>
      <c r="F7" s="77"/>
      <c r="G7" s="79"/>
    </row>
    <row r="8" spans="1:7" x14ac:dyDescent="0.3">
      <c r="A8" s="101"/>
      <c r="B8" s="77"/>
      <c r="C8" s="218"/>
      <c r="D8" s="78" t="s">
        <v>779</v>
      </c>
      <c r="E8" s="78">
        <v>105</v>
      </c>
      <c r="F8" s="77"/>
      <c r="G8" s="79"/>
    </row>
    <row r="9" spans="1:7" ht="15" thickBot="1" x14ac:dyDescent="0.35">
      <c r="A9" s="102"/>
      <c r="B9" s="83"/>
      <c r="C9" s="237"/>
      <c r="D9" s="82" t="s">
        <v>468</v>
      </c>
      <c r="E9" s="82">
        <v>148</v>
      </c>
      <c r="F9" s="83"/>
      <c r="G9" s="84"/>
    </row>
    <row r="10" spans="1:7" ht="15" thickBot="1" x14ac:dyDescent="0.35">
      <c r="A10" s="98" t="s">
        <v>198</v>
      </c>
      <c r="B10" s="99"/>
      <c r="C10" s="235">
        <v>11</v>
      </c>
      <c r="D10" s="99" t="s">
        <v>197</v>
      </c>
      <c r="E10" s="99">
        <v>19</v>
      </c>
      <c r="F10" s="99" t="s">
        <v>198</v>
      </c>
      <c r="G10" s="100"/>
    </row>
    <row r="11" spans="1:7" x14ac:dyDescent="0.3">
      <c r="A11" s="72" t="s">
        <v>195</v>
      </c>
      <c r="B11" s="73"/>
      <c r="C11" s="236">
        <v>10</v>
      </c>
      <c r="D11" s="74" t="s">
        <v>1435</v>
      </c>
      <c r="E11" s="74">
        <v>18</v>
      </c>
      <c r="F11" s="73" t="s">
        <v>195</v>
      </c>
      <c r="G11" s="75"/>
    </row>
    <row r="12" spans="1:7" x14ac:dyDescent="0.3">
      <c r="A12" s="101"/>
      <c r="B12" s="77"/>
      <c r="C12" s="218">
        <v>62</v>
      </c>
      <c r="D12" s="78" t="s">
        <v>194</v>
      </c>
      <c r="E12" s="78">
        <v>108</v>
      </c>
      <c r="F12" s="77"/>
      <c r="G12" s="79"/>
    </row>
    <row r="13" spans="1:7" x14ac:dyDescent="0.3">
      <c r="A13" s="101"/>
      <c r="B13" s="77"/>
      <c r="C13" s="218">
        <v>87</v>
      </c>
      <c r="D13" s="78" t="s">
        <v>1011</v>
      </c>
      <c r="E13" s="78">
        <v>128</v>
      </c>
      <c r="F13" s="77"/>
      <c r="G13" s="79"/>
    </row>
    <row r="14" spans="1:7" x14ac:dyDescent="0.3">
      <c r="A14" s="101"/>
      <c r="B14" s="77"/>
      <c r="C14" s="218"/>
      <c r="D14" s="78" t="s">
        <v>896</v>
      </c>
      <c r="E14" s="78">
        <v>151</v>
      </c>
      <c r="F14" s="77"/>
      <c r="G14" s="79"/>
    </row>
    <row r="15" spans="1:7" ht="15" thickBot="1" x14ac:dyDescent="0.35">
      <c r="A15" s="102"/>
      <c r="B15" s="83"/>
      <c r="C15" s="237"/>
      <c r="D15" s="82" t="s">
        <v>1434</v>
      </c>
      <c r="E15" s="82">
        <v>169</v>
      </c>
      <c r="F15" s="83"/>
      <c r="G15" s="84"/>
    </row>
    <row r="16" spans="1:7" x14ac:dyDescent="0.3">
      <c r="A16" s="72" t="s">
        <v>320</v>
      </c>
      <c r="B16" s="73"/>
      <c r="C16" s="236">
        <v>25</v>
      </c>
      <c r="D16" s="74" t="s">
        <v>465</v>
      </c>
      <c r="E16" s="74">
        <v>38</v>
      </c>
      <c r="F16" s="73" t="s">
        <v>320</v>
      </c>
      <c r="G16" s="75"/>
    </row>
    <row r="17" spans="1:7" x14ac:dyDescent="0.3">
      <c r="A17" s="101"/>
      <c r="B17" s="77"/>
      <c r="C17" s="218">
        <v>37</v>
      </c>
      <c r="D17" s="78" t="s">
        <v>601</v>
      </c>
      <c r="E17" s="78">
        <v>57</v>
      </c>
      <c r="F17" s="77"/>
      <c r="G17" s="79"/>
    </row>
    <row r="18" spans="1:7" ht="15" thickBot="1" x14ac:dyDescent="0.35">
      <c r="A18" s="102"/>
      <c r="B18" s="83"/>
      <c r="C18" s="237"/>
      <c r="D18" s="82" t="s">
        <v>319</v>
      </c>
      <c r="E18" s="82">
        <v>77</v>
      </c>
      <c r="F18" s="83"/>
      <c r="G18" s="84"/>
    </row>
    <row r="19" spans="1:7" ht="15" thickBot="1" x14ac:dyDescent="0.35">
      <c r="A19" s="98" t="s">
        <v>190</v>
      </c>
      <c r="B19" s="99" t="s">
        <v>2308</v>
      </c>
      <c r="C19" s="235">
        <v>8</v>
      </c>
      <c r="D19" s="99" t="s">
        <v>189</v>
      </c>
      <c r="E19" s="99">
        <v>16</v>
      </c>
      <c r="F19" s="167" t="s">
        <v>190</v>
      </c>
      <c r="G19" s="100"/>
    </row>
    <row r="20" spans="1:7" ht="15" thickBot="1" x14ac:dyDescent="0.35">
      <c r="A20" s="98" t="s">
        <v>193</v>
      </c>
      <c r="B20" s="99" t="s">
        <v>2309</v>
      </c>
      <c r="C20" s="235">
        <v>9</v>
      </c>
      <c r="D20" s="99" t="s">
        <v>192</v>
      </c>
      <c r="E20" s="99">
        <v>17</v>
      </c>
      <c r="F20" s="167" t="s">
        <v>193</v>
      </c>
      <c r="G20" s="100"/>
    </row>
    <row r="21" spans="1:7" x14ac:dyDescent="0.3">
      <c r="A21" s="72" t="s">
        <v>206</v>
      </c>
      <c r="B21" s="73" t="s">
        <v>2310</v>
      </c>
      <c r="C21" s="236">
        <v>14</v>
      </c>
      <c r="D21" s="74" t="s">
        <v>1099</v>
      </c>
      <c r="E21" s="74">
        <v>22</v>
      </c>
      <c r="F21" s="73" t="s">
        <v>206</v>
      </c>
      <c r="G21" s="75"/>
    </row>
    <row r="22" spans="1:7" x14ac:dyDescent="0.3">
      <c r="A22" s="101"/>
      <c r="B22" s="238"/>
      <c r="C22" s="218">
        <v>16</v>
      </c>
      <c r="D22" s="239" t="s">
        <v>781</v>
      </c>
      <c r="E22" s="78">
        <v>24</v>
      </c>
      <c r="F22" s="77"/>
      <c r="G22" s="79"/>
    </row>
    <row r="23" spans="1:7" x14ac:dyDescent="0.3">
      <c r="A23" s="101"/>
      <c r="B23" s="77"/>
      <c r="C23" s="218">
        <v>24</v>
      </c>
      <c r="D23" s="78" t="s">
        <v>205</v>
      </c>
      <c r="E23" s="78">
        <v>37</v>
      </c>
      <c r="F23" s="77"/>
      <c r="G23" s="79"/>
    </row>
    <row r="24" spans="1:7" x14ac:dyDescent="0.3">
      <c r="A24" s="101"/>
      <c r="B24" s="77"/>
      <c r="C24" s="218">
        <v>38</v>
      </c>
      <c r="D24" s="78" t="s">
        <v>1436</v>
      </c>
      <c r="E24" s="78">
        <v>58</v>
      </c>
      <c r="F24" s="77"/>
      <c r="G24" s="79"/>
    </row>
    <row r="25" spans="1:7" x14ac:dyDescent="0.3">
      <c r="A25" s="101"/>
      <c r="B25" s="77"/>
      <c r="C25" s="218">
        <v>61</v>
      </c>
      <c r="D25" s="78" t="s">
        <v>1010</v>
      </c>
      <c r="E25" s="78">
        <v>78</v>
      </c>
      <c r="F25" s="77"/>
      <c r="G25" s="79"/>
    </row>
    <row r="26" spans="1:7" x14ac:dyDescent="0.3">
      <c r="A26" s="101"/>
      <c r="B26" s="77"/>
      <c r="C26" s="218">
        <v>86</v>
      </c>
      <c r="D26" s="78" t="s">
        <v>318</v>
      </c>
      <c r="E26" s="78">
        <v>107</v>
      </c>
      <c r="F26" s="77"/>
      <c r="G26" s="79"/>
    </row>
    <row r="27" spans="1:7" x14ac:dyDescent="0.3">
      <c r="A27" s="101"/>
      <c r="B27" s="77"/>
      <c r="C27" s="218"/>
      <c r="D27" s="78" t="s">
        <v>1442</v>
      </c>
      <c r="E27" s="78">
        <v>127</v>
      </c>
      <c r="F27" s="77"/>
      <c r="G27" s="79"/>
    </row>
    <row r="28" spans="1:7" x14ac:dyDescent="0.3">
      <c r="A28" s="101"/>
      <c r="B28" s="77"/>
      <c r="C28" s="218"/>
      <c r="D28" s="78" t="s">
        <v>1440</v>
      </c>
      <c r="E28" s="78">
        <v>150</v>
      </c>
      <c r="F28" s="77"/>
      <c r="G28" s="79"/>
    </row>
    <row r="29" spans="1:7" x14ac:dyDescent="0.3">
      <c r="A29" s="101"/>
      <c r="B29" s="77"/>
      <c r="C29"/>
      <c r="D29" s="78" t="s">
        <v>895</v>
      </c>
      <c r="E29" s="78">
        <v>168</v>
      </c>
      <c r="F29" s="77"/>
      <c r="G29" s="79"/>
    </row>
    <row r="30" spans="1:7" x14ac:dyDescent="0.3">
      <c r="A30" s="101"/>
      <c r="B30" s="77"/>
      <c r="C30"/>
      <c r="D30" s="78" t="s">
        <v>1441</v>
      </c>
      <c r="E30" s="78"/>
      <c r="F30" s="77"/>
      <c r="G30" s="79"/>
    </row>
    <row r="31" spans="1:7" x14ac:dyDescent="0.3">
      <c r="A31" s="101"/>
      <c r="B31" s="77"/>
      <c r="C31" s="218"/>
      <c r="D31" s="78" t="s">
        <v>466</v>
      </c>
      <c r="E31" s="78"/>
      <c r="F31" s="77"/>
      <c r="G31" s="79"/>
    </row>
    <row r="32" spans="1:7" x14ac:dyDescent="0.3">
      <c r="A32" s="101"/>
      <c r="B32" s="77"/>
      <c r="C32" s="218"/>
      <c r="D32" s="78" t="s">
        <v>211</v>
      </c>
      <c r="E32" s="78"/>
      <c r="F32" s="77"/>
      <c r="G32" s="79"/>
    </row>
    <row r="33" spans="1:7" x14ac:dyDescent="0.3">
      <c r="A33" s="101"/>
      <c r="B33" s="77"/>
      <c r="C33" s="218"/>
      <c r="D33" s="78" t="s">
        <v>1443</v>
      </c>
      <c r="E33" s="78"/>
      <c r="F33" s="77"/>
      <c r="G33" s="79"/>
    </row>
    <row r="34" spans="1:7" x14ac:dyDescent="0.3">
      <c r="A34" s="101"/>
      <c r="B34" s="77"/>
      <c r="C34" s="218"/>
      <c r="D34" s="78" t="s">
        <v>1444</v>
      </c>
      <c r="E34" s="78"/>
      <c r="F34" s="77"/>
      <c r="G34" s="79"/>
    </row>
    <row r="35" spans="1:7" x14ac:dyDescent="0.3">
      <c r="A35" s="101"/>
      <c r="B35" s="77"/>
      <c r="C35" s="218"/>
      <c r="D35" s="78" t="s">
        <v>602</v>
      </c>
      <c r="E35" s="78"/>
      <c r="F35" s="77"/>
      <c r="G35" s="79"/>
    </row>
    <row r="36" spans="1:7" x14ac:dyDescent="0.3">
      <c r="A36" s="101"/>
      <c r="B36" s="77"/>
      <c r="C36" s="218"/>
      <c r="D36" s="78" t="s">
        <v>1438</v>
      </c>
      <c r="E36" s="78"/>
      <c r="F36" s="77"/>
      <c r="G36" s="79"/>
    </row>
    <row r="37" spans="1:7" x14ac:dyDescent="0.3">
      <c r="A37" s="101"/>
      <c r="B37" s="77"/>
      <c r="C37" s="218"/>
      <c r="D37" s="78" t="s">
        <v>1439</v>
      </c>
      <c r="E37" s="78"/>
      <c r="F37" s="77"/>
      <c r="G37" s="79"/>
    </row>
    <row r="38" spans="1:7" ht="15" thickBot="1" x14ac:dyDescent="0.35">
      <c r="A38" s="160"/>
      <c r="B38" s="88"/>
      <c r="C38" s="88"/>
      <c r="D38" s="87" t="s">
        <v>1437</v>
      </c>
      <c r="E38" s="87"/>
      <c r="F38" s="88"/>
      <c r="G38" s="89"/>
    </row>
    <row r="39" spans="1:7" ht="15" thickTop="1" x14ac:dyDescent="0.3"/>
  </sheetData>
  <sheetProtection formatCells="0" formatColumns="0" formatRows="0" insertColumns="0" insertRows="0" insertHyperlinks="0" deleteColumns="0" deleteRows="0" sort="0" autoFilter="0" pivotTables="0"/>
  <autoFilter ref="A1:A38" xr:uid="{403D37FD-123E-4FCE-8B52-54E2CD19193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1C9E-E105-4CCB-8447-07400CB3E759}">
  <sheetPr>
    <tabColor rgb="FF00B050"/>
  </sheetPr>
  <dimension ref="A1:I6"/>
  <sheetViews>
    <sheetView workbookViewId="0">
      <selection activeCell="L14" sqref="L14"/>
    </sheetView>
  </sheetViews>
  <sheetFormatPr defaultColWidth="8.6640625" defaultRowHeight="14.4" x14ac:dyDescent="0.3"/>
  <cols>
    <col min="1" max="1" width="11.6640625" style="71" customWidth="1"/>
    <col min="2" max="2" width="10.5546875" style="71" customWidth="1"/>
    <col min="3" max="3" width="8.33203125" style="71" customWidth="1"/>
    <col min="4" max="4" width="35.88671875" style="71" bestFit="1" customWidth="1"/>
    <col min="5" max="5" width="11.6640625" style="71" customWidth="1"/>
    <col min="6" max="6" width="10.5546875" style="71" customWidth="1"/>
    <col min="7" max="7" width="17.5546875" style="71" customWidth="1"/>
    <col min="8" max="8" width="22.33203125" style="71" customWidth="1"/>
    <col min="9" max="9" width="19.6640625" style="71" customWidth="1"/>
    <col min="10" max="16384" width="8.6640625" style="71"/>
  </cols>
  <sheetData>
    <row r="1" spans="1:9" ht="15.6" thickTop="1" thickBot="1" x14ac:dyDescent="0.35">
      <c r="A1" s="193" t="s">
        <v>1450</v>
      </c>
      <c r="B1" s="163" t="s">
        <v>1453</v>
      </c>
      <c r="C1" s="163" t="s">
        <v>1454</v>
      </c>
      <c r="D1" s="163" t="s">
        <v>1455</v>
      </c>
      <c r="E1" s="163" t="s">
        <v>1456</v>
      </c>
      <c r="F1" s="163" t="s">
        <v>1457</v>
      </c>
      <c r="G1" s="163" t="s">
        <v>4</v>
      </c>
      <c r="H1" s="163" t="s">
        <v>3</v>
      </c>
      <c r="I1" s="240" t="s">
        <v>2657</v>
      </c>
    </row>
    <row r="2" spans="1:9" ht="15" thickBot="1" x14ac:dyDescent="0.35">
      <c r="A2" s="195" t="s">
        <v>2311</v>
      </c>
      <c r="B2" s="196"/>
      <c r="C2" s="196"/>
      <c r="D2" s="196"/>
      <c r="E2" s="196"/>
      <c r="F2" s="196"/>
      <c r="G2" s="196"/>
      <c r="H2" s="196"/>
      <c r="I2" s="196"/>
    </row>
    <row r="3" spans="1:9" ht="15" thickBot="1" x14ac:dyDescent="0.35">
      <c r="A3" s="103" t="s">
        <v>209</v>
      </c>
      <c r="B3" s="78" t="s">
        <v>209</v>
      </c>
      <c r="C3" s="78" t="s">
        <v>2312</v>
      </c>
      <c r="D3" s="78" t="s">
        <v>2313</v>
      </c>
      <c r="E3" s="78" t="s">
        <v>1513</v>
      </c>
      <c r="F3" s="78" t="s">
        <v>2314</v>
      </c>
      <c r="G3" s="78" t="s">
        <v>208</v>
      </c>
      <c r="H3" s="78">
        <v>23</v>
      </c>
      <c r="I3" s="78">
        <v>15</v>
      </c>
    </row>
    <row r="4" spans="1:9" ht="15" thickBot="1" x14ac:dyDescent="0.35">
      <c r="A4" s="181" t="s">
        <v>148</v>
      </c>
      <c r="B4" s="182" t="s">
        <v>2173</v>
      </c>
      <c r="C4" s="182" t="s">
        <v>2174</v>
      </c>
      <c r="D4" s="183" t="s">
        <v>2175</v>
      </c>
      <c r="E4" s="182" t="s">
        <v>1492</v>
      </c>
      <c r="F4" s="184" t="s">
        <v>2314</v>
      </c>
      <c r="G4" s="185" t="s">
        <v>147</v>
      </c>
      <c r="H4" s="85">
        <v>11</v>
      </c>
      <c r="I4" s="85">
        <v>7</v>
      </c>
    </row>
    <row r="5" spans="1:9" ht="15" thickBot="1" x14ac:dyDescent="0.35">
      <c r="A5" s="104" t="s">
        <v>213</v>
      </c>
      <c r="B5" s="87" t="s">
        <v>213</v>
      </c>
      <c r="C5" s="87" t="s">
        <v>2312</v>
      </c>
      <c r="D5" s="87" t="s">
        <v>2315</v>
      </c>
      <c r="E5" s="87" t="s">
        <v>1492</v>
      </c>
      <c r="F5" s="87" t="s">
        <v>2314</v>
      </c>
      <c r="G5" s="87" t="s">
        <v>212</v>
      </c>
      <c r="H5" s="87">
        <v>25</v>
      </c>
      <c r="I5" s="87">
        <v>17</v>
      </c>
    </row>
    <row r="6" spans="1:9" ht="15" thickTop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C467-D262-4BFE-A320-BDB326DBC01D}">
  <sheetPr>
    <tabColor rgb="FF00B050"/>
  </sheetPr>
  <dimension ref="A1:E1662"/>
  <sheetViews>
    <sheetView topLeftCell="A1462" workbookViewId="0">
      <selection activeCell="I1474" sqref="I1474"/>
    </sheetView>
  </sheetViews>
  <sheetFormatPr defaultColWidth="8.6640625" defaultRowHeight="14.4" x14ac:dyDescent="0.3"/>
  <cols>
    <col min="1" max="1" width="18.6640625" customWidth="1"/>
    <col min="2" max="2" width="22.33203125" style="71" customWidth="1"/>
    <col min="3" max="3" width="17.5546875" style="71" customWidth="1"/>
    <col min="4" max="4" width="25.6640625" style="71" customWidth="1"/>
    <col min="5" max="5" width="4.5546875" style="71" customWidth="1"/>
    <col min="6" max="16384" width="8.6640625" style="71"/>
  </cols>
  <sheetData>
    <row r="1" spans="1:5" x14ac:dyDescent="0.3">
      <c r="A1" s="267" t="s">
        <v>2657</v>
      </c>
      <c r="B1" s="134" t="s">
        <v>3</v>
      </c>
      <c r="C1" s="134" t="s">
        <v>4</v>
      </c>
      <c r="D1" s="134" t="s">
        <v>1511</v>
      </c>
      <c r="E1" s="134"/>
    </row>
    <row r="2" spans="1:5" x14ac:dyDescent="0.3">
      <c r="A2" s="218">
        <v>1</v>
      </c>
      <c r="B2" s="78">
        <v>4</v>
      </c>
      <c r="C2" s="78" t="s">
        <v>57</v>
      </c>
      <c r="D2" s="78" t="s">
        <v>2180</v>
      </c>
      <c r="E2" s="78" t="s">
        <v>1513</v>
      </c>
    </row>
    <row r="3" spans="1:5" x14ac:dyDescent="0.3">
      <c r="A3" s="218">
        <v>2</v>
      </c>
      <c r="B3" s="78">
        <v>5</v>
      </c>
      <c r="C3" s="78" t="s">
        <v>72</v>
      </c>
      <c r="D3" s="78" t="s">
        <v>81</v>
      </c>
      <c r="E3" s="78" t="s">
        <v>1513</v>
      </c>
    </row>
    <row r="4" spans="1:5" x14ac:dyDescent="0.3">
      <c r="A4" s="218">
        <v>3</v>
      </c>
      <c r="B4" s="78">
        <v>7</v>
      </c>
      <c r="C4" s="78" t="s">
        <v>99</v>
      </c>
      <c r="D4" s="78" t="s">
        <v>108</v>
      </c>
      <c r="E4" s="78" t="s">
        <v>1513</v>
      </c>
    </row>
    <row r="5" spans="1:5" x14ac:dyDescent="0.3">
      <c r="A5" s="218">
        <v>4</v>
      </c>
      <c r="B5" s="78">
        <v>8</v>
      </c>
      <c r="C5" s="78" t="s">
        <v>111</v>
      </c>
      <c r="D5" s="78" t="s">
        <v>2075</v>
      </c>
      <c r="E5" s="78" t="s">
        <v>1513</v>
      </c>
    </row>
    <row r="6" spans="1:5" x14ac:dyDescent="0.3">
      <c r="A6" s="218">
        <v>5</v>
      </c>
      <c r="B6" s="78">
        <v>9</v>
      </c>
      <c r="C6" s="78" t="s">
        <v>123</v>
      </c>
      <c r="D6" s="78" t="s">
        <v>2170</v>
      </c>
      <c r="E6" s="78" t="s">
        <v>1513</v>
      </c>
    </row>
    <row r="7" spans="1:5" x14ac:dyDescent="0.3">
      <c r="A7" s="218">
        <v>6</v>
      </c>
      <c r="B7" s="78">
        <v>10</v>
      </c>
      <c r="C7" s="78" t="s">
        <v>135</v>
      </c>
      <c r="D7" s="78" t="s">
        <v>144</v>
      </c>
      <c r="E7" s="78" t="s">
        <v>1513</v>
      </c>
    </row>
    <row r="8" spans="1:5" x14ac:dyDescent="0.3">
      <c r="A8" s="218">
        <v>45</v>
      </c>
      <c r="B8" s="78">
        <v>68</v>
      </c>
      <c r="C8" s="78" t="s">
        <v>524</v>
      </c>
      <c r="D8" s="78" t="s">
        <v>528</v>
      </c>
      <c r="E8" s="78" t="s">
        <v>1492</v>
      </c>
    </row>
    <row r="9" spans="1:5" x14ac:dyDescent="0.3">
      <c r="A9" s="218">
        <v>46</v>
      </c>
      <c r="B9" s="78">
        <v>71</v>
      </c>
      <c r="C9" s="78" t="s">
        <v>551</v>
      </c>
      <c r="D9" s="78" t="s">
        <v>555</v>
      </c>
      <c r="E9" s="78" t="s">
        <v>1492</v>
      </c>
    </row>
    <row r="10" spans="1:5" x14ac:dyDescent="0.3">
      <c r="A10" s="218">
        <v>47</v>
      </c>
      <c r="B10" s="78">
        <v>74</v>
      </c>
      <c r="C10" s="78" t="s">
        <v>576</v>
      </c>
      <c r="D10" s="78" t="s">
        <v>582</v>
      </c>
      <c r="E10" s="78" t="s">
        <v>1492</v>
      </c>
    </row>
    <row r="11" spans="1:5" x14ac:dyDescent="0.3">
      <c r="A11" s="218">
        <v>51</v>
      </c>
      <c r="B11" s="78">
        <v>90</v>
      </c>
      <c r="C11" s="78" t="s">
        <v>684</v>
      </c>
      <c r="D11" s="78" t="s">
        <v>2009</v>
      </c>
      <c r="E11" s="78" t="s">
        <v>1513</v>
      </c>
    </row>
    <row r="12" spans="1:5" x14ac:dyDescent="0.3">
      <c r="A12" s="218">
        <v>53</v>
      </c>
      <c r="B12" s="78">
        <v>94</v>
      </c>
      <c r="C12" s="78" t="s">
        <v>712</v>
      </c>
      <c r="D12" s="78" t="s">
        <v>1783</v>
      </c>
      <c r="E12" s="78" t="s">
        <v>1513</v>
      </c>
    </row>
    <row r="13" spans="1:5" x14ac:dyDescent="0.3">
      <c r="A13" s="218">
        <v>54</v>
      </c>
      <c r="B13" s="78">
        <v>95</v>
      </c>
      <c r="C13" s="78" t="s">
        <v>719</v>
      </c>
      <c r="D13" s="78" t="s">
        <v>1776</v>
      </c>
      <c r="E13" s="78" t="s">
        <v>1513</v>
      </c>
    </row>
    <row r="14" spans="1:5" x14ac:dyDescent="0.3">
      <c r="A14" s="218">
        <v>55</v>
      </c>
      <c r="B14" s="78">
        <v>97</v>
      </c>
      <c r="C14" s="78" t="s">
        <v>732</v>
      </c>
      <c r="D14" s="78" t="s">
        <v>1998</v>
      </c>
      <c r="E14" s="78" t="s">
        <v>1513</v>
      </c>
    </row>
    <row r="15" spans="1:5" x14ac:dyDescent="0.3">
      <c r="A15" s="218">
        <v>56</v>
      </c>
      <c r="B15" s="78">
        <v>98</v>
      </c>
      <c r="C15" s="78" t="s">
        <v>738</v>
      </c>
      <c r="D15" s="78" t="s">
        <v>741</v>
      </c>
      <c r="E15" s="78" t="s">
        <v>1513</v>
      </c>
    </row>
    <row r="16" spans="1:5" x14ac:dyDescent="0.3">
      <c r="A16" s="218">
        <v>57</v>
      </c>
      <c r="B16" s="78">
        <v>100</v>
      </c>
      <c r="C16" s="78" t="s">
        <v>751</v>
      </c>
      <c r="D16" s="78" t="s">
        <v>754</v>
      </c>
      <c r="E16" s="78" t="s">
        <v>1513</v>
      </c>
    </row>
    <row r="17" spans="1:5" x14ac:dyDescent="0.3">
      <c r="A17" s="218">
        <v>58</v>
      </c>
      <c r="B17" s="78">
        <v>102</v>
      </c>
      <c r="C17" s="78" t="s">
        <v>762</v>
      </c>
      <c r="D17" s="78" t="s">
        <v>1597</v>
      </c>
      <c r="E17" s="78" t="s">
        <v>1513</v>
      </c>
    </row>
    <row r="18" spans="1:5" x14ac:dyDescent="0.3">
      <c r="A18" s="218">
        <v>66</v>
      </c>
      <c r="B18" s="78">
        <v>114</v>
      </c>
      <c r="C18" s="78" t="s">
        <v>810</v>
      </c>
      <c r="D18" s="78" t="s">
        <v>1531</v>
      </c>
      <c r="E18" s="78" t="s">
        <v>1513</v>
      </c>
    </row>
    <row r="19" spans="1:5" x14ac:dyDescent="0.3">
      <c r="A19" s="218">
        <v>67</v>
      </c>
      <c r="B19" s="78">
        <v>116</v>
      </c>
      <c r="C19" s="78" t="s">
        <v>823</v>
      </c>
      <c r="D19" s="78" t="s">
        <v>1510</v>
      </c>
      <c r="E19" s="78" t="s">
        <v>1513</v>
      </c>
    </row>
    <row r="20" spans="1:5" x14ac:dyDescent="0.3">
      <c r="A20" s="218">
        <v>69</v>
      </c>
      <c r="B20" s="78">
        <v>119</v>
      </c>
      <c r="C20" s="78" t="s">
        <v>842</v>
      </c>
      <c r="D20" s="78" t="s">
        <v>2089</v>
      </c>
      <c r="E20" s="78" t="s">
        <v>1513</v>
      </c>
    </row>
    <row r="21" spans="1:5" x14ac:dyDescent="0.3">
      <c r="A21" s="218">
        <v>70</v>
      </c>
      <c r="B21" s="78">
        <v>120</v>
      </c>
      <c r="C21" s="78" t="s">
        <v>848</v>
      </c>
      <c r="D21" s="78" t="s">
        <v>2086</v>
      </c>
      <c r="E21" s="78" t="s">
        <v>1513</v>
      </c>
    </row>
    <row r="22" spans="1:5" x14ac:dyDescent="0.3">
      <c r="A22" s="218">
        <v>71</v>
      </c>
      <c r="B22" s="78">
        <v>121</v>
      </c>
      <c r="C22" s="78" t="s">
        <v>855</v>
      </c>
      <c r="D22" s="78" t="s">
        <v>2079</v>
      </c>
      <c r="E22" s="78" t="s">
        <v>1513</v>
      </c>
    </row>
    <row r="23" spans="1:5" x14ac:dyDescent="0.3">
      <c r="A23" s="218">
        <v>74</v>
      </c>
      <c r="B23" s="78">
        <v>126</v>
      </c>
      <c r="C23" s="78" t="s">
        <v>888</v>
      </c>
      <c r="D23" s="78" t="s">
        <v>1849</v>
      </c>
      <c r="E23" s="78" t="s">
        <v>1513</v>
      </c>
    </row>
    <row r="24" spans="1:5" x14ac:dyDescent="0.3">
      <c r="A24" s="218">
        <v>75</v>
      </c>
      <c r="B24" s="78">
        <v>129</v>
      </c>
      <c r="C24" s="78" t="s">
        <v>897</v>
      </c>
      <c r="D24" s="78" t="s">
        <v>1842</v>
      </c>
      <c r="E24" s="78" t="s">
        <v>1513</v>
      </c>
    </row>
    <row r="25" spans="1:5" x14ac:dyDescent="0.3">
      <c r="A25" s="218">
        <v>76</v>
      </c>
      <c r="B25" s="78">
        <v>130</v>
      </c>
      <c r="C25" s="78" t="s">
        <v>903</v>
      </c>
      <c r="D25" s="78" t="s">
        <v>1835</v>
      </c>
      <c r="E25" s="78" t="s">
        <v>1513</v>
      </c>
    </row>
    <row r="26" spans="1:5" x14ac:dyDescent="0.3">
      <c r="A26" s="218">
        <v>77</v>
      </c>
      <c r="B26" s="78">
        <v>133</v>
      </c>
      <c r="C26" s="78" t="s">
        <v>921</v>
      </c>
      <c r="D26" s="78" t="s">
        <v>1826</v>
      </c>
      <c r="E26" s="78" t="s">
        <v>1513</v>
      </c>
    </row>
    <row r="27" spans="1:5" x14ac:dyDescent="0.3">
      <c r="A27" s="218">
        <v>78</v>
      </c>
      <c r="B27" s="78">
        <v>135</v>
      </c>
      <c r="C27" s="78" t="s">
        <v>932</v>
      </c>
      <c r="D27" s="78" t="s">
        <v>1531</v>
      </c>
      <c r="E27" s="78" t="s">
        <v>1513</v>
      </c>
    </row>
    <row r="28" spans="1:5" x14ac:dyDescent="0.3">
      <c r="A28" s="218">
        <v>79</v>
      </c>
      <c r="B28" s="78">
        <v>137</v>
      </c>
      <c r="C28" s="78" t="s">
        <v>945</v>
      </c>
      <c r="D28" s="78" t="s">
        <v>1510</v>
      </c>
      <c r="E28" s="78" t="s">
        <v>1513</v>
      </c>
    </row>
    <row r="29" spans="1:5" x14ac:dyDescent="0.3">
      <c r="A29" s="218">
        <v>81</v>
      </c>
      <c r="B29" s="78">
        <v>141</v>
      </c>
      <c r="C29" s="78" t="s">
        <v>970</v>
      </c>
      <c r="D29" s="78" t="s">
        <v>528</v>
      </c>
      <c r="E29" s="78" t="s">
        <v>1492</v>
      </c>
    </row>
    <row r="30" spans="1:5" x14ac:dyDescent="0.3">
      <c r="A30" s="218">
        <v>84</v>
      </c>
      <c r="B30" s="78">
        <v>146</v>
      </c>
      <c r="C30" s="78" t="s">
        <v>998</v>
      </c>
      <c r="D30" s="78" t="s">
        <v>555</v>
      </c>
      <c r="E30" s="78" t="s">
        <v>1492</v>
      </c>
    </row>
    <row r="31" spans="1:5" x14ac:dyDescent="0.3">
      <c r="A31" s="218">
        <v>85</v>
      </c>
      <c r="B31" s="78">
        <v>147</v>
      </c>
      <c r="C31" s="78" t="s">
        <v>1003</v>
      </c>
      <c r="D31" s="78" t="s">
        <v>582</v>
      </c>
      <c r="E31" s="78" t="s">
        <v>1492</v>
      </c>
    </row>
    <row r="32" spans="1:5" x14ac:dyDescent="0.3">
      <c r="A32" s="218">
        <v>99</v>
      </c>
      <c r="B32" s="78">
        <v>171</v>
      </c>
      <c r="C32" s="78" t="s">
        <v>1106</v>
      </c>
      <c r="D32" s="78" t="s">
        <v>1634</v>
      </c>
      <c r="E32" s="78" t="s">
        <v>1513</v>
      </c>
    </row>
    <row r="33" spans="1:5" x14ac:dyDescent="0.3">
      <c r="A33" s="218">
        <v>100</v>
      </c>
      <c r="B33" s="78">
        <v>172</v>
      </c>
      <c r="C33" s="78" t="s">
        <v>1112</v>
      </c>
      <c r="D33" s="78" t="s">
        <v>1622</v>
      </c>
      <c r="E33" s="78" t="s">
        <v>1513</v>
      </c>
    </row>
    <row r="34" spans="1:5" x14ac:dyDescent="0.3">
      <c r="A34" s="219"/>
      <c r="B34" s="78">
        <v>89</v>
      </c>
      <c r="C34" s="78" t="s">
        <v>678</v>
      </c>
      <c r="D34" s="78" t="s">
        <v>2057</v>
      </c>
      <c r="E34" s="78" t="s">
        <v>1513</v>
      </c>
    </row>
    <row r="35" spans="1:5" x14ac:dyDescent="0.3">
      <c r="A35" s="219"/>
      <c r="B35" s="78">
        <v>91</v>
      </c>
      <c r="C35" s="78" t="s">
        <v>692</v>
      </c>
      <c r="D35" s="78" t="s">
        <v>2061</v>
      </c>
      <c r="E35" s="78" t="s">
        <v>1513</v>
      </c>
    </row>
    <row r="36" spans="1:5" x14ac:dyDescent="0.3">
      <c r="A36" s="219"/>
      <c r="B36" s="78">
        <v>111</v>
      </c>
      <c r="C36" s="78" t="s">
        <v>793</v>
      </c>
      <c r="D36" s="78" t="s">
        <v>2125</v>
      </c>
      <c r="E36" s="78" t="s">
        <v>1513</v>
      </c>
    </row>
    <row r="37" spans="1:5" x14ac:dyDescent="0.3">
      <c r="A37" s="219"/>
      <c r="B37" s="78">
        <v>115</v>
      </c>
      <c r="C37" s="78" t="s">
        <v>816</v>
      </c>
      <c r="D37" s="78" t="s">
        <v>821</v>
      </c>
      <c r="E37" s="78" t="s">
        <v>1513</v>
      </c>
    </row>
    <row r="38" spans="1:5" x14ac:dyDescent="0.3">
      <c r="A38" s="219"/>
      <c r="B38" s="90"/>
      <c r="C38" s="78" t="s">
        <v>1193</v>
      </c>
      <c r="D38" s="78" t="s">
        <v>582</v>
      </c>
      <c r="E38" s="78" t="s">
        <v>1492</v>
      </c>
    </row>
    <row r="39" spans="1:5" x14ac:dyDescent="0.3">
      <c r="A39" s="219"/>
      <c r="B39" s="90"/>
      <c r="C39" s="78" t="s">
        <v>1197</v>
      </c>
      <c r="D39" s="78" t="s">
        <v>555</v>
      </c>
      <c r="E39" s="78" t="s">
        <v>1492</v>
      </c>
    </row>
    <row r="40" spans="1:5" x14ac:dyDescent="0.3">
      <c r="A40" s="219"/>
      <c r="B40" s="90"/>
      <c r="C40" s="78" t="s">
        <v>1201</v>
      </c>
      <c r="D40" s="78" t="s">
        <v>528</v>
      </c>
      <c r="E40" s="78" t="s">
        <v>1492</v>
      </c>
    </row>
    <row r="41" spans="1:5" x14ac:dyDescent="0.3">
      <c r="A41" s="219"/>
      <c r="B41" s="90"/>
      <c r="C41" s="78" t="s">
        <v>1205</v>
      </c>
      <c r="D41" s="78" t="s">
        <v>582</v>
      </c>
      <c r="E41" s="78" t="s">
        <v>1492</v>
      </c>
    </row>
    <row r="42" spans="1:5" x14ac:dyDescent="0.3">
      <c r="A42" s="219"/>
      <c r="B42" s="90"/>
      <c r="C42" s="78" t="s">
        <v>1209</v>
      </c>
      <c r="D42" s="78" t="s">
        <v>555</v>
      </c>
      <c r="E42" s="78" t="s">
        <v>1492</v>
      </c>
    </row>
    <row r="43" spans="1:5" x14ac:dyDescent="0.3">
      <c r="A43" s="219"/>
      <c r="B43" s="90"/>
      <c r="C43" s="78" t="s">
        <v>1233</v>
      </c>
      <c r="D43" s="78" t="s">
        <v>528</v>
      </c>
      <c r="E43" s="78" t="s">
        <v>1492</v>
      </c>
    </row>
    <row r="44" spans="1:5" x14ac:dyDescent="0.3">
      <c r="A44" s="218">
        <v>8</v>
      </c>
      <c r="B44" s="78">
        <v>16</v>
      </c>
      <c r="C44" s="78" t="s">
        <v>189</v>
      </c>
      <c r="D44" s="78" t="s">
        <v>190</v>
      </c>
      <c r="E44" s="78" t="s">
        <v>1485</v>
      </c>
    </row>
    <row r="45" spans="1:5" x14ac:dyDescent="0.3">
      <c r="A45" s="218">
        <v>9</v>
      </c>
      <c r="B45" s="78">
        <v>17</v>
      </c>
      <c r="C45" s="78" t="s">
        <v>192</v>
      </c>
      <c r="D45" s="78" t="s">
        <v>193</v>
      </c>
      <c r="E45" s="78" t="s">
        <v>1485</v>
      </c>
    </row>
    <row r="49" spans="1:5" x14ac:dyDescent="0.3">
      <c r="A49" s="267" t="s">
        <v>2657</v>
      </c>
      <c r="B49" s="134" t="s">
        <v>3</v>
      </c>
      <c r="C49" s="134" t="s">
        <v>4</v>
      </c>
      <c r="D49" s="134" t="s">
        <v>1548</v>
      </c>
      <c r="E49" s="134"/>
    </row>
    <row r="50" spans="1:5" x14ac:dyDescent="0.3">
      <c r="A50" s="218">
        <v>7</v>
      </c>
      <c r="B50" s="78">
        <v>11</v>
      </c>
      <c r="C50" s="78" t="s">
        <v>147</v>
      </c>
      <c r="D50" s="78" t="s">
        <v>2176</v>
      </c>
      <c r="E50" s="78" t="s">
        <v>1513</v>
      </c>
    </row>
    <row r="51" spans="1:5" x14ac:dyDescent="0.3">
      <c r="A51" s="218">
        <v>48</v>
      </c>
      <c r="B51" s="78">
        <v>79</v>
      </c>
      <c r="C51" s="78" t="s">
        <v>603</v>
      </c>
      <c r="D51" s="78" t="s">
        <v>536</v>
      </c>
      <c r="E51" s="78" t="s">
        <v>1492</v>
      </c>
    </row>
    <row r="52" spans="1:5" x14ac:dyDescent="0.3">
      <c r="A52" s="218">
        <v>49</v>
      </c>
      <c r="B52" s="78">
        <v>81</v>
      </c>
      <c r="C52" s="78" t="s">
        <v>620</v>
      </c>
      <c r="D52" s="78" t="s">
        <v>547</v>
      </c>
      <c r="E52" s="78" t="s">
        <v>1492</v>
      </c>
    </row>
    <row r="53" spans="1:5" x14ac:dyDescent="0.3">
      <c r="A53" s="218">
        <v>50</v>
      </c>
      <c r="B53" s="78">
        <v>83</v>
      </c>
      <c r="C53" s="78" t="s">
        <v>635</v>
      </c>
      <c r="D53" s="78" t="s">
        <v>597</v>
      </c>
      <c r="E53" s="78" t="s">
        <v>1492</v>
      </c>
    </row>
    <row r="54" spans="1:5" x14ac:dyDescent="0.3">
      <c r="A54" s="218">
        <v>52</v>
      </c>
      <c r="B54" s="78">
        <v>92</v>
      </c>
      <c r="C54" s="78" t="s">
        <v>698</v>
      </c>
      <c r="D54" s="78" t="s">
        <v>703</v>
      </c>
      <c r="E54" s="78" t="s">
        <v>1513</v>
      </c>
    </row>
    <row r="55" spans="1:5" x14ac:dyDescent="0.3">
      <c r="A55" s="218">
        <v>53</v>
      </c>
      <c r="B55" s="78">
        <v>94</v>
      </c>
      <c r="C55" s="78" t="s">
        <v>712</v>
      </c>
      <c r="D55" s="78" t="s">
        <v>1104</v>
      </c>
      <c r="E55" s="78" t="s">
        <v>1513</v>
      </c>
    </row>
    <row r="56" spans="1:5" x14ac:dyDescent="0.3">
      <c r="A56" s="218">
        <v>54</v>
      </c>
      <c r="B56" s="78">
        <v>95</v>
      </c>
      <c r="C56" s="78" t="s">
        <v>719</v>
      </c>
      <c r="D56" s="78" t="s">
        <v>1085</v>
      </c>
      <c r="E56" s="78" t="s">
        <v>1513</v>
      </c>
    </row>
    <row r="57" spans="1:5" x14ac:dyDescent="0.3">
      <c r="A57" s="218">
        <v>63</v>
      </c>
      <c r="B57" s="78">
        <v>110</v>
      </c>
      <c r="C57" s="78" t="s">
        <v>787</v>
      </c>
      <c r="D57" s="78" t="s">
        <v>1894</v>
      </c>
      <c r="E57" s="78" t="s">
        <v>1513</v>
      </c>
    </row>
    <row r="58" spans="1:5" x14ac:dyDescent="0.3">
      <c r="A58" s="218">
        <v>64</v>
      </c>
      <c r="B58" s="78">
        <v>112</v>
      </c>
      <c r="C58" s="78" t="s">
        <v>800</v>
      </c>
      <c r="D58" s="78" t="s">
        <v>1890</v>
      </c>
      <c r="E58" s="78" t="s">
        <v>1513</v>
      </c>
    </row>
    <row r="59" spans="1:5" x14ac:dyDescent="0.3">
      <c r="A59" s="218">
        <v>65</v>
      </c>
      <c r="B59" s="78">
        <v>113</v>
      </c>
      <c r="C59" s="78" t="s">
        <v>805</v>
      </c>
      <c r="D59" s="78" t="s">
        <v>1883</v>
      </c>
      <c r="E59" s="78" t="s">
        <v>1513</v>
      </c>
    </row>
    <row r="60" spans="1:5" x14ac:dyDescent="0.3">
      <c r="A60" s="218">
        <v>66</v>
      </c>
      <c r="B60" s="78">
        <v>114</v>
      </c>
      <c r="C60" s="78" t="s">
        <v>810</v>
      </c>
      <c r="D60" s="78" t="s">
        <v>1876</v>
      </c>
      <c r="E60" s="78" t="s">
        <v>1513</v>
      </c>
    </row>
    <row r="61" spans="1:5" x14ac:dyDescent="0.3">
      <c r="A61" s="218">
        <v>67</v>
      </c>
      <c r="B61" s="78">
        <v>116</v>
      </c>
      <c r="C61" s="78" t="s">
        <v>823</v>
      </c>
      <c r="D61" s="78" t="s">
        <v>1867</v>
      </c>
      <c r="E61" s="78" t="s">
        <v>1513</v>
      </c>
    </row>
    <row r="62" spans="1:5" x14ac:dyDescent="0.3">
      <c r="A62" s="218">
        <v>68</v>
      </c>
      <c r="B62" s="78">
        <v>117</v>
      </c>
      <c r="C62" s="78" t="s">
        <v>829</v>
      </c>
      <c r="D62" s="78" t="s">
        <v>1858</v>
      </c>
      <c r="E62" s="78" t="s">
        <v>1513</v>
      </c>
    </row>
    <row r="63" spans="1:5" x14ac:dyDescent="0.3">
      <c r="A63" s="218">
        <v>72</v>
      </c>
      <c r="B63" s="78">
        <v>123</v>
      </c>
      <c r="C63" s="78" t="s">
        <v>870</v>
      </c>
      <c r="D63" s="78" t="s">
        <v>873</v>
      </c>
      <c r="E63" s="78" t="s">
        <v>1513</v>
      </c>
    </row>
    <row r="64" spans="1:5" x14ac:dyDescent="0.3">
      <c r="A64" s="218">
        <v>73</v>
      </c>
      <c r="B64" s="78">
        <v>124</v>
      </c>
      <c r="C64" s="78" t="s">
        <v>876</v>
      </c>
      <c r="D64" s="78" t="s">
        <v>1547</v>
      </c>
      <c r="E64" s="78" t="s">
        <v>1513</v>
      </c>
    </row>
    <row r="65" spans="1:5" x14ac:dyDescent="0.3">
      <c r="A65" s="218">
        <v>80</v>
      </c>
      <c r="B65" s="78">
        <v>140</v>
      </c>
      <c r="C65" s="78" t="s">
        <v>964</v>
      </c>
      <c r="D65" s="78" t="s">
        <v>1991</v>
      </c>
      <c r="E65" s="78" t="s">
        <v>1513</v>
      </c>
    </row>
    <row r="66" spans="1:5" x14ac:dyDescent="0.3">
      <c r="A66" s="218">
        <v>81</v>
      </c>
      <c r="B66" s="78">
        <v>141</v>
      </c>
      <c r="C66" s="78" t="s">
        <v>970</v>
      </c>
      <c r="D66" s="78" t="s">
        <v>1984</v>
      </c>
      <c r="E66" s="78" t="s">
        <v>1513</v>
      </c>
    </row>
    <row r="67" spans="1:5" x14ac:dyDescent="0.3">
      <c r="A67" s="218">
        <v>82</v>
      </c>
      <c r="B67" s="78">
        <v>143</v>
      </c>
      <c r="C67" s="78" t="s">
        <v>980</v>
      </c>
      <c r="D67" s="78" t="s">
        <v>1699</v>
      </c>
      <c r="E67" s="78" t="s">
        <v>1513</v>
      </c>
    </row>
    <row r="68" spans="1:5" x14ac:dyDescent="0.3">
      <c r="A68" s="218">
        <v>83</v>
      </c>
      <c r="B68" s="78">
        <v>145</v>
      </c>
      <c r="C68" s="78" t="s">
        <v>992</v>
      </c>
      <c r="D68" s="78" t="s">
        <v>1688</v>
      </c>
      <c r="E68" s="78" t="s">
        <v>1513</v>
      </c>
    </row>
    <row r="69" spans="1:5" x14ac:dyDescent="0.3">
      <c r="A69" s="218">
        <v>84</v>
      </c>
      <c r="B69" s="78">
        <v>146</v>
      </c>
      <c r="C69" s="78" t="s">
        <v>998</v>
      </c>
      <c r="D69" s="78" t="s">
        <v>2161</v>
      </c>
      <c r="E69" s="78" t="s">
        <v>1513</v>
      </c>
    </row>
    <row r="70" spans="1:5" x14ac:dyDescent="0.3">
      <c r="A70" s="218">
        <v>85</v>
      </c>
      <c r="B70" s="78">
        <v>147</v>
      </c>
      <c r="C70" s="78" t="s">
        <v>1003</v>
      </c>
      <c r="D70" s="78" t="s">
        <v>2154</v>
      </c>
      <c r="E70" s="78" t="s">
        <v>1513</v>
      </c>
    </row>
    <row r="71" spans="1:5" x14ac:dyDescent="0.3">
      <c r="A71" s="218">
        <v>88</v>
      </c>
      <c r="B71" s="78">
        <v>152</v>
      </c>
      <c r="C71" s="78" t="s">
        <v>1012</v>
      </c>
      <c r="D71" s="78" t="s">
        <v>1015</v>
      </c>
      <c r="E71" s="78" t="s">
        <v>1513</v>
      </c>
    </row>
    <row r="72" spans="1:5" x14ac:dyDescent="0.3">
      <c r="A72" s="218">
        <v>89</v>
      </c>
      <c r="B72" s="78">
        <v>155</v>
      </c>
      <c r="C72" s="78" t="s">
        <v>1027</v>
      </c>
      <c r="D72" s="78" t="s">
        <v>1672</v>
      </c>
      <c r="E72" s="78" t="s">
        <v>1513</v>
      </c>
    </row>
    <row r="73" spans="1:5" x14ac:dyDescent="0.3">
      <c r="A73" s="218">
        <v>90</v>
      </c>
      <c r="B73" s="78">
        <v>159</v>
      </c>
      <c r="C73" s="78" t="s">
        <v>1048</v>
      </c>
      <c r="D73" s="78" t="s">
        <v>1053</v>
      </c>
      <c r="E73" s="78" t="s">
        <v>1513</v>
      </c>
    </row>
    <row r="74" spans="1:5" x14ac:dyDescent="0.3">
      <c r="A74" s="218">
        <v>91</v>
      </c>
      <c r="B74" s="78">
        <v>160</v>
      </c>
      <c r="C74" s="78" t="s">
        <v>1055</v>
      </c>
      <c r="D74" s="78" t="s">
        <v>1058</v>
      </c>
      <c r="E74" s="78" t="s">
        <v>1513</v>
      </c>
    </row>
    <row r="75" spans="1:5" x14ac:dyDescent="0.3">
      <c r="A75" s="218">
        <v>93</v>
      </c>
      <c r="B75" s="78">
        <v>162</v>
      </c>
      <c r="C75" s="78" t="s">
        <v>1065</v>
      </c>
      <c r="D75" s="78" t="s">
        <v>1068</v>
      </c>
      <c r="E75" s="78" t="s">
        <v>1513</v>
      </c>
    </row>
    <row r="76" spans="1:5" x14ac:dyDescent="0.3">
      <c r="A76" s="218">
        <v>94</v>
      </c>
      <c r="B76" s="78">
        <v>163</v>
      </c>
      <c r="C76" s="78" t="s">
        <v>1070</v>
      </c>
      <c r="D76" s="78" t="s">
        <v>2150</v>
      </c>
      <c r="E76" s="78" t="s">
        <v>1513</v>
      </c>
    </row>
    <row r="77" spans="1:5" x14ac:dyDescent="0.3">
      <c r="A77" s="218">
        <v>95</v>
      </c>
      <c r="B77" s="78">
        <v>165</v>
      </c>
      <c r="C77" s="78" t="s">
        <v>1080</v>
      </c>
      <c r="D77" s="78" t="s">
        <v>1085</v>
      </c>
      <c r="E77" s="78" t="s">
        <v>1513</v>
      </c>
    </row>
    <row r="78" spans="1:5" x14ac:dyDescent="0.3">
      <c r="A78" s="218">
        <v>98</v>
      </c>
      <c r="B78" s="78">
        <v>170</v>
      </c>
      <c r="C78" s="78" t="s">
        <v>1100</v>
      </c>
      <c r="D78" s="78" t="s">
        <v>1104</v>
      </c>
      <c r="E78" s="78" t="s">
        <v>1513</v>
      </c>
    </row>
    <row r="79" spans="1:5" x14ac:dyDescent="0.3">
      <c r="A79" s="219"/>
      <c r="B79" s="78">
        <v>69</v>
      </c>
      <c r="C79" s="78" t="s">
        <v>533</v>
      </c>
      <c r="D79" s="78" t="s">
        <v>536</v>
      </c>
      <c r="E79" s="78" t="s">
        <v>1492</v>
      </c>
    </row>
    <row r="80" spans="1:5" x14ac:dyDescent="0.3">
      <c r="A80" s="219"/>
      <c r="B80" s="78">
        <v>70</v>
      </c>
      <c r="C80" s="78" t="s">
        <v>544</v>
      </c>
      <c r="D80" s="78" t="s">
        <v>547</v>
      </c>
      <c r="E80" s="78" t="s">
        <v>1492</v>
      </c>
    </row>
    <row r="81" spans="1:5" x14ac:dyDescent="0.3">
      <c r="A81" s="219"/>
      <c r="B81" s="78">
        <v>76</v>
      </c>
      <c r="C81" s="78" t="s">
        <v>594</v>
      </c>
      <c r="D81" s="78" t="s">
        <v>597</v>
      </c>
      <c r="E81" s="78" t="s">
        <v>1492</v>
      </c>
    </row>
    <row r="82" spans="1:5" x14ac:dyDescent="0.3">
      <c r="A82" s="219"/>
      <c r="B82" s="78">
        <v>85</v>
      </c>
      <c r="C82" s="78" t="s">
        <v>651</v>
      </c>
      <c r="D82" s="78" t="s">
        <v>597</v>
      </c>
      <c r="E82" s="78" t="s">
        <v>1492</v>
      </c>
    </row>
    <row r="83" spans="1:5" x14ac:dyDescent="0.3">
      <c r="A83" s="219"/>
      <c r="B83" s="78">
        <v>86</v>
      </c>
      <c r="C83" s="78" t="s">
        <v>659</v>
      </c>
      <c r="D83" s="78" t="s">
        <v>547</v>
      </c>
      <c r="E83" s="78" t="s">
        <v>1492</v>
      </c>
    </row>
    <row r="84" spans="1:5" x14ac:dyDescent="0.3">
      <c r="A84" s="219"/>
      <c r="B84" s="78">
        <v>93</v>
      </c>
      <c r="C84" s="78" t="s">
        <v>706</v>
      </c>
      <c r="D84" s="78" t="s">
        <v>536</v>
      </c>
      <c r="E84" s="78" t="s">
        <v>1492</v>
      </c>
    </row>
    <row r="85" spans="1:5" x14ac:dyDescent="0.3">
      <c r="A85" s="219"/>
      <c r="B85" s="78">
        <v>125</v>
      </c>
      <c r="C85" s="78" t="s">
        <v>881</v>
      </c>
      <c r="D85" s="78" t="s">
        <v>886</v>
      </c>
      <c r="E85" s="78" t="s">
        <v>1513</v>
      </c>
    </row>
    <row r="86" spans="1:5" x14ac:dyDescent="0.3">
      <c r="A86" s="219"/>
      <c r="B86" s="78">
        <v>132</v>
      </c>
      <c r="C86" s="78" t="s">
        <v>915</v>
      </c>
      <c r="D86" s="78" t="s">
        <v>2136</v>
      </c>
      <c r="E86" s="78" t="s">
        <v>1513</v>
      </c>
    </row>
    <row r="87" spans="1:5" x14ac:dyDescent="0.3">
      <c r="A87" s="219"/>
      <c r="B87" s="78">
        <v>134</v>
      </c>
      <c r="C87" s="78" t="s">
        <v>927</v>
      </c>
      <c r="D87" s="78" t="s">
        <v>930</v>
      </c>
      <c r="E87" s="78" t="s">
        <v>1513</v>
      </c>
    </row>
    <row r="88" spans="1:5" x14ac:dyDescent="0.3">
      <c r="A88" s="219"/>
      <c r="B88" s="78">
        <v>136</v>
      </c>
      <c r="C88" s="78" t="s">
        <v>939</v>
      </c>
      <c r="D88" s="78" t="s">
        <v>2140</v>
      </c>
      <c r="E88" s="78" t="s">
        <v>1513</v>
      </c>
    </row>
    <row r="89" spans="1:5" x14ac:dyDescent="0.3">
      <c r="A89" s="219"/>
      <c r="B89" s="78">
        <v>142</v>
      </c>
      <c r="C89" s="78" t="s">
        <v>975</v>
      </c>
      <c r="D89" s="78" t="s">
        <v>930</v>
      </c>
      <c r="E89" s="78" t="s">
        <v>1513</v>
      </c>
    </row>
    <row r="90" spans="1:5" x14ac:dyDescent="0.3">
      <c r="A90" s="219"/>
      <c r="B90" s="78">
        <v>144</v>
      </c>
      <c r="C90" s="78" t="s">
        <v>987</v>
      </c>
      <c r="D90" s="78" t="s">
        <v>2140</v>
      </c>
      <c r="E90" s="78" t="s">
        <v>1513</v>
      </c>
    </row>
    <row r="91" spans="1:5" x14ac:dyDescent="0.3">
      <c r="A91" s="219"/>
      <c r="B91" s="90"/>
      <c r="C91" s="78" t="s">
        <v>1221</v>
      </c>
      <c r="D91" s="78" t="s">
        <v>536</v>
      </c>
      <c r="E91" s="78" t="s">
        <v>1492</v>
      </c>
    </row>
    <row r="92" spans="1:5" x14ac:dyDescent="0.3">
      <c r="A92" s="219"/>
      <c r="B92" s="90"/>
      <c r="C92" s="78" t="s">
        <v>1225</v>
      </c>
      <c r="D92" s="78" t="s">
        <v>547</v>
      </c>
      <c r="E92" s="78" t="s">
        <v>1492</v>
      </c>
    </row>
    <row r="93" spans="1:5" x14ac:dyDescent="0.3">
      <c r="A93" s="219"/>
      <c r="B93" s="90"/>
      <c r="C93" s="78" t="s">
        <v>1229</v>
      </c>
      <c r="D93" s="78" t="s">
        <v>597</v>
      </c>
      <c r="E93" s="78" t="s">
        <v>1492</v>
      </c>
    </row>
    <row r="94" spans="1:5" x14ac:dyDescent="0.3">
      <c r="A94" s="219"/>
      <c r="B94" s="90"/>
      <c r="C94" s="78" t="s">
        <v>1274</v>
      </c>
      <c r="D94" s="78" t="s">
        <v>536</v>
      </c>
      <c r="E94" s="78" t="s">
        <v>1492</v>
      </c>
    </row>
    <row r="95" spans="1:5" x14ac:dyDescent="0.3">
      <c r="A95" s="219"/>
      <c r="B95" s="90"/>
      <c r="C95" s="78" t="s">
        <v>1278</v>
      </c>
      <c r="D95" s="78" t="s">
        <v>547</v>
      </c>
      <c r="E95" s="78" t="s">
        <v>1492</v>
      </c>
    </row>
    <row r="96" spans="1:5" x14ac:dyDescent="0.3">
      <c r="A96" s="219"/>
      <c r="B96" s="90"/>
      <c r="C96" s="78" t="s">
        <v>1282</v>
      </c>
      <c r="D96" s="78" t="s">
        <v>597</v>
      </c>
      <c r="E96" s="78" t="s">
        <v>1492</v>
      </c>
    </row>
    <row r="100" spans="1:5" x14ac:dyDescent="0.3">
      <c r="A100" s="267" t="s">
        <v>2657</v>
      </c>
      <c r="B100" s="134" t="s">
        <v>3</v>
      </c>
      <c r="C100" s="134" t="s">
        <v>4</v>
      </c>
      <c r="D100" s="134" t="s">
        <v>1599</v>
      </c>
      <c r="E100" s="134"/>
    </row>
    <row r="101" spans="1:5" x14ac:dyDescent="0.3">
      <c r="A101" s="218">
        <v>29</v>
      </c>
      <c r="B101" s="78">
        <v>49</v>
      </c>
      <c r="C101" s="78" t="s">
        <v>402</v>
      </c>
      <c r="D101" s="78" t="s">
        <v>237</v>
      </c>
      <c r="E101" s="78" t="s">
        <v>1492</v>
      </c>
    </row>
    <row r="102" spans="1:5" x14ac:dyDescent="0.3">
      <c r="A102" s="218">
        <v>30</v>
      </c>
      <c r="B102" s="78">
        <v>50</v>
      </c>
      <c r="C102" s="78" t="s">
        <v>408</v>
      </c>
      <c r="D102" s="78" t="s">
        <v>254</v>
      </c>
      <c r="E102" s="78" t="s">
        <v>1513</v>
      </c>
    </row>
    <row r="103" spans="1:5" x14ac:dyDescent="0.3">
      <c r="A103" s="218">
        <v>53</v>
      </c>
      <c r="B103" s="78">
        <v>94</v>
      </c>
      <c r="C103" s="78" t="s">
        <v>712</v>
      </c>
      <c r="D103" s="78" t="s">
        <v>237</v>
      </c>
      <c r="E103" s="78" t="s">
        <v>1492</v>
      </c>
    </row>
    <row r="104" spans="1:5" x14ac:dyDescent="0.3">
      <c r="A104" s="218">
        <v>54</v>
      </c>
      <c r="B104" s="78">
        <v>95</v>
      </c>
      <c r="C104" s="78" t="s">
        <v>719</v>
      </c>
      <c r="D104" s="78" t="s">
        <v>254</v>
      </c>
      <c r="E104" s="78" t="s">
        <v>1513</v>
      </c>
    </row>
    <row r="105" spans="1:5" x14ac:dyDescent="0.3">
      <c r="A105" s="218">
        <v>57</v>
      </c>
      <c r="B105" s="78">
        <v>100</v>
      </c>
      <c r="C105" s="78" t="s">
        <v>751</v>
      </c>
      <c r="D105" s="78" t="s">
        <v>237</v>
      </c>
      <c r="E105" s="78" t="s">
        <v>1492</v>
      </c>
    </row>
    <row r="106" spans="1:5" x14ac:dyDescent="0.3">
      <c r="A106" s="218">
        <v>58</v>
      </c>
      <c r="B106" s="78">
        <v>102</v>
      </c>
      <c r="C106" s="78" t="s">
        <v>762</v>
      </c>
      <c r="D106" s="78" t="s">
        <v>254</v>
      </c>
      <c r="E106" s="78" t="s">
        <v>1513</v>
      </c>
    </row>
    <row r="107" spans="1:5" x14ac:dyDescent="0.3">
      <c r="A107" s="219"/>
      <c r="B107" s="78">
        <v>28</v>
      </c>
      <c r="C107" s="78" t="s">
        <v>232</v>
      </c>
      <c r="D107" s="78" t="s">
        <v>237</v>
      </c>
      <c r="E107" s="78" t="s">
        <v>1492</v>
      </c>
    </row>
    <row r="108" spans="1:5" x14ac:dyDescent="0.3">
      <c r="A108" s="219"/>
      <c r="B108" s="78">
        <v>30</v>
      </c>
      <c r="C108" s="78" t="s">
        <v>249</v>
      </c>
      <c r="D108" s="78" t="s">
        <v>254</v>
      </c>
      <c r="E108" s="78" t="s">
        <v>1513</v>
      </c>
    </row>
    <row r="109" spans="1:5" x14ac:dyDescent="0.3">
      <c r="A109" s="219"/>
      <c r="B109" s="90"/>
      <c r="C109" s="78" t="s">
        <v>1237</v>
      </c>
      <c r="D109" s="78" t="s">
        <v>237</v>
      </c>
      <c r="E109" s="78" t="s">
        <v>1492</v>
      </c>
    </row>
    <row r="110" spans="1:5" x14ac:dyDescent="0.3">
      <c r="A110" s="219"/>
      <c r="B110" s="90"/>
      <c r="C110" s="78" t="s">
        <v>1241</v>
      </c>
      <c r="D110" s="78" t="s">
        <v>254</v>
      </c>
      <c r="E110" s="78" t="s">
        <v>1513</v>
      </c>
    </row>
    <row r="114" spans="1:5" x14ac:dyDescent="0.3">
      <c r="A114" s="267" t="s">
        <v>2657</v>
      </c>
      <c r="B114" s="134" t="s">
        <v>3</v>
      </c>
      <c r="C114" s="134" t="s">
        <v>4</v>
      </c>
      <c r="D114" s="134" t="s">
        <v>1651</v>
      </c>
      <c r="E114" s="134"/>
    </row>
    <row r="115" spans="1:5" x14ac:dyDescent="0.3">
      <c r="A115" s="218">
        <v>55</v>
      </c>
      <c r="B115" s="78">
        <v>97</v>
      </c>
      <c r="C115" s="78" t="s">
        <v>732</v>
      </c>
      <c r="D115" s="78" t="s">
        <v>541</v>
      </c>
      <c r="E115" s="78" t="s">
        <v>1513</v>
      </c>
    </row>
    <row r="116" spans="1:5" x14ac:dyDescent="0.3">
      <c r="A116" s="218">
        <v>56</v>
      </c>
      <c r="B116" s="78">
        <v>98</v>
      </c>
      <c r="C116" s="78" t="s">
        <v>738</v>
      </c>
      <c r="D116" s="78" t="s">
        <v>518</v>
      </c>
      <c r="E116" s="78" t="s">
        <v>1492</v>
      </c>
    </row>
    <row r="117" spans="1:5" x14ac:dyDescent="0.3">
      <c r="A117" s="218">
        <v>90</v>
      </c>
      <c r="B117" s="78">
        <v>159</v>
      </c>
      <c r="C117" s="78" t="s">
        <v>1048</v>
      </c>
      <c r="D117" s="78" t="s">
        <v>541</v>
      </c>
      <c r="E117" s="78" t="s">
        <v>1513</v>
      </c>
    </row>
    <row r="118" spans="1:5" x14ac:dyDescent="0.3">
      <c r="A118" s="218">
        <v>91</v>
      </c>
      <c r="B118" s="78">
        <v>160</v>
      </c>
      <c r="C118" s="78" t="s">
        <v>1055</v>
      </c>
      <c r="D118" s="78" t="s">
        <v>518</v>
      </c>
      <c r="E118" s="78" t="s">
        <v>1492</v>
      </c>
    </row>
    <row r="119" spans="1:5" x14ac:dyDescent="0.3">
      <c r="A119" s="219"/>
      <c r="B119" s="90"/>
      <c r="C119" s="78" t="s">
        <v>1409</v>
      </c>
      <c r="D119" s="78" t="s">
        <v>541</v>
      </c>
      <c r="E119" s="78" t="s">
        <v>1513</v>
      </c>
    </row>
    <row r="120" spans="1:5" x14ac:dyDescent="0.3">
      <c r="A120" s="219"/>
      <c r="B120" s="90"/>
      <c r="C120" s="78" t="s">
        <v>1413</v>
      </c>
      <c r="D120" s="78" t="s">
        <v>518</v>
      </c>
      <c r="E120" s="78" t="s">
        <v>1492</v>
      </c>
    </row>
    <row r="121" spans="1:5" x14ac:dyDescent="0.3">
      <c r="A121" s="219"/>
      <c r="B121" s="78">
        <v>67</v>
      </c>
      <c r="C121" s="78" t="s">
        <v>515</v>
      </c>
      <c r="D121" s="78" t="s">
        <v>518</v>
      </c>
      <c r="E121" s="78" t="s">
        <v>1492</v>
      </c>
    </row>
    <row r="122" spans="1:5" x14ac:dyDescent="0.3">
      <c r="A122" s="219"/>
      <c r="B122" s="78">
        <v>69</v>
      </c>
      <c r="C122" s="78" t="s">
        <v>533</v>
      </c>
      <c r="D122" s="78" t="s">
        <v>541</v>
      </c>
      <c r="E122" s="78" t="s">
        <v>1513</v>
      </c>
    </row>
    <row r="123" spans="1:5" x14ac:dyDescent="0.3">
      <c r="A123" s="219"/>
      <c r="B123" s="90"/>
      <c r="C123" s="78" t="s">
        <v>1213</v>
      </c>
      <c r="D123" s="78" t="s">
        <v>518</v>
      </c>
      <c r="E123" s="78" t="s">
        <v>1492</v>
      </c>
    </row>
    <row r="124" spans="1:5" x14ac:dyDescent="0.3">
      <c r="A124" s="219"/>
      <c r="B124" s="90"/>
      <c r="C124" s="78" t="s">
        <v>1217</v>
      </c>
      <c r="D124" s="78" t="s">
        <v>541</v>
      </c>
      <c r="E124" s="78" t="s">
        <v>1513</v>
      </c>
    </row>
    <row r="128" spans="1:5" x14ac:dyDescent="0.3">
      <c r="A128" s="267" t="s">
        <v>2657</v>
      </c>
      <c r="B128" s="134" t="s">
        <v>3</v>
      </c>
      <c r="C128" s="134" t="s">
        <v>4</v>
      </c>
      <c r="D128" s="134" t="s">
        <v>1986</v>
      </c>
      <c r="E128" s="134"/>
    </row>
    <row r="129" spans="1:5" x14ac:dyDescent="0.3">
      <c r="A129" s="218">
        <v>43</v>
      </c>
      <c r="B129" s="78">
        <v>65</v>
      </c>
      <c r="C129" s="78" t="s">
        <v>498</v>
      </c>
      <c r="D129" s="78" t="s">
        <v>501</v>
      </c>
      <c r="E129" s="78" t="s">
        <v>1492</v>
      </c>
    </row>
    <row r="130" spans="1:5" x14ac:dyDescent="0.3">
      <c r="A130" s="218">
        <v>44</v>
      </c>
      <c r="B130" s="78">
        <v>66</v>
      </c>
      <c r="C130" s="78" t="s">
        <v>506</v>
      </c>
      <c r="D130" s="78" t="s">
        <v>512</v>
      </c>
      <c r="E130" s="78" t="s">
        <v>1513</v>
      </c>
    </row>
    <row r="131" spans="1:5" x14ac:dyDescent="0.3">
      <c r="A131" s="218">
        <v>45</v>
      </c>
      <c r="B131" s="78">
        <v>68</v>
      </c>
      <c r="C131" s="78" t="s">
        <v>524</v>
      </c>
      <c r="D131" s="78" t="s">
        <v>501</v>
      </c>
      <c r="E131" s="78" t="s">
        <v>1492</v>
      </c>
    </row>
    <row r="132" spans="1:5" x14ac:dyDescent="0.3">
      <c r="A132" s="218">
        <v>46</v>
      </c>
      <c r="B132" s="78">
        <v>71</v>
      </c>
      <c r="C132" s="78" t="s">
        <v>551</v>
      </c>
      <c r="D132" s="78" t="s">
        <v>512</v>
      </c>
      <c r="E132" s="78" t="s">
        <v>1513</v>
      </c>
    </row>
    <row r="133" spans="1:5" x14ac:dyDescent="0.3">
      <c r="A133" s="218">
        <v>80</v>
      </c>
      <c r="B133" s="78">
        <v>140</v>
      </c>
      <c r="C133" s="78" t="s">
        <v>964</v>
      </c>
      <c r="D133" s="78" t="s">
        <v>501</v>
      </c>
      <c r="E133" s="78" t="s">
        <v>1492</v>
      </c>
    </row>
    <row r="134" spans="1:5" x14ac:dyDescent="0.3">
      <c r="A134" s="218">
        <v>81</v>
      </c>
      <c r="B134" s="78">
        <v>141</v>
      </c>
      <c r="C134" s="78" t="s">
        <v>970</v>
      </c>
      <c r="D134" s="78" t="s">
        <v>512</v>
      </c>
      <c r="E134" s="78" t="s">
        <v>1513</v>
      </c>
    </row>
    <row r="135" spans="1:5" x14ac:dyDescent="0.3">
      <c r="A135" s="219"/>
      <c r="B135" s="90"/>
      <c r="C135" s="78" t="s">
        <v>1117</v>
      </c>
      <c r="D135" s="78" t="s">
        <v>501</v>
      </c>
      <c r="E135" s="78" t="s">
        <v>1492</v>
      </c>
    </row>
    <row r="136" spans="1:5" x14ac:dyDescent="0.3">
      <c r="A136" s="219"/>
      <c r="B136" s="90"/>
      <c r="C136" s="78" t="s">
        <v>1121</v>
      </c>
      <c r="D136" s="78" t="s">
        <v>512</v>
      </c>
      <c r="E136" s="78" t="s">
        <v>1513</v>
      </c>
    </row>
    <row r="137" spans="1:5" x14ac:dyDescent="0.3">
      <c r="A137" s="219"/>
      <c r="B137" s="78">
        <v>157</v>
      </c>
      <c r="C137" s="78" t="s">
        <v>1038</v>
      </c>
      <c r="D137" s="78" t="s">
        <v>501</v>
      </c>
      <c r="E137" s="78" t="s">
        <v>1492</v>
      </c>
    </row>
    <row r="138" spans="1:5" x14ac:dyDescent="0.3">
      <c r="A138" s="219"/>
      <c r="B138" s="78">
        <v>158</v>
      </c>
      <c r="C138" s="78" t="s">
        <v>1043</v>
      </c>
      <c r="D138" s="78" t="s">
        <v>512</v>
      </c>
      <c r="E138" s="78" t="s">
        <v>1513</v>
      </c>
    </row>
    <row r="139" spans="1:5" x14ac:dyDescent="0.3">
      <c r="A139" s="219"/>
      <c r="B139" s="90"/>
      <c r="C139" s="78" t="s">
        <v>1257</v>
      </c>
      <c r="D139" s="78" t="s">
        <v>501</v>
      </c>
      <c r="E139" s="78" t="s">
        <v>1492</v>
      </c>
    </row>
    <row r="140" spans="1:5" x14ac:dyDescent="0.3">
      <c r="A140" s="219"/>
      <c r="B140" s="90"/>
      <c r="C140" s="78" t="s">
        <v>1261</v>
      </c>
      <c r="D140" s="78" t="s">
        <v>512</v>
      </c>
      <c r="E140" s="78" t="s">
        <v>1513</v>
      </c>
    </row>
    <row r="144" spans="1:5" x14ac:dyDescent="0.3">
      <c r="A144" s="267" t="s">
        <v>2657</v>
      </c>
      <c r="B144" s="134" t="s">
        <v>3</v>
      </c>
      <c r="C144" s="134" t="s">
        <v>4</v>
      </c>
      <c r="D144" s="134" t="s">
        <v>1580</v>
      </c>
      <c r="E144" s="134"/>
    </row>
    <row r="145" spans="1:5" x14ac:dyDescent="0.3">
      <c r="A145" s="218">
        <v>18</v>
      </c>
      <c r="B145" s="78">
        <v>27</v>
      </c>
      <c r="C145" s="78" t="s">
        <v>222</v>
      </c>
      <c r="D145" s="78" t="s">
        <v>228</v>
      </c>
      <c r="E145" s="78" t="s">
        <v>1492</v>
      </c>
    </row>
    <row r="146" spans="1:5" x14ac:dyDescent="0.3">
      <c r="A146" s="218">
        <v>21</v>
      </c>
      <c r="B146" s="78">
        <v>34</v>
      </c>
      <c r="C146" s="78" t="s">
        <v>285</v>
      </c>
      <c r="D146" s="78" t="s">
        <v>292</v>
      </c>
      <c r="E146" s="78" t="s">
        <v>1513</v>
      </c>
    </row>
    <row r="147" spans="1:5" x14ac:dyDescent="0.3">
      <c r="A147" s="218">
        <v>22</v>
      </c>
      <c r="B147" s="78">
        <v>35</v>
      </c>
      <c r="C147" s="78" t="s">
        <v>294</v>
      </c>
      <c r="D147" s="78" t="s">
        <v>302</v>
      </c>
      <c r="E147" s="78" t="s">
        <v>1513</v>
      </c>
    </row>
    <row r="148" spans="1:5" x14ac:dyDescent="0.3">
      <c r="A148" s="218">
        <v>23</v>
      </c>
      <c r="B148" s="78">
        <v>36</v>
      </c>
      <c r="C148" s="78" t="s">
        <v>308</v>
      </c>
      <c r="D148" s="78" t="s">
        <v>316</v>
      </c>
      <c r="E148" s="78" t="s">
        <v>1513</v>
      </c>
    </row>
    <row r="149" spans="1:5" x14ac:dyDescent="0.3">
      <c r="A149" s="219"/>
      <c r="B149" s="78">
        <v>40</v>
      </c>
      <c r="C149" s="78" t="s">
        <v>327</v>
      </c>
      <c r="D149" s="78" t="s">
        <v>332</v>
      </c>
      <c r="E149" s="78" t="s">
        <v>1492</v>
      </c>
    </row>
    <row r="150" spans="1:5" x14ac:dyDescent="0.3">
      <c r="A150" s="218">
        <v>26</v>
      </c>
      <c r="B150" s="78">
        <v>46</v>
      </c>
      <c r="C150" s="78" t="s">
        <v>377</v>
      </c>
      <c r="D150" s="78" t="s">
        <v>385</v>
      </c>
      <c r="E150" s="78" t="s">
        <v>1513</v>
      </c>
    </row>
    <row r="151" spans="1:5" x14ac:dyDescent="0.3">
      <c r="A151" s="218">
        <v>29</v>
      </c>
      <c r="B151" s="78">
        <v>49</v>
      </c>
      <c r="C151" s="78" t="s">
        <v>402</v>
      </c>
      <c r="D151" s="78" t="s">
        <v>406</v>
      </c>
      <c r="E151" s="78" t="s">
        <v>1513</v>
      </c>
    </row>
    <row r="152" spans="1:5" x14ac:dyDescent="0.3">
      <c r="A152" s="218">
        <v>30</v>
      </c>
      <c r="B152" s="78">
        <v>50</v>
      </c>
      <c r="C152" s="78" t="s">
        <v>408</v>
      </c>
      <c r="D152" s="78" t="s">
        <v>415</v>
      </c>
      <c r="E152" s="78" t="s">
        <v>1513</v>
      </c>
    </row>
    <row r="153" spans="1:5" x14ac:dyDescent="0.3">
      <c r="A153" s="218">
        <v>31</v>
      </c>
      <c r="B153" s="78">
        <v>51</v>
      </c>
      <c r="C153" s="78" t="s">
        <v>418</v>
      </c>
      <c r="D153" s="78" t="s">
        <v>425</v>
      </c>
      <c r="E153" s="78" t="s">
        <v>1513</v>
      </c>
    </row>
    <row r="154" spans="1:5" x14ac:dyDescent="0.3">
      <c r="A154" s="218">
        <v>32</v>
      </c>
      <c r="B154" s="78">
        <v>52</v>
      </c>
      <c r="C154" s="78" t="s">
        <v>427</v>
      </c>
      <c r="D154" s="78" t="s">
        <v>433</v>
      </c>
      <c r="E154" s="78" t="s">
        <v>1513</v>
      </c>
    </row>
    <row r="155" spans="1:5" x14ac:dyDescent="0.3">
      <c r="A155" s="218">
        <v>91</v>
      </c>
      <c r="B155" s="78">
        <v>160</v>
      </c>
      <c r="C155" s="78" t="s">
        <v>1055</v>
      </c>
      <c r="D155" s="78" t="s">
        <v>332</v>
      </c>
      <c r="E155" s="78" t="s">
        <v>1492</v>
      </c>
    </row>
    <row r="156" spans="1:5" x14ac:dyDescent="0.3">
      <c r="A156" s="218">
        <v>98</v>
      </c>
      <c r="B156" s="78">
        <v>170</v>
      </c>
      <c r="C156" s="78" t="s">
        <v>1100</v>
      </c>
      <c r="D156" s="78" t="s">
        <v>228</v>
      </c>
      <c r="E156" s="78" t="s">
        <v>1492</v>
      </c>
    </row>
    <row r="157" spans="1:5" x14ac:dyDescent="0.3">
      <c r="A157" s="219"/>
      <c r="B157" s="90"/>
      <c r="C157" s="78" t="s">
        <v>1213</v>
      </c>
      <c r="D157" s="78" t="s">
        <v>228</v>
      </c>
      <c r="E157" s="78" t="s">
        <v>1492</v>
      </c>
    </row>
    <row r="158" spans="1:5" x14ac:dyDescent="0.3">
      <c r="A158" s="219"/>
      <c r="B158" s="90"/>
      <c r="C158" s="78" t="s">
        <v>1217</v>
      </c>
      <c r="D158" s="78" t="s">
        <v>332</v>
      </c>
      <c r="E158" s="78" t="s">
        <v>1492</v>
      </c>
    </row>
    <row r="162" spans="1:5" x14ac:dyDescent="0.3">
      <c r="A162" s="267" t="s">
        <v>2657</v>
      </c>
      <c r="B162" s="134" t="s">
        <v>3</v>
      </c>
      <c r="C162" s="134" t="s">
        <v>4</v>
      </c>
      <c r="D162" s="134" t="s">
        <v>1500</v>
      </c>
      <c r="E162" s="134"/>
    </row>
    <row r="163" spans="1:5" x14ac:dyDescent="0.3">
      <c r="A163" s="218">
        <v>1</v>
      </c>
      <c r="B163" s="78">
        <v>4</v>
      </c>
      <c r="C163" s="78" t="s">
        <v>57</v>
      </c>
      <c r="D163" s="78" t="s">
        <v>65</v>
      </c>
      <c r="E163" s="78" t="s">
        <v>1481</v>
      </c>
    </row>
    <row r="164" spans="1:5" x14ac:dyDescent="0.3">
      <c r="A164" s="218">
        <v>2</v>
      </c>
      <c r="B164" s="78">
        <v>5</v>
      </c>
      <c r="C164" s="78" t="s">
        <v>72</v>
      </c>
      <c r="D164" s="78" t="s">
        <v>79</v>
      </c>
      <c r="E164" s="78" t="s">
        <v>1481</v>
      </c>
    </row>
    <row r="165" spans="1:5" x14ac:dyDescent="0.3">
      <c r="A165" s="218">
        <v>3</v>
      </c>
      <c r="B165" s="78">
        <v>7</v>
      </c>
      <c r="C165" s="78" t="s">
        <v>99</v>
      </c>
      <c r="D165" s="78" t="s">
        <v>106</v>
      </c>
      <c r="E165" s="78" t="s">
        <v>1481</v>
      </c>
    </row>
    <row r="166" spans="1:5" x14ac:dyDescent="0.3">
      <c r="A166" s="218">
        <v>4</v>
      </c>
      <c r="B166" s="78">
        <v>8</v>
      </c>
      <c r="C166" s="78" t="s">
        <v>111</v>
      </c>
      <c r="D166" s="78" t="s">
        <v>92</v>
      </c>
      <c r="E166" s="78" t="s">
        <v>1481</v>
      </c>
    </row>
    <row r="167" spans="1:5" x14ac:dyDescent="0.3">
      <c r="A167" s="218">
        <v>5</v>
      </c>
      <c r="B167" s="78">
        <v>9</v>
      </c>
      <c r="C167" s="78" t="s">
        <v>123</v>
      </c>
      <c r="D167" s="78" t="s">
        <v>130</v>
      </c>
      <c r="E167" s="78" t="s">
        <v>1481</v>
      </c>
    </row>
    <row r="168" spans="1:5" x14ac:dyDescent="0.3">
      <c r="A168" s="218">
        <v>6</v>
      </c>
      <c r="B168" s="78">
        <v>10</v>
      </c>
      <c r="C168" s="78" t="s">
        <v>135</v>
      </c>
      <c r="D168" s="78" t="s">
        <v>142</v>
      </c>
      <c r="E168" s="78" t="s">
        <v>1481</v>
      </c>
    </row>
    <row r="169" spans="1:5" x14ac:dyDescent="0.3">
      <c r="A169" s="218">
        <v>7</v>
      </c>
      <c r="B169" s="78">
        <v>11</v>
      </c>
      <c r="C169" s="78" t="s">
        <v>147</v>
      </c>
      <c r="D169" s="78" t="s">
        <v>130</v>
      </c>
      <c r="E169" s="78" t="s">
        <v>1481</v>
      </c>
    </row>
    <row r="170" spans="1:5" x14ac:dyDescent="0.3">
      <c r="A170" s="219"/>
      <c r="B170" s="78">
        <v>12</v>
      </c>
      <c r="C170" s="78" t="s">
        <v>154</v>
      </c>
      <c r="D170" s="78" t="s">
        <v>158</v>
      </c>
      <c r="E170" s="78" t="s">
        <v>1481</v>
      </c>
    </row>
    <row r="171" spans="1:5" x14ac:dyDescent="0.3">
      <c r="A171" s="219"/>
      <c r="B171" s="78">
        <v>13</v>
      </c>
      <c r="C171" s="78" t="s">
        <v>163</v>
      </c>
      <c r="D171" s="78" t="s">
        <v>171</v>
      </c>
      <c r="E171" s="78" t="s">
        <v>1481</v>
      </c>
    </row>
    <row r="172" spans="1:5" x14ac:dyDescent="0.3">
      <c r="A172" s="219"/>
      <c r="B172" s="78">
        <v>26</v>
      </c>
      <c r="C172" s="78" t="s">
        <v>214</v>
      </c>
      <c r="D172" s="78" t="s">
        <v>158</v>
      </c>
      <c r="E172" s="78" t="s">
        <v>1481</v>
      </c>
    </row>
    <row r="173" spans="1:5" x14ac:dyDescent="0.3">
      <c r="A173" s="218">
        <v>18</v>
      </c>
      <c r="B173" s="78">
        <v>27</v>
      </c>
      <c r="C173" s="78" t="s">
        <v>222</v>
      </c>
      <c r="D173" s="78" t="s">
        <v>171</v>
      </c>
      <c r="E173" s="78" t="s">
        <v>1481</v>
      </c>
    </row>
    <row r="174" spans="1:5" x14ac:dyDescent="0.3">
      <c r="A174" s="218">
        <v>19</v>
      </c>
      <c r="B174" s="78">
        <v>29</v>
      </c>
      <c r="C174" s="78" t="s">
        <v>240</v>
      </c>
      <c r="D174" s="78" t="s">
        <v>246</v>
      </c>
      <c r="E174" s="78" t="s">
        <v>1481</v>
      </c>
    </row>
    <row r="175" spans="1:5" x14ac:dyDescent="0.3">
      <c r="A175" s="218">
        <v>20</v>
      </c>
      <c r="B175" s="78">
        <v>31</v>
      </c>
      <c r="C175" s="78" t="s">
        <v>258</v>
      </c>
      <c r="D175" s="78" t="s">
        <v>264</v>
      </c>
      <c r="E175" s="78" t="s">
        <v>1481</v>
      </c>
    </row>
    <row r="176" spans="1:5" x14ac:dyDescent="0.3">
      <c r="A176" s="218">
        <v>22</v>
      </c>
      <c r="B176" s="78">
        <v>35</v>
      </c>
      <c r="C176" s="78" t="s">
        <v>294</v>
      </c>
      <c r="D176" s="78" t="s">
        <v>2316</v>
      </c>
      <c r="E176" s="78" t="s">
        <v>1481</v>
      </c>
    </row>
    <row r="177" spans="1:5" x14ac:dyDescent="0.3">
      <c r="A177" s="218">
        <v>23</v>
      </c>
      <c r="B177" s="78">
        <v>36</v>
      </c>
      <c r="C177" s="78" t="s">
        <v>308</v>
      </c>
      <c r="D177" s="78" t="s">
        <v>315</v>
      </c>
      <c r="E177" s="78" t="s">
        <v>1481</v>
      </c>
    </row>
    <row r="178" spans="1:5" x14ac:dyDescent="0.3">
      <c r="A178" s="219"/>
      <c r="B178" s="78">
        <v>41</v>
      </c>
      <c r="C178" s="78" t="s">
        <v>337</v>
      </c>
      <c r="D178" s="78" t="s">
        <v>158</v>
      </c>
      <c r="E178" s="78" t="s">
        <v>1481</v>
      </c>
    </row>
    <row r="179" spans="1:5" x14ac:dyDescent="0.3">
      <c r="A179" s="218">
        <v>26</v>
      </c>
      <c r="B179" s="78">
        <v>46</v>
      </c>
      <c r="C179" s="78" t="s">
        <v>377</v>
      </c>
      <c r="D179" s="78" t="s">
        <v>2317</v>
      </c>
      <c r="E179" s="78" t="s">
        <v>1481</v>
      </c>
    </row>
    <row r="180" spans="1:5" x14ac:dyDescent="0.3">
      <c r="A180" s="218">
        <v>32</v>
      </c>
      <c r="B180" s="78">
        <v>52</v>
      </c>
      <c r="C180" s="78" t="s">
        <v>427</v>
      </c>
      <c r="D180" s="78" t="s">
        <v>432</v>
      </c>
      <c r="E180" s="78" t="s">
        <v>1481</v>
      </c>
    </row>
    <row r="181" spans="1:5" x14ac:dyDescent="0.3">
      <c r="A181" s="218">
        <v>33</v>
      </c>
      <c r="B181" s="78">
        <v>53</v>
      </c>
      <c r="C181" s="78" t="s">
        <v>436</v>
      </c>
      <c r="D181" s="78" t="s">
        <v>439</v>
      </c>
      <c r="E181" s="78" t="s">
        <v>1481</v>
      </c>
    </row>
    <row r="182" spans="1:5" x14ac:dyDescent="0.3">
      <c r="A182" s="218">
        <v>39</v>
      </c>
      <c r="B182" s="78">
        <v>61</v>
      </c>
      <c r="C182" s="78" t="s">
        <v>469</v>
      </c>
      <c r="D182" s="78" t="s">
        <v>130</v>
      </c>
      <c r="E182" s="78" t="s">
        <v>1481</v>
      </c>
    </row>
    <row r="183" spans="1:5" x14ac:dyDescent="0.3">
      <c r="A183" s="218">
        <v>41</v>
      </c>
      <c r="B183" s="78">
        <v>63</v>
      </c>
      <c r="C183" s="78" t="s">
        <v>481</v>
      </c>
      <c r="D183" s="78" t="s">
        <v>2318</v>
      </c>
      <c r="E183" s="78" t="s">
        <v>1481</v>
      </c>
    </row>
    <row r="184" spans="1:5" x14ac:dyDescent="0.3">
      <c r="A184" s="218">
        <v>42</v>
      </c>
      <c r="B184" s="78">
        <v>64</v>
      </c>
      <c r="C184" s="78" t="s">
        <v>490</v>
      </c>
      <c r="D184" s="78" t="s">
        <v>2319</v>
      </c>
      <c r="E184" s="78" t="s">
        <v>1481</v>
      </c>
    </row>
    <row r="185" spans="1:5" x14ac:dyDescent="0.3">
      <c r="A185" s="218">
        <v>43</v>
      </c>
      <c r="B185" s="78">
        <v>65</v>
      </c>
      <c r="C185" s="78" t="s">
        <v>498</v>
      </c>
      <c r="D185" s="78" t="s">
        <v>503</v>
      </c>
      <c r="E185" s="78" t="s">
        <v>1481</v>
      </c>
    </row>
    <row r="186" spans="1:5" x14ac:dyDescent="0.3">
      <c r="A186" s="218">
        <v>44</v>
      </c>
      <c r="B186" s="78">
        <v>66</v>
      </c>
      <c r="C186" s="78" t="s">
        <v>506</v>
      </c>
      <c r="D186" s="78" t="s">
        <v>439</v>
      </c>
      <c r="E186" s="78" t="s">
        <v>1481</v>
      </c>
    </row>
    <row r="187" spans="1:5" x14ac:dyDescent="0.3">
      <c r="A187" s="218">
        <v>46</v>
      </c>
      <c r="B187" s="78">
        <v>71</v>
      </c>
      <c r="C187" s="78" t="s">
        <v>551</v>
      </c>
      <c r="D187" s="78" t="s">
        <v>557</v>
      </c>
      <c r="E187" s="78" t="s">
        <v>1481</v>
      </c>
    </row>
    <row r="188" spans="1:5" x14ac:dyDescent="0.3">
      <c r="A188" s="218">
        <v>47</v>
      </c>
      <c r="B188" s="78">
        <v>74</v>
      </c>
      <c r="C188" s="78" t="s">
        <v>576</v>
      </c>
      <c r="D188" s="78" t="s">
        <v>584</v>
      </c>
      <c r="E188" s="78" t="s">
        <v>1481</v>
      </c>
    </row>
    <row r="189" spans="1:5" x14ac:dyDescent="0.3">
      <c r="A189" s="218">
        <v>48</v>
      </c>
      <c r="B189" s="78">
        <v>79</v>
      </c>
      <c r="C189" s="78" t="s">
        <v>603</v>
      </c>
      <c r="D189" s="78" t="s">
        <v>609</v>
      </c>
      <c r="E189" s="78" t="s">
        <v>1481</v>
      </c>
    </row>
    <row r="190" spans="1:5" x14ac:dyDescent="0.3">
      <c r="A190" s="218">
        <v>49</v>
      </c>
      <c r="B190" s="78">
        <v>81</v>
      </c>
      <c r="C190" s="78" t="s">
        <v>620</v>
      </c>
      <c r="D190" s="78" t="s">
        <v>557</v>
      </c>
      <c r="E190" s="78" t="s">
        <v>1481</v>
      </c>
    </row>
    <row r="191" spans="1:5" x14ac:dyDescent="0.3">
      <c r="A191" s="218">
        <v>50</v>
      </c>
      <c r="B191" s="78">
        <v>83</v>
      </c>
      <c r="C191" s="78" t="s">
        <v>635</v>
      </c>
      <c r="D191" s="78" t="s">
        <v>638</v>
      </c>
      <c r="E191" s="78" t="s">
        <v>1481</v>
      </c>
    </row>
    <row r="192" spans="1:5" x14ac:dyDescent="0.3">
      <c r="A192" s="218">
        <v>51</v>
      </c>
      <c r="B192" s="78">
        <v>90</v>
      </c>
      <c r="C192" s="78" t="s">
        <v>684</v>
      </c>
      <c r="D192" s="78" t="s">
        <v>2320</v>
      </c>
      <c r="E192" s="78" t="s">
        <v>1481</v>
      </c>
    </row>
    <row r="193" spans="1:5" x14ac:dyDescent="0.3">
      <c r="A193" s="218">
        <v>54</v>
      </c>
      <c r="B193" s="78">
        <v>95</v>
      </c>
      <c r="C193" s="78" t="s">
        <v>719</v>
      </c>
      <c r="D193" s="78" t="s">
        <v>503</v>
      </c>
      <c r="E193" s="78" t="s">
        <v>1481</v>
      </c>
    </row>
    <row r="194" spans="1:5" x14ac:dyDescent="0.3">
      <c r="A194" s="218">
        <v>55</v>
      </c>
      <c r="B194" s="78">
        <v>97</v>
      </c>
      <c r="C194" s="78" t="s">
        <v>732</v>
      </c>
      <c r="D194" s="78" t="s">
        <v>432</v>
      </c>
      <c r="E194" s="78" t="s">
        <v>1481</v>
      </c>
    </row>
    <row r="195" spans="1:5" x14ac:dyDescent="0.3">
      <c r="A195" s="218">
        <v>56</v>
      </c>
      <c r="B195" s="78">
        <v>98</v>
      </c>
      <c r="C195" s="78" t="s">
        <v>738</v>
      </c>
      <c r="D195" s="78" t="s">
        <v>383</v>
      </c>
      <c r="E195" s="78" t="s">
        <v>1481</v>
      </c>
    </row>
    <row r="196" spans="1:5" x14ac:dyDescent="0.3">
      <c r="A196" s="218">
        <v>57</v>
      </c>
      <c r="B196" s="78">
        <v>100</v>
      </c>
      <c r="C196" s="78" t="s">
        <v>751</v>
      </c>
      <c r="D196" s="78" t="s">
        <v>264</v>
      </c>
      <c r="E196" s="78" t="s">
        <v>1481</v>
      </c>
    </row>
    <row r="197" spans="1:5" x14ac:dyDescent="0.3">
      <c r="A197" s="218">
        <v>58</v>
      </c>
      <c r="B197" s="78">
        <v>102</v>
      </c>
      <c r="C197" s="78" t="s">
        <v>762</v>
      </c>
      <c r="D197" s="78" t="s">
        <v>638</v>
      </c>
      <c r="E197" s="78" t="s">
        <v>1481</v>
      </c>
    </row>
    <row r="198" spans="1:5" x14ac:dyDescent="0.3">
      <c r="A198" s="219"/>
      <c r="B198" s="78">
        <v>104</v>
      </c>
      <c r="C198" s="78" t="s">
        <v>774</v>
      </c>
      <c r="D198" s="78" t="s">
        <v>315</v>
      </c>
      <c r="E198" s="78" t="s">
        <v>1481</v>
      </c>
    </row>
    <row r="199" spans="1:5" x14ac:dyDescent="0.3">
      <c r="A199" s="219"/>
      <c r="B199" s="78">
        <v>109</v>
      </c>
      <c r="C199" s="78" t="s">
        <v>782</v>
      </c>
      <c r="D199" s="78" t="s">
        <v>638</v>
      </c>
      <c r="E199" s="78" t="s">
        <v>1481</v>
      </c>
    </row>
    <row r="200" spans="1:5" x14ac:dyDescent="0.3">
      <c r="A200" s="218">
        <v>63</v>
      </c>
      <c r="B200" s="78">
        <v>110</v>
      </c>
      <c r="C200" s="78" t="s">
        <v>787</v>
      </c>
      <c r="D200" s="78" t="s">
        <v>709</v>
      </c>
      <c r="E200" s="78" t="s">
        <v>1481</v>
      </c>
    </row>
    <row r="201" spans="1:5" x14ac:dyDescent="0.3">
      <c r="A201" s="218">
        <v>64</v>
      </c>
      <c r="B201" s="78">
        <v>112</v>
      </c>
      <c r="C201" s="78" t="s">
        <v>800</v>
      </c>
      <c r="D201" s="78" t="s">
        <v>730</v>
      </c>
      <c r="E201" s="78" t="s">
        <v>1481</v>
      </c>
    </row>
    <row r="202" spans="1:5" x14ac:dyDescent="0.3">
      <c r="A202" s="218">
        <v>65</v>
      </c>
      <c r="B202" s="78">
        <v>113</v>
      </c>
      <c r="C202" s="78" t="s">
        <v>805</v>
      </c>
      <c r="D202" s="78" t="s">
        <v>747</v>
      </c>
      <c r="E202" s="78" t="s">
        <v>1481</v>
      </c>
    </row>
    <row r="203" spans="1:5" x14ac:dyDescent="0.3">
      <c r="A203" s="218">
        <v>66</v>
      </c>
      <c r="B203" s="78">
        <v>114</v>
      </c>
      <c r="C203" s="78" t="s">
        <v>810</v>
      </c>
      <c r="D203" s="78" t="s">
        <v>760</v>
      </c>
      <c r="E203" s="78" t="s">
        <v>1481</v>
      </c>
    </row>
    <row r="204" spans="1:5" x14ac:dyDescent="0.3">
      <c r="A204" s="218">
        <v>67</v>
      </c>
      <c r="B204" s="78">
        <v>116</v>
      </c>
      <c r="C204" s="78" t="s">
        <v>823</v>
      </c>
      <c r="D204" s="78" t="s">
        <v>2321</v>
      </c>
      <c r="E204" s="78" t="s">
        <v>1481</v>
      </c>
    </row>
    <row r="205" spans="1:5" x14ac:dyDescent="0.3">
      <c r="A205" s="218">
        <v>68</v>
      </c>
      <c r="B205" s="78">
        <v>117</v>
      </c>
      <c r="C205" s="78" t="s">
        <v>829</v>
      </c>
      <c r="D205" s="78" t="s">
        <v>796</v>
      </c>
      <c r="E205" s="78" t="s">
        <v>1481</v>
      </c>
    </row>
    <row r="206" spans="1:5" x14ac:dyDescent="0.3">
      <c r="A206" s="218">
        <v>70</v>
      </c>
      <c r="B206" s="78">
        <v>120</v>
      </c>
      <c r="C206" s="78" t="s">
        <v>848</v>
      </c>
      <c r="D206" s="78" t="s">
        <v>2322</v>
      </c>
      <c r="E206" s="78" t="s">
        <v>1481</v>
      </c>
    </row>
    <row r="207" spans="1:5" x14ac:dyDescent="0.3">
      <c r="A207" s="218">
        <v>71</v>
      </c>
      <c r="B207" s="78">
        <v>121</v>
      </c>
      <c r="C207" s="78" t="s">
        <v>855</v>
      </c>
      <c r="D207" s="78" t="s">
        <v>2323</v>
      </c>
      <c r="E207" s="78" t="s">
        <v>1481</v>
      </c>
    </row>
    <row r="208" spans="1:5" x14ac:dyDescent="0.3">
      <c r="A208" s="218">
        <v>72</v>
      </c>
      <c r="B208" s="78">
        <v>123</v>
      </c>
      <c r="C208" s="78" t="s">
        <v>870</v>
      </c>
      <c r="D208" s="78" t="s">
        <v>130</v>
      </c>
      <c r="E208" s="78" t="s">
        <v>1481</v>
      </c>
    </row>
    <row r="209" spans="1:5" x14ac:dyDescent="0.3">
      <c r="A209" s="218">
        <v>73</v>
      </c>
      <c r="B209" s="78">
        <v>124</v>
      </c>
      <c r="C209" s="78" t="s">
        <v>876</v>
      </c>
      <c r="D209" s="78" t="s">
        <v>142</v>
      </c>
      <c r="E209" s="78" t="s">
        <v>1481</v>
      </c>
    </row>
    <row r="210" spans="1:5" x14ac:dyDescent="0.3">
      <c r="A210" s="218">
        <v>74</v>
      </c>
      <c r="B210" s="78">
        <v>126</v>
      </c>
      <c r="C210" s="78" t="s">
        <v>888</v>
      </c>
      <c r="D210" s="78" t="s">
        <v>819</v>
      </c>
      <c r="E210" s="78" t="s">
        <v>1481</v>
      </c>
    </row>
    <row r="211" spans="1:5" x14ac:dyDescent="0.3">
      <c r="A211" s="218">
        <v>75</v>
      </c>
      <c r="B211" s="78">
        <v>129</v>
      </c>
      <c r="C211" s="78" t="s">
        <v>897</v>
      </c>
      <c r="D211" s="78" t="s">
        <v>838</v>
      </c>
      <c r="E211" s="78" t="s">
        <v>1481</v>
      </c>
    </row>
    <row r="212" spans="1:5" x14ac:dyDescent="0.3">
      <c r="A212" s="218">
        <v>76</v>
      </c>
      <c r="B212" s="78">
        <v>130</v>
      </c>
      <c r="C212" s="78" t="s">
        <v>903</v>
      </c>
      <c r="D212" s="78" t="s">
        <v>865</v>
      </c>
      <c r="E212" s="78" t="s">
        <v>1481</v>
      </c>
    </row>
    <row r="213" spans="1:5" x14ac:dyDescent="0.3">
      <c r="A213" s="218">
        <v>77</v>
      </c>
      <c r="B213" s="78">
        <v>133</v>
      </c>
      <c r="C213" s="78" t="s">
        <v>921</v>
      </c>
      <c r="D213" s="78" t="s">
        <v>884</v>
      </c>
      <c r="E213" s="78" t="s">
        <v>1481</v>
      </c>
    </row>
    <row r="214" spans="1:5" x14ac:dyDescent="0.3">
      <c r="A214" s="218">
        <v>78</v>
      </c>
      <c r="B214" s="78">
        <v>135</v>
      </c>
      <c r="C214" s="78" t="s">
        <v>932</v>
      </c>
      <c r="D214" s="78" t="s">
        <v>65</v>
      </c>
      <c r="E214" s="78" t="s">
        <v>1481</v>
      </c>
    </row>
    <row r="215" spans="1:5" x14ac:dyDescent="0.3">
      <c r="A215" s="218">
        <v>79</v>
      </c>
      <c r="B215" s="78">
        <v>137</v>
      </c>
      <c r="C215" s="78" t="s">
        <v>945</v>
      </c>
      <c r="D215" s="78" t="s">
        <v>79</v>
      </c>
      <c r="E215" s="78" t="s">
        <v>1481</v>
      </c>
    </row>
    <row r="216" spans="1:5" x14ac:dyDescent="0.3">
      <c r="A216" s="218">
        <v>80</v>
      </c>
      <c r="B216" s="78">
        <v>140</v>
      </c>
      <c r="C216" s="78" t="s">
        <v>964</v>
      </c>
      <c r="D216" s="78" t="s">
        <v>301</v>
      </c>
      <c r="E216" s="78" t="s">
        <v>1481</v>
      </c>
    </row>
    <row r="217" spans="1:5" x14ac:dyDescent="0.3">
      <c r="A217" s="218">
        <v>81</v>
      </c>
      <c r="B217" s="78">
        <v>141</v>
      </c>
      <c r="C217" s="78" t="s">
        <v>970</v>
      </c>
      <c r="D217" s="78" t="s">
        <v>315</v>
      </c>
      <c r="E217" s="78" t="s">
        <v>1481</v>
      </c>
    </row>
    <row r="218" spans="1:5" x14ac:dyDescent="0.3">
      <c r="A218" s="218">
        <v>82</v>
      </c>
      <c r="B218" s="78">
        <v>143</v>
      </c>
      <c r="C218" s="78" t="s">
        <v>980</v>
      </c>
      <c r="D218" s="78" t="s">
        <v>912</v>
      </c>
      <c r="E218" s="78" t="s">
        <v>1481</v>
      </c>
    </row>
    <row r="219" spans="1:5" x14ac:dyDescent="0.3">
      <c r="A219" s="218">
        <v>83</v>
      </c>
      <c r="B219" s="78">
        <v>145</v>
      </c>
      <c r="C219" s="78" t="s">
        <v>992</v>
      </c>
      <c r="D219" s="78" t="s">
        <v>918</v>
      </c>
      <c r="E219" s="78" t="s">
        <v>1481</v>
      </c>
    </row>
    <row r="220" spans="1:5" x14ac:dyDescent="0.3">
      <c r="A220" s="218">
        <v>84</v>
      </c>
      <c r="B220" s="78">
        <v>146</v>
      </c>
      <c r="C220" s="78" t="s">
        <v>998</v>
      </c>
      <c r="D220" s="78" t="s">
        <v>383</v>
      </c>
      <c r="E220" s="78" t="s">
        <v>1481</v>
      </c>
    </row>
    <row r="221" spans="1:5" x14ac:dyDescent="0.3">
      <c r="A221" s="218">
        <v>85</v>
      </c>
      <c r="B221" s="78">
        <v>147</v>
      </c>
      <c r="C221" s="78" t="s">
        <v>1003</v>
      </c>
      <c r="D221" s="78" t="s">
        <v>432</v>
      </c>
      <c r="E221" s="78" t="s">
        <v>1481</v>
      </c>
    </row>
    <row r="222" spans="1:5" x14ac:dyDescent="0.3">
      <c r="A222" s="218">
        <v>88</v>
      </c>
      <c r="B222" s="78">
        <v>152</v>
      </c>
      <c r="C222" s="78" t="s">
        <v>1012</v>
      </c>
      <c r="D222" s="78" t="s">
        <v>503</v>
      </c>
      <c r="E222" s="78" t="s">
        <v>1481</v>
      </c>
    </row>
    <row r="223" spans="1:5" x14ac:dyDescent="0.3">
      <c r="A223" s="218">
        <v>89</v>
      </c>
      <c r="B223" s="78">
        <v>155</v>
      </c>
      <c r="C223" s="78" t="s">
        <v>1027</v>
      </c>
      <c r="D223" s="78" t="s">
        <v>246</v>
      </c>
      <c r="E223" s="78" t="s">
        <v>1481</v>
      </c>
    </row>
    <row r="224" spans="1:5" x14ac:dyDescent="0.3">
      <c r="A224" s="218">
        <v>90</v>
      </c>
      <c r="B224" s="78">
        <v>159</v>
      </c>
      <c r="C224" s="78" t="s">
        <v>1048</v>
      </c>
      <c r="D224" s="78" t="s">
        <v>264</v>
      </c>
      <c r="E224" s="78" t="s">
        <v>1481</v>
      </c>
    </row>
    <row r="225" spans="1:5" x14ac:dyDescent="0.3">
      <c r="A225" s="218">
        <v>91</v>
      </c>
      <c r="B225" s="78">
        <v>160</v>
      </c>
      <c r="C225" s="78" t="s">
        <v>1055</v>
      </c>
      <c r="D225" s="78" t="s">
        <v>106</v>
      </c>
      <c r="E225" s="78" t="s">
        <v>1481</v>
      </c>
    </row>
    <row r="226" spans="1:5" x14ac:dyDescent="0.3">
      <c r="A226" s="218">
        <v>92</v>
      </c>
      <c r="B226" s="78">
        <v>161</v>
      </c>
      <c r="C226" s="78" t="s">
        <v>1060</v>
      </c>
      <c r="D226" s="78" t="s">
        <v>92</v>
      </c>
      <c r="E226" s="78" t="s">
        <v>1481</v>
      </c>
    </row>
    <row r="227" spans="1:5" x14ac:dyDescent="0.3">
      <c r="A227" s="218">
        <v>93</v>
      </c>
      <c r="B227" s="78">
        <v>162</v>
      </c>
      <c r="C227" s="78" t="s">
        <v>1065</v>
      </c>
      <c r="D227" s="78" t="s">
        <v>79</v>
      </c>
      <c r="E227" s="78" t="s">
        <v>1481</v>
      </c>
    </row>
    <row r="228" spans="1:5" x14ac:dyDescent="0.3">
      <c r="A228" s="218">
        <v>94</v>
      </c>
      <c r="B228" s="78">
        <v>163</v>
      </c>
      <c r="C228" s="78" t="s">
        <v>1070</v>
      </c>
      <c r="D228" s="78" t="s">
        <v>65</v>
      </c>
      <c r="E228" s="78" t="s">
        <v>1481</v>
      </c>
    </row>
    <row r="229" spans="1:5" x14ac:dyDescent="0.3">
      <c r="A229" s="218">
        <v>95</v>
      </c>
      <c r="B229" s="78">
        <v>165</v>
      </c>
      <c r="C229" s="78" t="s">
        <v>1080</v>
      </c>
      <c r="D229" s="78" t="s">
        <v>142</v>
      </c>
      <c r="E229" s="78" t="s">
        <v>1481</v>
      </c>
    </row>
    <row r="230" spans="1:5" x14ac:dyDescent="0.3">
      <c r="A230" s="218">
        <v>96</v>
      </c>
      <c r="B230" s="78">
        <v>166</v>
      </c>
      <c r="C230" s="78" t="s">
        <v>1087</v>
      </c>
      <c r="D230" s="78" t="s">
        <v>130</v>
      </c>
      <c r="E230" s="78" t="s">
        <v>1481</v>
      </c>
    </row>
    <row r="231" spans="1:5" x14ac:dyDescent="0.3">
      <c r="A231" s="218">
        <v>98</v>
      </c>
      <c r="B231" s="78">
        <v>170</v>
      </c>
      <c r="C231" s="78" t="s">
        <v>1100</v>
      </c>
      <c r="D231" s="78" t="s">
        <v>171</v>
      </c>
      <c r="E231" s="78" t="s">
        <v>1481</v>
      </c>
    </row>
    <row r="232" spans="1:5" x14ac:dyDescent="0.3">
      <c r="A232" s="218">
        <v>99</v>
      </c>
      <c r="B232" s="78">
        <v>171</v>
      </c>
      <c r="C232" s="78" t="s">
        <v>1106</v>
      </c>
      <c r="D232" s="78" t="s">
        <v>158</v>
      </c>
      <c r="E232" s="78" t="s">
        <v>1481</v>
      </c>
    </row>
    <row r="233" spans="1:5" x14ac:dyDescent="0.3">
      <c r="A233" s="218">
        <v>100</v>
      </c>
      <c r="B233" s="78">
        <v>172</v>
      </c>
      <c r="C233" s="78" t="s">
        <v>1112</v>
      </c>
      <c r="D233" s="78" t="s">
        <v>171</v>
      </c>
      <c r="E233" s="78" t="s">
        <v>1481</v>
      </c>
    </row>
    <row r="234" spans="1:5" x14ac:dyDescent="0.3">
      <c r="A234" s="219"/>
      <c r="B234" s="78">
        <v>6</v>
      </c>
      <c r="C234" s="78" t="s">
        <v>87</v>
      </c>
      <c r="D234" s="78" t="s">
        <v>92</v>
      </c>
      <c r="E234" s="78" t="s">
        <v>1481</v>
      </c>
    </row>
    <row r="235" spans="1:5" x14ac:dyDescent="0.3">
      <c r="A235" s="219"/>
      <c r="B235" s="90"/>
      <c r="C235" s="78" t="s">
        <v>1409</v>
      </c>
      <c r="D235" s="78" t="s">
        <v>106</v>
      </c>
      <c r="E235" s="78" t="s">
        <v>1481</v>
      </c>
    </row>
    <row r="236" spans="1:5" x14ac:dyDescent="0.3">
      <c r="A236" s="219"/>
      <c r="B236" s="90"/>
      <c r="C236" s="78" t="s">
        <v>1413</v>
      </c>
      <c r="D236" s="78" t="s">
        <v>79</v>
      </c>
      <c r="E236" s="78" t="s">
        <v>1481</v>
      </c>
    </row>
    <row r="237" spans="1:5" x14ac:dyDescent="0.3">
      <c r="A237" s="219"/>
      <c r="B237" s="78">
        <v>14</v>
      </c>
      <c r="C237" s="78" t="s">
        <v>175</v>
      </c>
      <c r="D237" s="78" t="s">
        <v>65</v>
      </c>
      <c r="E237" s="78" t="s">
        <v>1481</v>
      </c>
    </row>
    <row r="238" spans="1:5" x14ac:dyDescent="0.3">
      <c r="A238" s="219"/>
      <c r="B238" s="78">
        <v>15</v>
      </c>
      <c r="C238" s="78" t="s">
        <v>182</v>
      </c>
      <c r="D238" s="78" t="s">
        <v>79</v>
      </c>
      <c r="E238" s="78" t="s">
        <v>1481</v>
      </c>
    </row>
    <row r="239" spans="1:5" x14ac:dyDescent="0.3">
      <c r="A239" s="219"/>
      <c r="B239" s="90"/>
      <c r="C239" s="78" t="s">
        <v>1417</v>
      </c>
      <c r="D239" s="78" t="s">
        <v>106</v>
      </c>
      <c r="E239" s="78" t="s">
        <v>1481</v>
      </c>
    </row>
    <row r="240" spans="1:5" x14ac:dyDescent="0.3">
      <c r="A240" s="219"/>
      <c r="B240" s="78">
        <v>28</v>
      </c>
      <c r="C240" s="78" t="s">
        <v>232</v>
      </c>
      <c r="D240" s="78" t="s">
        <v>130</v>
      </c>
      <c r="E240" s="78" t="s">
        <v>1481</v>
      </c>
    </row>
    <row r="241" spans="1:5" x14ac:dyDescent="0.3">
      <c r="A241" s="219"/>
      <c r="B241" s="78">
        <v>39</v>
      </c>
      <c r="C241" s="78" t="s">
        <v>321</v>
      </c>
      <c r="D241" s="78" t="s">
        <v>92</v>
      </c>
      <c r="E241" s="78" t="s">
        <v>1481</v>
      </c>
    </row>
    <row r="242" spans="1:5" x14ac:dyDescent="0.3">
      <c r="A242" s="219"/>
      <c r="B242" s="78">
        <v>42</v>
      </c>
      <c r="C242" s="78" t="s">
        <v>346</v>
      </c>
      <c r="D242" s="78" t="s">
        <v>106</v>
      </c>
      <c r="E242" s="78" t="s">
        <v>1481</v>
      </c>
    </row>
    <row r="243" spans="1:5" x14ac:dyDescent="0.3">
      <c r="A243" s="219"/>
      <c r="B243" s="78">
        <v>43</v>
      </c>
      <c r="C243" s="78" t="s">
        <v>353</v>
      </c>
      <c r="D243" s="78" t="s">
        <v>79</v>
      </c>
      <c r="E243" s="78" t="s">
        <v>1481</v>
      </c>
    </row>
    <row r="244" spans="1:5" x14ac:dyDescent="0.3">
      <c r="A244" s="219"/>
      <c r="B244" s="78">
        <v>44</v>
      </c>
      <c r="C244" s="78" t="s">
        <v>361</v>
      </c>
      <c r="D244" s="78" t="s">
        <v>65</v>
      </c>
      <c r="E244" s="78" t="s">
        <v>1481</v>
      </c>
    </row>
    <row r="245" spans="1:5" x14ac:dyDescent="0.3">
      <c r="A245" s="219"/>
      <c r="B245" s="78">
        <v>45</v>
      </c>
      <c r="C245" s="78" t="s">
        <v>368</v>
      </c>
      <c r="D245" s="78" t="s">
        <v>142</v>
      </c>
      <c r="E245" s="78" t="s">
        <v>1481</v>
      </c>
    </row>
    <row r="246" spans="1:5" x14ac:dyDescent="0.3">
      <c r="A246" s="219"/>
      <c r="B246" s="78">
        <v>67</v>
      </c>
      <c r="C246" s="78" t="s">
        <v>515</v>
      </c>
      <c r="D246" s="78" t="s">
        <v>439</v>
      </c>
      <c r="E246" s="78" t="s">
        <v>1481</v>
      </c>
    </row>
    <row r="247" spans="1:5" x14ac:dyDescent="0.3">
      <c r="A247" s="219"/>
      <c r="B247" s="78">
        <v>69</v>
      </c>
      <c r="C247" s="78" t="s">
        <v>533</v>
      </c>
      <c r="D247" s="78" t="s">
        <v>142</v>
      </c>
      <c r="E247" s="78" t="s">
        <v>1481</v>
      </c>
    </row>
    <row r="248" spans="1:5" x14ac:dyDescent="0.3">
      <c r="A248" s="219"/>
      <c r="B248" s="78">
        <v>70</v>
      </c>
      <c r="C248" s="78" t="s">
        <v>544</v>
      </c>
      <c r="D248" s="78" t="s">
        <v>130</v>
      </c>
      <c r="E248" s="78" t="s">
        <v>1481</v>
      </c>
    </row>
    <row r="249" spans="1:5" x14ac:dyDescent="0.3">
      <c r="A249" s="219"/>
      <c r="B249" s="78">
        <v>72</v>
      </c>
      <c r="C249" s="78" t="s">
        <v>561</v>
      </c>
      <c r="D249" s="78" t="s">
        <v>171</v>
      </c>
      <c r="E249" s="78" t="s">
        <v>1481</v>
      </c>
    </row>
    <row r="250" spans="1:5" x14ac:dyDescent="0.3">
      <c r="A250" s="219"/>
      <c r="B250" s="78">
        <v>73</v>
      </c>
      <c r="C250" s="78" t="s">
        <v>568</v>
      </c>
      <c r="D250" s="78" t="s">
        <v>158</v>
      </c>
      <c r="E250" s="78" t="s">
        <v>1481</v>
      </c>
    </row>
    <row r="251" spans="1:5" x14ac:dyDescent="0.3">
      <c r="A251" s="219"/>
      <c r="B251" s="78">
        <v>75</v>
      </c>
      <c r="C251" s="78" t="s">
        <v>588</v>
      </c>
      <c r="D251" s="78" t="s">
        <v>246</v>
      </c>
      <c r="E251" s="78" t="s">
        <v>1481</v>
      </c>
    </row>
    <row r="252" spans="1:5" x14ac:dyDescent="0.3">
      <c r="A252" s="219"/>
      <c r="B252" s="78">
        <v>76</v>
      </c>
      <c r="C252" s="78" t="s">
        <v>594</v>
      </c>
      <c r="D252" s="78" t="s">
        <v>264</v>
      </c>
      <c r="E252" s="78" t="s">
        <v>1481</v>
      </c>
    </row>
    <row r="253" spans="1:5" x14ac:dyDescent="0.3">
      <c r="A253" s="219"/>
      <c r="B253" s="78">
        <v>80</v>
      </c>
      <c r="C253" s="78" t="s">
        <v>614</v>
      </c>
      <c r="D253" s="78" t="s">
        <v>301</v>
      </c>
      <c r="E253" s="78" t="s">
        <v>1481</v>
      </c>
    </row>
    <row r="254" spans="1:5" x14ac:dyDescent="0.3">
      <c r="A254" s="219"/>
      <c r="B254" s="90"/>
      <c r="C254" s="78" t="s">
        <v>1422</v>
      </c>
      <c r="D254" s="78" t="s">
        <v>315</v>
      </c>
      <c r="E254" s="78" t="s">
        <v>1481</v>
      </c>
    </row>
    <row r="255" spans="1:5" x14ac:dyDescent="0.3">
      <c r="A255" s="219"/>
      <c r="B255" s="78">
        <v>82</v>
      </c>
      <c r="C255" s="78" t="s">
        <v>628</v>
      </c>
      <c r="D255" s="78" t="s">
        <v>2324</v>
      </c>
      <c r="E255" s="78" t="s">
        <v>1481</v>
      </c>
    </row>
    <row r="256" spans="1:5" x14ac:dyDescent="0.3">
      <c r="A256" s="219"/>
      <c r="B256" s="78">
        <v>84</v>
      </c>
      <c r="C256" s="78" t="s">
        <v>644</v>
      </c>
      <c r="D256" s="78" t="s">
        <v>432</v>
      </c>
      <c r="E256" s="78" t="s">
        <v>1481</v>
      </c>
    </row>
    <row r="257" spans="1:5" x14ac:dyDescent="0.3">
      <c r="A257" s="219"/>
      <c r="B257" s="78">
        <v>85</v>
      </c>
      <c r="C257" s="78" t="s">
        <v>651</v>
      </c>
      <c r="D257" s="78" t="s">
        <v>503</v>
      </c>
      <c r="E257" s="78" t="s">
        <v>1481</v>
      </c>
    </row>
    <row r="258" spans="1:5" x14ac:dyDescent="0.3">
      <c r="A258" s="219"/>
      <c r="B258" s="78">
        <v>86</v>
      </c>
      <c r="C258" s="78" t="s">
        <v>659</v>
      </c>
      <c r="D258" s="78" t="s">
        <v>439</v>
      </c>
      <c r="E258" s="78" t="s">
        <v>1481</v>
      </c>
    </row>
    <row r="259" spans="1:5" x14ac:dyDescent="0.3">
      <c r="A259" s="219"/>
      <c r="B259" s="78">
        <v>87</v>
      </c>
      <c r="C259" s="78" t="s">
        <v>665</v>
      </c>
      <c r="D259" s="78" t="s">
        <v>557</v>
      </c>
      <c r="E259" s="78" t="s">
        <v>1481</v>
      </c>
    </row>
    <row r="260" spans="1:5" x14ac:dyDescent="0.3">
      <c r="A260" s="219"/>
      <c r="B260" s="78">
        <v>88</v>
      </c>
      <c r="C260" s="78" t="s">
        <v>671</v>
      </c>
      <c r="D260" s="78" t="s">
        <v>584</v>
      </c>
      <c r="E260" s="78" t="s">
        <v>1481</v>
      </c>
    </row>
    <row r="261" spans="1:5" x14ac:dyDescent="0.3">
      <c r="A261" s="219"/>
      <c r="B261" s="78">
        <v>89</v>
      </c>
      <c r="C261" s="78" t="s">
        <v>678</v>
      </c>
      <c r="D261" s="78" t="s">
        <v>609</v>
      </c>
      <c r="E261" s="78" t="s">
        <v>1481</v>
      </c>
    </row>
    <row r="262" spans="1:5" x14ac:dyDescent="0.3">
      <c r="A262" s="219"/>
      <c r="B262" s="78">
        <v>91</v>
      </c>
      <c r="C262" s="78" t="s">
        <v>692</v>
      </c>
      <c r="D262" s="78" t="s">
        <v>638</v>
      </c>
      <c r="E262" s="78" t="s">
        <v>1481</v>
      </c>
    </row>
    <row r="263" spans="1:5" x14ac:dyDescent="0.3">
      <c r="A263" s="219"/>
      <c r="B263" s="78">
        <v>93</v>
      </c>
      <c r="C263" s="78" t="s">
        <v>706</v>
      </c>
      <c r="D263" s="78" t="s">
        <v>709</v>
      </c>
      <c r="E263" s="78" t="s">
        <v>1481</v>
      </c>
    </row>
    <row r="264" spans="1:5" x14ac:dyDescent="0.3">
      <c r="A264" s="219"/>
      <c r="B264" s="78">
        <v>96</v>
      </c>
      <c r="C264" s="78" t="s">
        <v>727</v>
      </c>
      <c r="D264" s="78" t="s">
        <v>2325</v>
      </c>
      <c r="E264" s="78" t="s">
        <v>1481</v>
      </c>
    </row>
    <row r="265" spans="1:5" x14ac:dyDescent="0.3">
      <c r="A265" s="219"/>
      <c r="B265" s="78">
        <v>99</v>
      </c>
      <c r="C265" s="78" t="s">
        <v>744</v>
      </c>
      <c r="D265" s="78" t="s">
        <v>2326</v>
      </c>
      <c r="E265" s="78" t="s">
        <v>1481</v>
      </c>
    </row>
    <row r="266" spans="1:5" x14ac:dyDescent="0.3">
      <c r="A266" s="219"/>
      <c r="B266" s="78">
        <v>101</v>
      </c>
      <c r="C266" s="78" t="s">
        <v>756</v>
      </c>
      <c r="D266" s="78" t="s">
        <v>2327</v>
      </c>
      <c r="E266" s="78" t="s">
        <v>1481</v>
      </c>
    </row>
    <row r="267" spans="1:5" x14ac:dyDescent="0.3">
      <c r="A267" s="219"/>
      <c r="B267" s="78">
        <v>103</v>
      </c>
      <c r="C267" s="78" t="s">
        <v>767</v>
      </c>
      <c r="D267" s="78" t="s">
        <v>2328</v>
      </c>
      <c r="E267" s="78" t="s">
        <v>1481</v>
      </c>
    </row>
    <row r="268" spans="1:5" x14ac:dyDescent="0.3">
      <c r="A268" s="219"/>
      <c r="B268" s="90"/>
      <c r="C268" s="78" t="s">
        <v>1117</v>
      </c>
      <c r="D268" s="78" t="s">
        <v>79</v>
      </c>
      <c r="E268" s="78" t="s">
        <v>1481</v>
      </c>
    </row>
    <row r="269" spans="1:5" x14ac:dyDescent="0.3">
      <c r="A269" s="219"/>
      <c r="B269" s="90"/>
      <c r="C269" s="78" t="s">
        <v>1121</v>
      </c>
      <c r="D269" s="78" t="s">
        <v>65</v>
      </c>
      <c r="E269" s="78" t="s">
        <v>1481</v>
      </c>
    </row>
    <row r="270" spans="1:5" x14ac:dyDescent="0.3">
      <c r="A270" s="219"/>
      <c r="B270" s="78">
        <v>111</v>
      </c>
      <c r="C270" s="78" t="s">
        <v>793</v>
      </c>
      <c r="D270" s="78" t="s">
        <v>796</v>
      </c>
      <c r="E270" s="78" t="s">
        <v>1481</v>
      </c>
    </row>
    <row r="271" spans="1:5" x14ac:dyDescent="0.3">
      <c r="A271" s="219"/>
      <c r="B271" s="78">
        <v>115</v>
      </c>
      <c r="C271" s="78" t="s">
        <v>816</v>
      </c>
      <c r="D271" s="78" t="s">
        <v>819</v>
      </c>
      <c r="E271" s="78" t="s">
        <v>1481</v>
      </c>
    </row>
    <row r="272" spans="1:5" x14ac:dyDescent="0.3">
      <c r="A272" s="219"/>
      <c r="B272" s="78">
        <v>118</v>
      </c>
      <c r="C272" s="78" t="s">
        <v>835</v>
      </c>
      <c r="D272" s="78" t="s">
        <v>838</v>
      </c>
      <c r="E272" s="78" t="s">
        <v>1481</v>
      </c>
    </row>
    <row r="273" spans="1:5" x14ac:dyDescent="0.3">
      <c r="A273" s="219"/>
      <c r="B273" s="78">
        <v>122</v>
      </c>
      <c r="C273" s="78" t="s">
        <v>862</v>
      </c>
      <c r="D273" s="78" t="s">
        <v>865</v>
      </c>
      <c r="E273" s="78" t="s">
        <v>1481</v>
      </c>
    </row>
    <row r="274" spans="1:5" x14ac:dyDescent="0.3">
      <c r="A274" s="219"/>
      <c r="B274" s="78">
        <v>125</v>
      </c>
      <c r="C274" s="78" t="s">
        <v>881</v>
      </c>
      <c r="D274" s="78" t="s">
        <v>884</v>
      </c>
      <c r="E274" s="78" t="s">
        <v>1481</v>
      </c>
    </row>
    <row r="275" spans="1:5" x14ac:dyDescent="0.3">
      <c r="A275" s="219"/>
      <c r="B275" s="78">
        <v>131</v>
      </c>
      <c r="C275" s="78" t="s">
        <v>908</v>
      </c>
      <c r="D275" s="78" t="s">
        <v>2329</v>
      </c>
      <c r="E275" s="78" t="s">
        <v>1481</v>
      </c>
    </row>
    <row r="276" spans="1:5" x14ac:dyDescent="0.3">
      <c r="A276" s="219"/>
      <c r="B276" s="78">
        <v>132</v>
      </c>
      <c r="C276" s="78" t="s">
        <v>915</v>
      </c>
      <c r="D276" s="78" t="s">
        <v>918</v>
      </c>
      <c r="E276" s="78" t="s">
        <v>1481</v>
      </c>
    </row>
    <row r="277" spans="1:5" x14ac:dyDescent="0.3">
      <c r="A277" s="219"/>
      <c r="B277" s="78">
        <v>139</v>
      </c>
      <c r="C277" s="78" t="s">
        <v>959</v>
      </c>
      <c r="D277" s="78" t="s">
        <v>171</v>
      </c>
      <c r="E277" s="78" t="s">
        <v>1481</v>
      </c>
    </row>
    <row r="278" spans="1:5" x14ac:dyDescent="0.3">
      <c r="A278" s="219"/>
      <c r="B278" s="78">
        <v>142</v>
      </c>
      <c r="C278" s="78" t="s">
        <v>975</v>
      </c>
      <c r="D278" s="78" t="s">
        <v>130</v>
      </c>
      <c r="E278" s="78" t="s">
        <v>1481</v>
      </c>
    </row>
    <row r="279" spans="1:5" x14ac:dyDescent="0.3">
      <c r="A279" s="219"/>
      <c r="B279" s="78">
        <v>144</v>
      </c>
      <c r="C279" s="78" t="s">
        <v>987</v>
      </c>
      <c r="D279" s="78" t="s">
        <v>142</v>
      </c>
      <c r="E279" s="78" t="s">
        <v>1481</v>
      </c>
    </row>
    <row r="280" spans="1:5" x14ac:dyDescent="0.3">
      <c r="A280" s="219"/>
      <c r="B280" s="78">
        <v>157</v>
      </c>
      <c r="C280" s="78" t="s">
        <v>1038</v>
      </c>
      <c r="D280" s="78" t="s">
        <v>2330</v>
      </c>
      <c r="E280" s="78" t="s">
        <v>1481</v>
      </c>
    </row>
    <row r="281" spans="1:5" x14ac:dyDescent="0.3">
      <c r="A281" s="219"/>
      <c r="B281" s="90"/>
      <c r="C281" s="78" t="s">
        <v>1173</v>
      </c>
      <c r="D281" s="78" t="s">
        <v>92</v>
      </c>
      <c r="E281" s="78" t="s">
        <v>1481</v>
      </c>
    </row>
    <row r="282" spans="1:5" x14ac:dyDescent="0.3">
      <c r="A282" s="219"/>
      <c r="B282" s="90"/>
      <c r="C282" s="78" t="s">
        <v>1185</v>
      </c>
      <c r="D282" s="78" t="s">
        <v>106</v>
      </c>
      <c r="E282" s="78" t="s">
        <v>1481</v>
      </c>
    </row>
    <row r="283" spans="1:5" x14ac:dyDescent="0.3">
      <c r="A283" s="219"/>
      <c r="B283" s="90"/>
      <c r="C283" s="78" t="s">
        <v>1189</v>
      </c>
      <c r="D283" s="78" t="s">
        <v>79</v>
      </c>
      <c r="E283" s="78" t="s">
        <v>1481</v>
      </c>
    </row>
    <row r="284" spans="1:5" x14ac:dyDescent="0.3">
      <c r="A284" s="219"/>
      <c r="B284" s="90"/>
      <c r="C284" s="78" t="s">
        <v>1213</v>
      </c>
      <c r="D284" s="78" t="s">
        <v>65</v>
      </c>
      <c r="E284" s="78" t="s">
        <v>1481</v>
      </c>
    </row>
    <row r="285" spans="1:5" x14ac:dyDescent="0.3">
      <c r="A285" s="219"/>
      <c r="B285" s="90"/>
      <c r="C285" s="78" t="s">
        <v>1237</v>
      </c>
      <c r="D285" s="78" t="s">
        <v>142</v>
      </c>
      <c r="E285" s="78" t="s">
        <v>1481</v>
      </c>
    </row>
    <row r="286" spans="1:5" x14ac:dyDescent="0.3">
      <c r="A286" s="219"/>
      <c r="B286" s="90"/>
      <c r="C286" s="78" t="s">
        <v>1241</v>
      </c>
      <c r="D286" s="78" t="s">
        <v>130</v>
      </c>
      <c r="E286" s="78" t="s">
        <v>1481</v>
      </c>
    </row>
    <row r="287" spans="1:5" x14ac:dyDescent="0.3">
      <c r="A287" s="219"/>
      <c r="B287" s="90"/>
      <c r="C287" s="78" t="s">
        <v>1257</v>
      </c>
      <c r="D287" s="78" t="s">
        <v>171</v>
      </c>
      <c r="E287" s="78" t="s">
        <v>1481</v>
      </c>
    </row>
    <row r="288" spans="1:5" x14ac:dyDescent="0.3">
      <c r="A288" s="219"/>
      <c r="B288" s="90"/>
      <c r="C288" s="78" t="s">
        <v>1269</v>
      </c>
      <c r="D288" s="78" t="s">
        <v>158</v>
      </c>
      <c r="E288" s="78" t="s">
        <v>1481</v>
      </c>
    </row>
    <row r="289" spans="1:5" x14ac:dyDescent="0.3">
      <c r="A289" s="219"/>
      <c r="B289" s="90"/>
      <c r="C289" s="78" t="s">
        <v>1274</v>
      </c>
      <c r="D289" s="78" t="s">
        <v>246</v>
      </c>
      <c r="E289" s="78" t="s">
        <v>1481</v>
      </c>
    </row>
    <row r="290" spans="1:5" x14ac:dyDescent="0.3">
      <c r="A290" s="219"/>
      <c r="B290" s="90"/>
      <c r="C290" s="78" t="s">
        <v>1282</v>
      </c>
      <c r="D290" s="78" t="s">
        <v>264</v>
      </c>
      <c r="E290" s="78" t="s">
        <v>1481</v>
      </c>
    </row>
    <row r="291" spans="1:5" x14ac:dyDescent="0.3">
      <c r="A291" s="219"/>
      <c r="B291" s="90"/>
      <c r="C291" s="78" t="s">
        <v>1310</v>
      </c>
      <c r="D291" s="78" t="s">
        <v>301</v>
      </c>
      <c r="E291" s="78" t="s">
        <v>1481</v>
      </c>
    </row>
    <row r="292" spans="1:5" x14ac:dyDescent="0.3">
      <c r="A292" s="219"/>
      <c r="B292" s="90"/>
      <c r="C292" s="78" t="s">
        <v>1314</v>
      </c>
      <c r="D292" s="78" t="s">
        <v>315</v>
      </c>
      <c r="E292" s="78" t="s">
        <v>1481</v>
      </c>
    </row>
    <row r="293" spans="1:5" x14ac:dyDescent="0.3">
      <c r="A293" s="219"/>
      <c r="B293" s="90"/>
      <c r="C293" s="78" t="s">
        <v>1318</v>
      </c>
      <c r="D293" s="78" t="s">
        <v>383</v>
      </c>
      <c r="E293" s="78" t="s">
        <v>1481</v>
      </c>
    </row>
    <row r="294" spans="1:5" x14ac:dyDescent="0.3">
      <c r="A294" s="219"/>
      <c r="B294" s="90"/>
      <c r="C294" s="78" t="s">
        <v>1338</v>
      </c>
      <c r="D294" s="78" t="s">
        <v>432</v>
      </c>
      <c r="E294" s="78" t="s">
        <v>1481</v>
      </c>
    </row>
    <row r="295" spans="1:5" x14ac:dyDescent="0.3">
      <c r="A295" s="219"/>
      <c r="B295" s="90"/>
      <c r="C295" s="78" t="s">
        <v>1346</v>
      </c>
      <c r="D295" s="78" t="s">
        <v>503</v>
      </c>
      <c r="E295" s="78" t="s">
        <v>1481</v>
      </c>
    </row>
    <row r="296" spans="1:5" x14ac:dyDescent="0.3">
      <c r="A296" s="219"/>
      <c r="B296" s="90"/>
      <c r="C296" s="78" t="s">
        <v>1350</v>
      </c>
      <c r="D296" s="78" t="s">
        <v>439</v>
      </c>
      <c r="E296" s="78" t="s">
        <v>1481</v>
      </c>
    </row>
    <row r="297" spans="1:5" x14ac:dyDescent="0.3">
      <c r="A297" s="219"/>
      <c r="B297" s="90"/>
      <c r="C297" s="78" t="s">
        <v>1354</v>
      </c>
      <c r="D297" s="78" t="s">
        <v>557</v>
      </c>
      <c r="E297" s="78" t="s">
        <v>1481</v>
      </c>
    </row>
    <row r="298" spans="1:5" x14ac:dyDescent="0.3">
      <c r="A298" s="219"/>
      <c r="B298" s="90"/>
      <c r="C298" s="78" t="s">
        <v>1359</v>
      </c>
      <c r="D298" s="78" t="s">
        <v>584</v>
      </c>
      <c r="E298" s="78" t="s">
        <v>1481</v>
      </c>
    </row>
    <row r="299" spans="1:5" x14ac:dyDescent="0.3">
      <c r="A299" s="219"/>
      <c r="B299" s="90"/>
      <c r="C299" s="78" t="s">
        <v>1364</v>
      </c>
      <c r="D299" s="78" t="s">
        <v>609</v>
      </c>
      <c r="E299" s="78" t="s">
        <v>1481</v>
      </c>
    </row>
    <row r="300" spans="1:5" x14ac:dyDescent="0.3">
      <c r="A300" s="219"/>
      <c r="B300" s="90"/>
      <c r="C300" s="78" t="s">
        <v>1369</v>
      </c>
      <c r="D300" s="78" t="s">
        <v>638</v>
      </c>
      <c r="E300" s="78" t="s">
        <v>1481</v>
      </c>
    </row>
    <row r="301" spans="1:5" x14ac:dyDescent="0.3">
      <c r="A301" s="219"/>
      <c r="B301" s="90"/>
      <c r="C301" s="78" t="s">
        <v>1374</v>
      </c>
      <c r="D301" s="78" t="s">
        <v>709</v>
      </c>
      <c r="E301" s="78" t="s">
        <v>1481</v>
      </c>
    </row>
    <row r="302" spans="1:5" x14ac:dyDescent="0.3">
      <c r="A302" s="219"/>
      <c r="B302" s="90"/>
      <c r="C302" s="78" t="s">
        <v>1379</v>
      </c>
      <c r="D302" s="78" t="s">
        <v>730</v>
      </c>
      <c r="E302" s="78" t="s">
        <v>1481</v>
      </c>
    </row>
    <row r="303" spans="1:5" x14ac:dyDescent="0.3">
      <c r="A303" s="219"/>
      <c r="B303" s="90"/>
      <c r="C303" s="78" t="s">
        <v>1384</v>
      </c>
      <c r="D303" s="78" t="s">
        <v>747</v>
      </c>
      <c r="E303" s="78" t="s">
        <v>1481</v>
      </c>
    </row>
    <row r="304" spans="1:5" x14ac:dyDescent="0.3">
      <c r="A304" s="219"/>
      <c r="B304" s="90"/>
      <c r="C304" s="78" t="s">
        <v>1389</v>
      </c>
      <c r="D304" s="78" t="s">
        <v>760</v>
      </c>
      <c r="E304" s="78" t="s">
        <v>1481</v>
      </c>
    </row>
    <row r="305" spans="1:5" x14ac:dyDescent="0.3">
      <c r="A305" s="219"/>
      <c r="B305" s="90"/>
      <c r="C305" s="78" t="s">
        <v>1394</v>
      </c>
      <c r="D305" s="78" t="s">
        <v>771</v>
      </c>
      <c r="E305" s="78" t="s">
        <v>1481</v>
      </c>
    </row>
    <row r="306" spans="1:5" x14ac:dyDescent="0.3">
      <c r="A306" s="219"/>
      <c r="B306" s="90"/>
      <c r="C306" s="78" t="s">
        <v>1399</v>
      </c>
      <c r="D306" s="78" t="s">
        <v>796</v>
      </c>
      <c r="E306" s="78" t="s">
        <v>1481</v>
      </c>
    </row>
    <row r="307" spans="1:5" x14ac:dyDescent="0.3">
      <c r="A307" s="219"/>
      <c r="B307" s="90"/>
      <c r="C307" s="78" t="s">
        <v>1404</v>
      </c>
      <c r="D307" s="78" t="s">
        <v>819</v>
      </c>
      <c r="E307" s="78" t="s">
        <v>1481</v>
      </c>
    </row>
    <row r="311" spans="1:5" x14ac:dyDescent="0.3">
      <c r="A311" s="267" t="s">
        <v>2657</v>
      </c>
      <c r="B311" s="134" t="s">
        <v>3</v>
      </c>
      <c r="C311" s="134" t="s">
        <v>4</v>
      </c>
      <c r="D311" s="134" t="s">
        <v>1582</v>
      </c>
      <c r="E311" s="134"/>
    </row>
    <row r="312" spans="1:5" x14ac:dyDescent="0.3">
      <c r="A312" s="218">
        <v>92</v>
      </c>
      <c r="B312" s="78">
        <v>161</v>
      </c>
      <c r="C312" s="78" t="s">
        <v>1060</v>
      </c>
      <c r="D312" s="78" t="s">
        <v>1642</v>
      </c>
      <c r="E312" s="78" t="s">
        <v>1492</v>
      </c>
    </row>
    <row r="313" spans="1:5" x14ac:dyDescent="0.3">
      <c r="A313" s="218">
        <v>95</v>
      </c>
      <c r="B313" s="78">
        <v>165</v>
      </c>
      <c r="C313" s="78" t="s">
        <v>1080</v>
      </c>
      <c r="D313" s="78" t="s">
        <v>1082</v>
      </c>
      <c r="E313" s="78" t="s">
        <v>1513</v>
      </c>
    </row>
    <row r="314" spans="1:5" x14ac:dyDescent="0.3">
      <c r="A314" s="218">
        <v>96</v>
      </c>
      <c r="B314" s="78">
        <v>166</v>
      </c>
      <c r="C314" s="78" t="s">
        <v>1087</v>
      </c>
      <c r="D314" s="78" t="s">
        <v>1089</v>
      </c>
      <c r="E314" s="78" t="s">
        <v>1513</v>
      </c>
    </row>
    <row r="315" spans="1:5" x14ac:dyDescent="0.3">
      <c r="A315" s="218">
        <v>98</v>
      </c>
      <c r="B315" s="78">
        <v>170</v>
      </c>
      <c r="C315" s="78" t="s">
        <v>1100</v>
      </c>
      <c r="D315" s="78" t="s">
        <v>1102</v>
      </c>
      <c r="E315" s="78" t="s">
        <v>1481</v>
      </c>
    </row>
    <row r="319" spans="1:5" x14ac:dyDescent="0.3">
      <c r="A319" s="267" t="s">
        <v>2657</v>
      </c>
      <c r="B319" s="134" t="s">
        <v>3</v>
      </c>
      <c r="C319" s="134" t="s">
        <v>4</v>
      </c>
      <c r="D319" s="134" t="s">
        <v>1771</v>
      </c>
      <c r="E319" s="134"/>
    </row>
    <row r="320" spans="1:5" x14ac:dyDescent="0.3">
      <c r="A320" s="219"/>
      <c r="B320" s="78">
        <v>40</v>
      </c>
      <c r="C320" s="78" t="s">
        <v>327</v>
      </c>
      <c r="D320" s="78" t="s">
        <v>331</v>
      </c>
      <c r="E320" s="78" t="s">
        <v>1481</v>
      </c>
    </row>
    <row r="321" spans="1:5" x14ac:dyDescent="0.3">
      <c r="A321" s="219"/>
      <c r="B321" s="78">
        <v>41</v>
      </c>
      <c r="C321" s="78" t="s">
        <v>337</v>
      </c>
      <c r="D321" s="78" t="s">
        <v>341</v>
      </c>
      <c r="E321" s="78" t="s">
        <v>1481</v>
      </c>
    </row>
    <row r="322" spans="1:5" x14ac:dyDescent="0.3">
      <c r="A322" s="218">
        <v>53</v>
      </c>
      <c r="B322" s="78">
        <v>94</v>
      </c>
      <c r="C322" s="78" t="s">
        <v>712</v>
      </c>
      <c r="D322" s="78" t="s">
        <v>715</v>
      </c>
      <c r="E322" s="78" t="s">
        <v>1481</v>
      </c>
    </row>
    <row r="323" spans="1:5" x14ac:dyDescent="0.3">
      <c r="A323" s="218">
        <v>54</v>
      </c>
      <c r="B323" s="78">
        <v>95</v>
      </c>
      <c r="C323" s="78" t="s">
        <v>719</v>
      </c>
      <c r="D323" s="78" t="s">
        <v>722</v>
      </c>
      <c r="E323" s="78" t="s">
        <v>1481</v>
      </c>
    </row>
    <row r="324" spans="1:5" x14ac:dyDescent="0.3">
      <c r="A324" s="218">
        <v>55</v>
      </c>
      <c r="B324" s="78">
        <v>97</v>
      </c>
      <c r="C324" s="78" t="s">
        <v>732</v>
      </c>
      <c r="D324" s="78" t="s">
        <v>341</v>
      </c>
      <c r="E324" s="78" t="s">
        <v>1481</v>
      </c>
    </row>
    <row r="325" spans="1:5" x14ac:dyDescent="0.3">
      <c r="A325" s="218">
        <v>56</v>
      </c>
      <c r="B325" s="78">
        <v>98</v>
      </c>
      <c r="C325" s="78" t="s">
        <v>738</v>
      </c>
      <c r="D325" s="78" t="s">
        <v>331</v>
      </c>
      <c r="E325" s="78" t="s">
        <v>1481</v>
      </c>
    </row>
    <row r="326" spans="1:5" x14ac:dyDescent="0.3">
      <c r="A326" s="218">
        <v>74</v>
      </c>
      <c r="B326" s="78">
        <v>126</v>
      </c>
      <c r="C326" s="78" t="s">
        <v>888</v>
      </c>
      <c r="D326" s="78" t="s">
        <v>893</v>
      </c>
      <c r="E326" s="78" t="s">
        <v>1513</v>
      </c>
    </row>
    <row r="327" spans="1:5" x14ac:dyDescent="0.3">
      <c r="A327" s="218">
        <v>80</v>
      </c>
      <c r="B327" s="78">
        <v>140</v>
      </c>
      <c r="C327" s="78" t="s">
        <v>964</v>
      </c>
      <c r="D327" s="78" t="s">
        <v>893</v>
      </c>
      <c r="E327" s="78" t="s">
        <v>1513</v>
      </c>
    </row>
    <row r="328" spans="1:5" x14ac:dyDescent="0.3">
      <c r="A328" s="219"/>
      <c r="B328" s="90"/>
      <c r="C328" s="78" t="s">
        <v>1237</v>
      </c>
      <c r="D328" s="78" t="s">
        <v>331</v>
      </c>
      <c r="E328" s="78" t="s">
        <v>1481</v>
      </c>
    </row>
    <row r="329" spans="1:5" x14ac:dyDescent="0.3">
      <c r="A329" s="219"/>
      <c r="B329" s="90"/>
      <c r="C329" s="78" t="s">
        <v>1241</v>
      </c>
      <c r="D329" s="78" t="s">
        <v>341</v>
      </c>
      <c r="E329" s="78" t="s">
        <v>1481</v>
      </c>
    </row>
    <row r="333" spans="1:5" x14ac:dyDescent="0.3">
      <c r="A333" s="267" t="s">
        <v>2657</v>
      </c>
      <c r="B333" s="134" t="s">
        <v>3</v>
      </c>
      <c r="C333" s="134" t="s">
        <v>4</v>
      </c>
      <c r="D333" s="134" t="s">
        <v>1980</v>
      </c>
      <c r="E333" s="134"/>
    </row>
    <row r="334" spans="1:5" x14ac:dyDescent="0.3">
      <c r="A334" s="218">
        <v>34</v>
      </c>
      <c r="B334" s="78">
        <v>54</v>
      </c>
      <c r="C334" s="78" t="s">
        <v>443</v>
      </c>
      <c r="D334" s="78" t="s">
        <v>449</v>
      </c>
      <c r="E334" s="78" t="s">
        <v>1513</v>
      </c>
    </row>
    <row r="335" spans="1:5" x14ac:dyDescent="0.3">
      <c r="A335" s="218">
        <v>41</v>
      </c>
      <c r="B335" s="78">
        <v>63</v>
      </c>
      <c r="C335" s="78" t="s">
        <v>481</v>
      </c>
      <c r="D335" s="78" t="s">
        <v>484</v>
      </c>
      <c r="E335" s="78" t="s">
        <v>1481</v>
      </c>
    </row>
    <row r="336" spans="1:5" x14ac:dyDescent="0.3">
      <c r="A336" s="218">
        <v>42</v>
      </c>
      <c r="B336" s="78">
        <v>64</v>
      </c>
      <c r="C336" s="78" t="s">
        <v>490</v>
      </c>
      <c r="D336" s="78" t="s">
        <v>493</v>
      </c>
      <c r="E336" s="78" t="s">
        <v>1481</v>
      </c>
    </row>
    <row r="337" spans="1:5" x14ac:dyDescent="0.3">
      <c r="A337" s="218">
        <v>43</v>
      </c>
      <c r="B337" s="78">
        <v>65</v>
      </c>
      <c r="C337" s="78" t="s">
        <v>498</v>
      </c>
      <c r="D337" s="78" t="s">
        <v>502</v>
      </c>
      <c r="E337" s="78" t="s">
        <v>1481</v>
      </c>
    </row>
    <row r="338" spans="1:5" x14ac:dyDescent="0.3">
      <c r="A338" s="218">
        <v>44</v>
      </c>
      <c r="B338" s="78">
        <v>66</v>
      </c>
      <c r="C338" s="78" t="s">
        <v>506</v>
      </c>
      <c r="D338" s="78" t="s">
        <v>2331</v>
      </c>
      <c r="E338" s="78" t="s">
        <v>1481</v>
      </c>
    </row>
    <row r="339" spans="1:5" x14ac:dyDescent="0.3">
      <c r="A339" s="218">
        <v>45</v>
      </c>
      <c r="B339" s="78">
        <v>68</v>
      </c>
      <c r="C339" s="78" t="s">
        <v>524</v>
      </c>
      <c r="D339" s="78" t="s">
        <v>484</v>
      </c>
      <c r="E339" s="78" t="s">
        <v>1481</v>
      </c>
    </row>
    <row r="340" spans="1:5" x14ac:dyDescent="0.3">
      <c r="A340" s="218">
        <v>80</v>
      </c>
      <c r="B340" s="78">
        <v>140</v>
      </c>
      <c r="C340" s="78" t="s">
        <v>964</v>
      </c>
      <c r="D340" s="78" t="s">
        <v>484</v>
      </c>
      <c r="E340" s="78" t="s">
        <v>1481</v>
      </c>
    </row>
    <row r="341" spans="1:5" x14ac:dyDescent="0.3">
      <c r="A341" s="218">
        <v>81</v>
      </c>
      <c r="B341" s="78">
        <v>141</v>
      </c>
      <c r="C341" s="78" t="s">
        <v>970</v>
      </c>
      <c r="D341" s="78" t="s">
        <v>493</v>
      </c>
      <c r="E341" s="78" t="s">
        <v>1481</v>
      </c>
    </row>
    <row r="342" spans="1:5" x14ac:dyDescent="0.3">
      <c r="A342" s="218">
        <v>95</v>
      </c>
      <c r="B342" s="78">
        <v>165</v>
      </c>
      <c r="C342" s="78" t="s">
        <v>1080</v>
      </c>
      <c r="D342" s="78" t="s">
        <v>449</v>
      </c>
      <c r="E342" s="78" t="s">
        <v>1513</v>
      </c>
    </row>
    <row r="343" spans="1:5" x14ac:dyDescent="0.3">
      <c r="A343" s="219"/>
      <c r="B343" s="78">
        <v>96</v>
      </c>
      <c r="C343" s="78" t="s">
        <v>727</v>
      </c>
      <c r="D343" s="78" t="s">
        <v>484</v>
      </c>
      <c r="E343" s="78" t="s">
        <v>1481</v>
      </c>
    </row>
    <row r="344" spans="1:5" x14ac:dyDescent="0.3">
      <c r="A344" s="219"/>
      <c r="B344" s="78">
        <v>99</v>
      </c>
      <c r="C344" s="78" t="s">
        <v>744</v>
      </c>
      <c r="D344" s="78" t="s">
        <v>493</v>
      </c>
      <c r="E344" s="78" t="s">
        <v>1481</v>
      </c>
    </row>
    <row r="345" spans="1:5" x14ac:dyDescent="0.3">
      <c r="A345" s="219"/>
      <c r="B345" s="90"/>
      <c r="C345" s="78" t="s">
        <v>1185</v>
      </c>
      <c r="D345" s="78" t="s">
        <v>484</v>
      </c>
      <c r="E345" s="78" t="s">
        <v>1481</v>
      </c>
    </row>
    <row r="346" spans="1:5" x14ac:dyDescent="0.3">
      <c r="A346" s="219"/>
      <c r="B346" s="90"/>
      <c r="C346" s="78" t="s">
        <v>1189</v>
      </c>
      <c r="D346" s="78" t="s">
        <v>493</v>
      </c>
      <c r="E346" s="78" t="s">
        <v>1481</v>
      </c>
    </row>
    <row r="350" spans="1:5" x14ac:dyDescent="0.3">
      <c r="A350" s="267" t="s">
        <v>2657</v>
      </c>
      <c r="B350" s="134" t="s">
        <v>3</v>
      </c>
      <c r="C350" s="134" t="s">
        <v>4</v>
      </c>
      <c r="D350" s="134" t="s">
        <v>2312</v>
      </c>
      <c r="E350" s="134"/>
    </row>
    <row r="351" spans="1:5" x14ac:dyDescent="0.3">
      <c r="A351" s="218">
        <v>15</v>
      </c>
      <c r="B351" s="78">
        <v>23</v>
      </c>
      <c r="C351" s="78" t="s">
        <v>208</v>
      </c>
      <c r="D351" s="78" t="s">
        <v>209</v>
      </c>
      <c r="E351" s="78" t="s">
        <v>1513</v>
      </c>
    </row>
    <row r="352" spans="1:5" x14ac:dyDescent="0.3">
      <c r="A352" s="218">
        <v>17</v>
      </c>
      <c r="B352" s="78">
        <v>25</v>
      </c>
      <c r="C352" s="78" t="s">
        <v>212</v>
      </c>
      <c r="D352" s="78" t="s">
        <v>213</v>
      </c>
      <c r="E352" s="78" t="s">
        <v>1492</v>
      </c>
    </row>
    <row r="356" spans="1:5" x14ac:dyDescent="0.3">
      <c r="A356" s="267" t="s">
        <v>2657</v>
      </c>
      <c r="B356" s="134" t="s">
        <v>3</v>
      </c>
      <c r="C356" s="134" t="s">
        <v>4</v>
      </c>
      <c r="D356" s="134" t="s">
        <v>2174</v>
      </c>
      <c r="E356" s="134"/>
    </row>
    <row r="357" spans="1:5" x14ac:dyDescent="0.3">
      <c r="A357" s="218">
        <v>7</v>
      </c>
      <c r="B357" s="78">
        <v>11</v>
      </c>
      <c r="C357" s="78" t="s">
        <v>147</v>
      </c>
      <c r="D357" s="78" t="s">
        <v>2173</v>
      </c>
      <c r="E357" s="78" t="s">
        <v>1492</v>
      </c>
    </row>
    <row r="358" spans="1:5" x14ac:dyDescent="0.3">
      <c r="A358" s="218">
        <v>86</v>
      </c>
      <c r="B358" s="78">
        <v>150</v>
      </c>
      <c r="C358" s="78" t="s">
        <v>1010</v>
      </c>
      <c r="D358" s="78" t="s">
        <v>206</v>
      </c>
      <c r="E358" s="78" t="s">
        <v>1485</v>
      </c>
    </row>
    <row r="359" spans="1:5" x14ac:dyDescent="0.3">
      <c r="A359" s="218">
        <v>24</v>
      </c>
      <c r="B359" s="78">
        <v>37</v>
      </c>
      <c r="C359" s="78" t="s">
        <v>318</v>
      </c>
      <c r="D359" s="78" t="s">
        <v>206</v>
      </c>
      <c r="E359" s="78" t="s">
        <v>1485</v>
      </c>
    </row>
    <row r="360" spans="1:5" x14ac:dyDescent="0.3">
      <c r="A360" s="219"/>
      <c r="B360" s="78">
        <v>127</v>
      </c>
      <c r="C360" s="78" t="s">
        <v>895</v>
      </c>
      <c r="D360" s="78" t="s">
        <v>206</v>
      </c>
      <c r="E360" s="78" t="s">
        <v>1485</v>
      </c>
    </row>
    <row r="361" spans="1:5" x14ac:dyDescent="0.3">
      <c r="A361" s="218">
        <v>38</v>
      </c>
      <c r="B361" s="78">
        <v>58</v>
      </c>
      <c r="C361" s="78" t="s">
        <v>466</v>
      </c>
      <c r="D361" s="78" t="s">
        <v>206</v>
      </c>
      <c r="E361" s="78" t="s">
        <v>1485</v>
      </c>
    </row>
    <row r="362" spans="1:5" x14ac:dyDescent="0.3">
      <c r="A362" s="218">
        <v>16</v>
      </c>
      <c r="B362" s="78">
        <v>24</v>
      </c>
      <c r="C362" s="78" t="s">
        <v>211</v>
      </c>
      <c r="D362" s="78" t="s">
        <v>206</v>
      </c>
      <c r="E362" s="78" t="s">
        <v>1485</v>
      </c>
    </row>
    <row r="363" spans="1:5" x14ac:dyDescent="0.3">
      <c r="A363" s="218">
        <v>61</v>
      </c>
      <c r="B363" s="78">
        <v>107</v>
      </c>
      <c r="C363" s="78" t="s">
        <v>781</v>
      </c>
      <c r="D363" s="78" t="s">
        <v>206</v>
      </c>
      <c r="E363" s="78" t="s">
        <v>1485</v>
      </c>
    </row>
    <row r="364" spans="1:5" x14ac:dyDescent="0.3">
      <c r="A364" s="219"/>
      <c r="B364" s="78">
        <v>168</v>
      </c>
      <c r="C364" s="78" t="s">
        <v>1099</v>
      </c>
      <c r="D364" s="78" t="s">
        <v>206</v>
      </c>
      <c r="E364" s="78" t="s">
        <v>1485</v>
      </c>
    </row>
    <row r="365" spans="1:5" x14ac:dyDescent="0.3">
      <c r="A365" s="218">
        <v>14</v>
      </c>
      <c r="B365" s="78">
        <v>22</v>
      </c>
      <c r="C365" s="78" t="s">
        <v>205</v>
      </c>
      <c r="D365" s="78" t="s">
        <v>206</v>
      </c>
      <c r="E365" s="78" t="s">
        <v>1485</v>
      </c>
    </row>
    <row r="366" spans="1:5" x14ac:dyDescent="0.3">
      <c r="A366" s="219"/>
      <c r="B366" s="78">
        <v>78</v>
      </c>
      <c r="C366" s="78" t="s">
        <v>602</v>
      </c>
      <c r="D366" s="78" t="s">
        <v>206</v>
      </c>
      <c r="E366" s="78" t="s">
        <v>1485</v>
      </c>
    </row>
    <row r="367" spans="1:5" x14ac:dyDescent="0.3">
      <c r="A367" s="218">
        <v>37</v>
      </c>
      <c r="B367" s="78">
        <v>77</v>
      </c>
      <c r="C367" s="78" t="s">
        <v>601</v>
      </c>
      <c r="D367" s="78" t="s">
        <v>320</v>
      </c>
      <c r="E367" s="78" t="s">
        <v>1485</v>
      </c>
    </row>
    <row r="368" spans="1:5" x14ac:dyDescent="0.3">
      <c r="A368" s="218">
        <v>87</v>
      </c>
      <c r="B368" s="78">
        <v>151</v>
      </c>
      <c r="C368" s="78" t="s">
        <v>1011</v>
      </c>
      <c r="D368" s="78" t="s">
        <v>195</v>
      </c>
      <c r="E368" s="78" t="s">
        <v>1485</v>
      </c>
    </row>
    <row r="369" spans="1:5" x14ac:dyDescent="0.3">
      <c r="A369" s="219"/>
      <c r="B369" s="78">
        <v>148</v>
      </c>
      <c r="C369" s="78" t="s">
        <v>1008</v>
      </c>
      <c r="D369" s="78" t="s">
        <v>201</v>
      </c>
      <c r="E369" s="78" t="s">
        <v>1485</v>
      </c>
    </row>
    <row r="370" spans="1:5" x14ac:dyDescent="0.3">
      <c r="A370" s="218">
        <v>59</v>
      </c>
      <c r="B370" s="78">
        <v>105</v>
      </c>
      <c r="C370" s="78" t="s">
        <v>779</v>
      </c>
      <c r="D370" s="78" t="s">
        <v>201</v>
      </c>
      <c r="E370" s="78" t="s">
        <v>1485</v>
      </c>
    </row>
    <row r="371" spans="1:5" x14ac:dyDescent="0.3">
      <c r="A371" s="218">
        <v>12</v>
      </c>
      <c r="B371" s="78">
        <v>20</v>
      </c>
      <c r="C371" s="78" t="s">
        <v>200</v>
      </c>
      <c r="D371" s="78" t="s">
        <v>201</v>
      </c>
      <c r="E371" s="78" t="s">
        <v>1485</v>
      </c>
    </row>
    <row r="372" spans="1:5" x14ac:dyDescent="0.3">
      <c r="A372" s="218">
        <v>10</v>
      </c>
      <c r="B372" s="78">
        <v>18</v>
      </c>
      <c r="C372" s="78" t="s">
        <v>194</v>
      </c>
      <c r="D372" s="78" t="s">
        <v>195</v>
      </c>
      <c r="E372" s="78" t="s">
        <v>1485</v>
      </c>
    </row>
    <row r="373" spans="1:5" x14ac:dyDescent="0.3">
      <c r="A373" s="218">
        <v>13</v>
      </c>
      <c r="B373" s="78">
        <v>21</v>
      </c>
      <c r="C373" s="78" t="s">
        <v>203</v>
      </c>
      <c r="D373" s="78" t="s">
        <v>204</v>
      </c>
      <c r="E373" s="78" t="s">
        <v>1485</v>
      </c>
    </row>
    <row r="374" spans="1:5" x14ac:dyDescent="0.3">
      <c r="A374" s="218">
        <v>11</v>
      </c>
      <c r="B374" s="78">
        <v>19</v>
      </c>
      <c r="C374" s="78" t="s">
        <v>197</v>
      </c>
      <c r="D374" s="78" t="s">
        <v>198</v>
      </c>
      <c r="E374" s="78" t="s">
        <v>1485</v>
      </c>
    </row>
    <row r="375" spans="1:5" x14ac:dyDescent="0.3">
      <c r="A375" s="218">
        <v>25</v>
      </c>
      <c r="B375" s="78">
        <v>57</v>
      </c>
      <c r="C375" s="78" t="s">
        <v>465</v>
      </c>
      <c r="D375" s="78" t="s">
        <v>320</v>
      </c>
      <c r="E375" s="78" t="s">
        <v>1485</v>
      </c>
    </row>
    <row r="376" spans="1:5" x14ac:dyDescent="0.3">
      <c r="A376" s="218">
        <v>60</v>
      </c>
      <c r="B376" s="78">
        <v>106</v>
      </c>
      <c r="C376" s="78" t="s">
        <v>780</v>
      </c>
      <c r="D376" s="78" t="s">
        <v>204</v>
      </c>
      <c r="E376" s="78" t="s">
        <v>1485</v>
      </c>
    </row>
    <row r="377" spans="1:5" x14ac:dyDescent="0.3">
      <c r="A377" s="219"/>
      <c r="B377" s="78">
        <v>128</v>
      </c>
      <c r="C377" s="78" t="s">
        <v>896</v>
      </c>
      <c r="D377" s="78" t="s">
        <v>195</v>
      </c>
      <c r="E377" s="78" t="s">
        <v>1485</v>
      </c>
    </row>
    <row r="378" spans="1:5" x14ac:dyDescent="0.3">
      <c r="A378" s="219"/>
      <c r="B378" s="90"/>
      <c r="C378" s="78" t="s">
        <v>1434</v>
      </c>
      <c r="D378" s="78" t="s">
        <v>195</v>
      </c>
      <c r="E378" s="78" t="s">
        <v>1485</v>
      </c>
    </row>
    <row r="379" spans="1:5" x14ac:dyDescent="0.3">
      <c r="A379" s="219"/>
      <c r="B379" s="78">
        <v>60</v>
      </c>
      <c r="C379" s="78" t="s">
        <v>468</v>
      </c>
      <c r="D379" s="78" t="s">
        <v>201</v>
      </c>
      <c r="E379" s="78" t="s">
        <v>1485</v>
      </c>
    </row>
    <row r="380" spans="1:5" x14ac:dyDescent="0.3">
      <c r="A380" s="219"/>
      <c r="B380" s="90"/>
      <c r="C380" s="78" t="s">
        <v>1435</v>
      </c>
      <c r="D380" s="78" t="s">
        <v>195</v>
      </c>
      <c r="E380" s="78" t="s">
        <v>1485</v>
      </c>
    </row>
    <row r="381" spans="1:5" x14ac:dyDescent="0.3">
      <c r="A381" s="218">
        <v>62</v>
      </c>
      <c r="B381" s="78">
        <v>108</v>
      </c>
      <c r="C381" s="90"/>
      <c r="D381" s="78" t="s">
        <v>195</v>
      </c>
      <c r="E381" s="78" t="s">
        <v>1485</v>
      </c>
    </row>
    <row r="382" spans="1:5" x14ac:dyDescent="0.3">
      <c r="A382" s="219"/>
      <c r="B382" s="78">
        <v>169</v>
      </c>
      <c r="C382" s="90"/>
      <c r="D382" s="78" t="s">
        <v>195</v>
      </c>
      <c r="E382" s="78" t="s">
        <v>1485</v>
      </c>
    </row>
    <row r="383" spans="1:5" x14ac:dyDescent="0.3">
      <c r="A383" s="219"/>
      <c r="B383" s="90"/>
      <c r="C383" s="78" t="s">
        <v>1436</v>
      </c>
      <c r="D383" s="78" t="s">
        <v>206</v>
      </c>
      <c r="E383" s="78" t="s">
        <v>1485</v>
      </c>
    </row>
    <row r="384" spans="1:5" x14ac:dyDescent="0.3">
      <c r="A384" s="219"/>
      <c r="B384" s="78">
        <v>149</v>
      </c>
      <c r="C384" s="78" t="s">
        <v>1009</v>
      </c>
      <c r="D384" s="78" t="s">
        <v>204</v>
      </c>
      <c r="E384" s="78" t="s">
        <v>1485</v>
      </c>
    </row>
    <row r="385" spans="1:5" x14ac:dyDescent="0.3">
      <c r="A385" s="219"/>
      <c r="B385" s="78">
        <v>59</v>
      </c>
      <c r="C385" s="78" t="s">
        <v>467</v>
      </c>
      <c r="D385" s="78" t="s">
        <v>204</v>
      </c>
      <c r="E385" s="78" t="s">
        <v>1485</v>
      </c>
    </row>
    <row r="386" spans="1:5" x14ac:dyDescent="0.3">
      <c r="A386" s="219"/>
      <c r="B386" s="90"/>
      <c r="C386" s="78" t="s">
        <v>1437</v>
      </c>
      <c r="D386" s="78" t="s">
        <v>206</v>
      </c>
      <c r="E386" s="78" t="s">
        <v>1485</v>
      </c>
    </row>
    <row r="387" spans="1:5" x14ac:dyDescent="0.3">
      <c r="A387" s="219"/>
      <c r="B387" s="78">
        <v>38</v>
      </c>
      <c r="C387" s="78" t="s">
        <v>319</v>
      </c>
      <c r="D387" s="78" t="s">
        <v>320</v>
      </c>
      <c r="E387" s="78" t="s">
        <v>1485</v>
      </c>
    </row>
    <row r="388" spans="1:5" x14ac:dyDescent="0.3">
      <c r="A388" s="219"/>
      <c r="B388" s="90"/>
      <c r="C388" s="78" t="s">
        <v>1438</v>
      </c>
      <c r="D388" s="78" t="s">
        <v>206</v>
      </c>
      <c r="E388" s="78" t="s">
        <v>1485</v>
      </c>
    </row>
    <row r="389" spans="1:5" x14ac:dyDescent="0.3">
      <c r="A389" s="219"/>
      <c r="B389" s="90"/>
      <c r="C389" s="78" t="s">
        <v>1439</v>
      </c>
      <c r="D389" s="78" t="s">
        <v>206</v>
      </c>
      <c r="E389" s="78" t="s">
        <v>1485</v>
      </c>
    </row>
    <row r="390" spans="1:5" x14ac:dyDescent="0.3">
      <c r="A390" s="219"/>
      <c r="B390" s="90"/>
      <c r="C390" s="78" t="s">
        <v>1440</v>
      </c>
      <c r="D390" s="78" t="s">
        <v>206</v>
      </c>
      <c r="E390" s="78" t="s">
        <v>1485</v>
      </c>
    </row>
    <row r="391" spans="1:5" x14ac:dyDescent="0.3">
      <c r="A391" s="219"/>
      <c r="B391" s="90"/>
      <c r="C391" s="78" t="s">
        <v>1441</v>
      </c>
      <c r="D391" s="78" t="s">
        <v>206</v>
      </c>
      <c r="E391" s="78" t="s">
        <v>1485</v>
      </c>
    </row>
    <row r="392" spans="1:5" x14ac:dyDescent="0.3">
      <c r="A392" s="219"/>
      <c r="B392" s="90"/>
      <c r="C392" s="78" t="s">
        <v>1442</v>
      </c>
      <c r="D392" s="78" t="s">
        <v>206</v>
      </c>
      <c r="E392" s="78" t="s">
        <v>1485</v>
      </c>
    </row>
    <row r="393" spans="1:5" x14ac:dyDescent="0.3">
      <c r="A393" s="219"/>
      <c r="B393" s="90"/>
      <c r="C393" s="78" t="s">
        <v>1443</v>
      </c>
      <c r="D393" s="78" t="s">
        <v>206</v>
      </c>
      <c r="E393" s="78" t="s">
        <v>1485</v>
      </c>
    </row>
    <row r="394" spans="1:5" x14ac:dyDescent="0.3">
      <c r="A394" s="219"/>
      <c r="B394" s="90"/>
      <c r="C394" s="78" t="s">
        <v>1444</v>
      </c>
      <c r="D394" s="78" t="s">
        <v>206</v>
      </c>
      <c r="E394" s="78" t="s">
        <v>1485</v>
      </c>
    </row>
    <row r="398" spans="1:5" x14ac:dyDescent="0.3">
      <c r="A398" s="267" t="s">
        <v>2657</v>
      </c>
      <c r="B398" s="134" t="s">
        <v>3</v>
      </c>
      <c r="C398" s="134" t="s">
        <v>4</v>
      </c>
      <c r="D398" s="134" t="s">
        <v>2332</v>
      </c>
      <c r="E398" s="134"/>
    </row>
    <row r="402" spans="1:5" x14ac:dyDescent="0.3">
      <c r="A402" s="267" t="s">
        <v>2657</v>
      </c>
      <c r="B402" s="134" t="s">
        <v>3</v>
      </c>
      <c r="C402" s="134" t="s">
        <v>4</v>
      </c>
      <c r="D402" s="134" t="s">
        <v>2333</v>
      </c>
      <c r="E402" s="134"/>
    </row>
    <row r="406" spans="1:5" x14ac:dyDescent="0.3">
      <c r="A406" s="267" t="s">
        <v>2657</v>
      </c>
      <c r="B406" s="134" t="s">
        <v>3</v>
      </c>
      <c r="C406" s="134" t="s">
        <v>4</v>
      </c>
      <c r="D406" s="134" t="s">
        <v>1591</v>
      </c>
      <c r="E406" s="134"/>
    </row>
    <row r="407" spans="1:5" x14ac:dyDescent="0.3">
      <c r="A407" s="218">
        <v>6</v>
      </c>
      <c r="B407" s="78">
        <v>10</v>
      </c>
      <c r="C407" s="78" t="s">
        <v>135</v>
      </c>
      <c r="D407" s="78" t="s">
        <v>141</v>
      </c>
      <c r="E407" s="78" t="s">
        <v>1492</v>
      </c>
    </row>
    <row r="408" spans="1:5" x14ac:dyDescent="0.3">
      <c r="A408" s="219"/>
      <c r="B408" s="78">
        <v>40</v>
      </c>
      <c r="C408" s="78" t="s">
        <v>327</v>
      </c>
      <c r="D408" s="78" t="s">
        <v>333</v>
      </c>
      <c r="E408" s="78" t="s">
        <v>1492</v>
      </c>
    </row>
    <row r="409" spans="1:5" x14ac:dyDescent="0.3">
      <c r="A409" s="218">
        <v>27</v>
      </c>
      <c r="B409" s="78">
        <v>47</v>
      </c>
      <c r="C409" s="78" t="s">
        <v>388</v>
      </c>
      <c r="D409" s="78" t="s">
        <v>333</v>
      </c>
      <c r="E409" s="78" t="s">
        <v>1492</v>
      </c>
    </row>
    <row r="410" spans="1:5" x14ac:dyDescent="0.3">
      <c r="A410" s="218">
        <v>36</v>
      </c>
      <c r="B410" s="78">
        <v>56</v>
      </c>
      <c r="C410" s="78" t="s">
        <v>458</v>
      </c>
      <c r="D410" s="78" t="s">
        <v>333</v>
      </c>
      <c r="E410" s="78" t="s">
        <v>1492</v>
      </c>
    </row>
    <row r="411" spans="1:5" x14ac:dyDescent="0.3">
      <c r="A411" s="218">
        <v>70</v>
      </c>
      <c r="B411" s="78">
        <v>120</v>
      </c>
      <c r="C411" s="78" t="s">
        <v>848</v>
      </c>
      <c r="D411" s="78" t="s">
        <v>2083</v>
      </c>
      <c r="E411" s="78" t="s">
        <v>1513</v>
      </c>
    </row>
    <row r="412" spans="1:5" x14ac:dyDescent="0.3">
      <c r="A412" s="218">
        <v>90</v>
      </c>
      <c r="B412" s="78">
        <v>159</v>
      </c>
      <c r="C412" s="78" t="s">
        <v>1048</v>
      </c>
      <c r="D412" s="78" t="s">
        <v>141</v>
      </c>
      <c r="E412" s="78" t="s">
        <v>1492</v>
      </c>
    </row>
    <row r="413" spans="1:5" x14ac:dyDescent="0.3">
      <c r="A413" s="218">
        <v>97</v>
      </c>
      <c r="B413" s="78">
        <v>167</v>
      </c>
      <c r="C413" s="78" t="s">
        <v>1093</v>
      </c>
      <c r="D413" s="78" t="s">
        <v>1095</v>
      </c>
      <c r="E413" s="78" t="s">
        <v>1481</v>
      </c>
    </row>
    <row r="417" spans="1:5" x14ac:dyDescent="0.3">
      <c r="A417" s="267" t="s">
        <v>2657</v>
      </c>
      <c r="B417" s="134" t="s">
        <v>3</v>
      </c>
      <c r="C417" s="134" t="s">
        <v>4</v>
      </c>
      <c r="D417" s="134" t="s">
        <v>1505</v>
      </c>
      <c r="E417" s="134"/>
    </row>
    <row r="418" spans="1:5" x14ac:dyDescent="0.3">
      <c r="A418" s="219"/>
      <c r="B418" s="78">
        <v>13</v>
      </c>
      <c r="C418" s="78" t="s">
        <v>163</v>
      </c>
      <c r="D418" s="78" t="s">
        <v>166</v>
      </c>
      <c r="E418" s="78" t="s">
        <v>1481</v>
      </c>
    </row>
    <row r="419" spans="1:5" x14ac:dyDescent="0.3">
      <c r="A419" s="218">
        <v>21</v>
      </c>
      <c r="B419" s="78">
        <v>34</v>
      </c>
      <c r="C419" s="78" t="s">
        <v>285</v>
      </c>
      <c r="D419" s="78" t="s">
        <v>289</v>
      </c>
      <c r="E419" s="78" t="s">
        <v>1481</v>
      </c>
    </row>
    <row r="420" spans="1:5" x14ac:dyDescent="0.3">
      <c r="A420" s="218">
        <v>22</v>
      </c>
      <c r="B420" s="78">
        <v>35</v>
      </c>
      <c r="C420" s="78" t="s">
        <v>294</v>
      </c>
      <c r="D420" s="78" t="s">
        <v>299</v>
      </c>
      <c r="E420" s="78" t="s">
        <v>1481</v>
      </c>
    </row>
    <row r="421" spans="1:5" x14ac:dyDescent="0.3">
      <c r="A421" s="218">
        <v>27</v>
      </c>
      <c r="B421" s="78">
        <v>47</v>
      </c>
      <c r="C421" s="78" t="s">
        <v>388</v>
      </c>
      <c r="D421" s="78" t="s">
        <v>2334</v>
      </c>
      <c r="E421" s="78" t="s">
        <v>1481</v>
      </c>
    </row>
    <row r="422" spans="1:5" x14ac:dyDescent="0.3">
      <c r="A422" s="218">
        <v>28</v>
      </c>
      <c r="B422" s="78">
        <v>48</v>
      </c>
      <c r="C422" s="78" t="s">
        <v>395</v>
      </c>
      <c r="D422" s="78" t="s">
        <v>280</v>
      </c>
      <c r="E422" s="78" t="s">
        <v>1481</v>
      </c>
    </row>
    <row r="423" spans="1:5" x14ac:dyDescent="0.3">
      <c r="A423" s="218">
        <v>30</v>
      </c>
      <c r="B423" s="78">
        <v>50</v>
      </c>
      <c r="C423" s="78" t="s">
        <v>408</v>
      </c>
      <c r="D423" s="78" t="s">
        <v>412</v>
      </c>
      <c r="E423" s="78" t="s">
        <v>1481</v>
      </c>
    </row>
    <row r="424" spans="1:5" x14ac:dyDescent="0.3">
      <c r="A424" s="218">
        <v>31</v>
      </c>
      <c r="B424" s="78">
        <v>51</v>
      </c>
      <c r="C424" s="78" t="s">
        <v>418</v>
      </c>
      <c r="D424" s="78" t="s">
        <v>422</v>
      </c>
      <c r="E424" s="78" t="s">
        <v>1481</v>
      </c>
    </row>
    <row r="425" spans="1:5" x14ac:dyDescent="0.3">
      <c r="A425" s="218">
        <v>32</v>
      </c>
      <c r="B425" s="78">
        <v>52</v>
      </c>
      <c r="C425" s="78" t="s">
        <v>427</v>
      </c>
      <c r="D425" s="78" t="s">
        <v>166</v>
      </c>
      <c r="E425" s="78" t="s">
        <v>1481</v>
      </c>
    </row>
    <row r="426" spans="1:5" x14ac:dyDescent="0.3">
      <c r="A426" s="218">
        <v>33</v>
      </c>
      <c r="B426" s="78">
        <v>53</v>
      </c>
      <c r="C426" s="78" t="s">
        <v>436</v>
      </c>
      <c r="D426" s="78" t="s">
        <v>324</v>
      </c>
      <c r="E426" s="78" t="s">
        <v>1481</v>
      </c>
    </row>
    <row r="427" spans="1:5" x14ac:dyDescent="0.3">
      <c r="A427" s="218">
        <v>34</v>
      </c>
      <c r="B427" s="78">
        <v>54</v>
      </c>
      <c r="C427" s="78" t="s">
        <v>443</v>
      </c>
      <c r="D427" s="78" t="s">
        <v>280</v>
      </c>
      <c r="E427" s="78" t="s">
        <v>1481</v>
      </c>
    </row>
    <row r="428" spans="1:5" x14ac:dyDescent="0.3">
      <c r="A428" s="218">
        <v>35</v>
      </c>
      <c r="B428" s="78">
        <v>55</v>
      </c>
      <c r="C428" s="78" t="s">
        <v>451</v>
      </c>
      <c r="D428" s="78" t="s">
        <v>299</v>
      </c>
      <c r="E428" s="78" t="s">
        <v>1481</v>
      </c>
    </row>
    <row r="429" spans="1:5" x14ac:dyDescent="0.3">
      <c r="A429" s="218">
        <v>36</v>
      </c>
      <c r="B429" s="78">
        <v>56</v>
      </c>
      <c r="C429" s="78" t="s">
        <v>458</v>
      </c>
      <c r="D429" s="78" t="s">
        <v>289</v>
      </c>
      <c r="E429" s="78" t="s">
        <v>1481</v>
      </c>
    </row>
    <row r="430" spans="1:5" x14ac:dyDescent="0.3">
      <c r="A430" s="218">
        <v>53</v>
      </c>
      <c r="B430" s="78">
        <v>94</v>
      </c>
      <c r="C430" s="78" t="s">
        <v>712</v>
      </c>
      <c r="D430" s="78" t="s">
        <v>280</v>
      </c>
      <c r="E430" s="78" t="s">
        <v>1481</v>
      </c>
    </row>
    <row r="431" spans="1:5" x14ac:dyDescent="0.3">
      <c r="A431" s="218">
        <v>54</v>
      </c>
      <c r="B431" s="78">
        <v>95</v>
      </c>
      <c r="C431" s="78" t="s">
        <v>719</v>
      </c>
      <c r="D431" s="78" t="s">
        <v>166</v>
      </c>
      <c r="E431" s="78" t="s">
        <v>1481</v>
      </c>
    </row>
    <row r="432" spans="1:5" x14ac:dyDescent="0.3">
      <c r="A432" s="218">
        <v>55</v>
      </c>
      <c r="B432" s="78">
        <v>97</v>
      </c>
      <c r="C432" s="78" t="s">
        <v>732</v>
      </c>
      <c r="D432" s="78" t="s">
        <v>289</v>
      </c>
      <c r="E432" s="78" t="s">
        <v>1481</v>
      </c>
    </row>
    <row r="433" spans="1:5" x14ac:dyDescent="0.3">
      <c r="A433" s="218">
        <v>56</v>
      </c>
      <c r="B433" s="78">
        <v>98</v>
      </c>
      <c r="C433" s="78" t="s">
        <v>738</v>
      </c>
      <c r="D433" s="78" t="s">
        <v>299</v>
      </c>
      <c r="E433" s="78" t="s">
        <v>1481</v>
      </c>
    </row>
    <row r="434" spans="1:5" x14ac:dyDescent="0.3">
      <c r="A434" s="218">
        <v>57</v>
      </c>
      <c r="B434" s="78">
        <v>100</v>
      </c>
      <c r="C434" s="78" t="s">
        <v>751</v>
      </c>
      <c r="D434" s="78" t="s">
        <v>324</v>
      </c>
      <c r="E434" s="78" t="s">
        <v>1481</v>
      </c>
    </row>
    <row r="435" spans="1:5" x14ac:dyDescent="0.3">
      <c r="A435" s="218">
        <v>77</v>
      </c>
      <c r="B435" s="78">
        <v>133</v>
      </c>
      <c r="C435" s="78" t="s">
        <v>921</v>
      </c>
      <c r="D435" s="78" t="s">
        <v>924</v>
      </c>
      <c r="E435" s="78" t="s">
        <v>1481</v>
      </c>
    </row>
    <row r="436" spans="1:5" x14ac:dyDescent="0.3">
      <c r="A436" s="218">
        <v>78</v>
      </c>
      <c r="B436" s="78">
        <v>135</v>
      </c>
      <c r="C436" s="78" t="s">
        <v>932</v>
      </c>
      <c r="D436" s="78" t="s">
        <v>935</v>
      </c>
      <c r="E436" s="78" t="s">
        <v>1481</v>
      </c>
    </row>
    <row r="437" spans="1:5" x14ac:dyDescent="0.3">
      <c r="A437" s="218">
        <v>79</v>
      </c>
      <c r="B437" s="78">
        <v>137</v>
      </c>
      <c r="C437" s="78" t="s">
        <v>945</v>
      </c>
      <c r="D437" s="78" t="s">
        <v>949</v>
      </c>
      <c r="E437" s="78" t="s">
        <v>1481</v>
      </c>
    </row>
    <row r="438" spans="1:5" x14ac:dyDescent="0.3">
      <c r="A438" s="218">
        <v>80</v>
      </c>
      <c r="B438" s="78">
        <v>140</v>
      </c>
      <c r="C438" s="78" t="s">
        <v>964</v>
      </c>
      <c r="D438" s="78" t="s">
        <v>166</v>
      </c>
      <c r="E438" s="78" t="s">
        <v>1481</v>
      </c>
    </row>
    <row r="439" spans="1:5" x14ac:dyDescent="0.3">
      <c r="A439" s="218">
        <v>81</v>
      </c>
      <c r="B439" s="78">
        <v>141</v>
      </c>
      <c r="C439" s="78" t="s">
        <v>970</v>
      </c>
      <c r="D439" s="78" t="s">
        <v>324</v>
      </c>
      <c r="E439" s="78" t="s">
        <v>1481</v>
      </c>
    </row>
    <row r="440" spans="1:5" x14ac:dyDescent="0.3">
      <c r="A440" s="218">
        <v>82</v>
      </c>
      <c r="B440" s="78">
        <v>143</v>
      </c>
      <c r="C440" s="78" t="s">
        <v>980</v>
      </c>
      <c r="D440" s="78" t="s">
        <v>984</v>
      </c>
      <c r="E440" s="78" t="s">
        <v>1481</v>
      </c>
    </row>
    <row r="441" spans="1:5" x14ac:dyDescent="0.3">
      <c r="A441" s="218">
        <v>83</v>
      </c>
      <c r="B441" s="78">
        <v>145</v>
      </c>
      <c r="C441" s="78" t="s">
        <v>992</v>
      </c>
      <c r="D441" s="78" t="s">
        <v>422</v>
      </c>
      <c r="E441" s="78" t="s">
        <v>1481</v>
      </c>
    </row>
    <row r="442" spans="1:5" x14ac:dyDescent="0.3">
      <c r="A442" s="218">
        <v>84</v>
      </c>
      <c r="B442" s="78">
        <v>146</v>
      </c>
      <c r="C442" s="78" t="s">
        <v>998</v>
      </c>
      <c r="D442" s="78" t="s">
        <v>412</v>
      </c>
      <c r="E442" s="78" t="s">
        <v>1481</v>
      </c>
    </row>
    <row r="443" spans="1:5" x14ac:dyDescent="0.3">
      <c r="A443" s="218">
        <v>85</v>
      </c>
      <c r="B443" s="78">
        <v>147</v>
      </c>
      <c r="C443" s="78" t="s">
        <v>1003</v>
      </c>
      <c r="D443" s="78" t="s">
        <v>280</v>
      </c>
      <c r="E443" s="78" t="s">
        <v>1481</v>
      </c>
    </row>
    <row r="444" spans="1:5" x14ac:dyDescent="0.3">
      <c r="A444" s="218">
        <v>93</v>
      </c>
      <c r="B444" s="78">
        <v>162</v>
      </c>
      <c r="C444" s="78" t="s">
        <v>1065</v>
      </c>
      <c r="D444" s="78" t="s">
        <v>299</v>
      </c>
      <c r="E444" s="78" t="s">
        <v>1481</v>
      </c>
    </row>
    <row r="445" spans="1:5" x14ac:dyDescent="0.3">
      <c r="A445" s="218">
        <v>94</v>
      </c>
      <c r="B445" s="78">
        <v>163</v>
      </c>
      <c r="C445" s="78" t="s">
        <v>1070</v>
      </c>
      <c r="D445" s="78" t="s">
        <v>289</v>
      </c>
      <c r="E445" s="78" t="s">
        <v>1481</v>
      </c>
    </row>
    <row r="446" spans="1:5" x14ac:dyDescent="0.3">
      <c r="A446" s="219"/>
      <c r="B446" s="90"/>
      <c r="C446" s="78" t="s">
        <v>1417</v>
      </c>
      <c r="D446" s="78" t="s">
        <v>166</v>
      </c>
      <c r="E446" s="78" t="s">
        <v>1481</v>
      </c>
    </row>
    <row r="447" spans="1:5" x14ac:dyDescent="0.3">
      <c r="A447" s="219"/>
      <c r="B447" s="78">
        <v>33</v>
      </c>
      <c r="C447" s="78" t="s">
        <v>276</v>
      </c>
      <c r="D447" s="78" t="s">
        <v>280</v>
      </c>
      <c r="E447" s="78" t="s">
        <v>1481</v>
      </c>
    </row>
    <row r="448" spans="1:5" x14ac:dyDescent="0.3">
      <c r="A448" s="219"/>
      <c r="B448" s="78">
        <v>39</v>
      </c>
      <c r="C448" s="78" t="s">
        <v>321</v>
      </c>
      <c r="D448" s="78" t="s">
        <v>324</v>
      </c>
      <c r="E448" s="78" t="s">
        <v>1481</v>
      </c>
    </row>
    <row r="449" spans="1:5" x14ac:dyDescent="0.3">
      <c r="A449" s="219"/>
      <c r="B449" s="90"/>
      <c r="C449" s="78" t="s">
        <v>1269</v>
      </c>
      <c r="D449" s="78" t="s">
        <v>166</v>
      </c>
      <c r="E449" s="78" t="s">
        <v>1481</v>
      </c>
    </row>
    <row r="453" spans="1:5" x14ac:dyDescent="0.3">
      <c r="A453" s="267" t="s">
        <v>2657</v>
      </c>
      <c r="B453" s="134" t="s">
        <v>3</v>
      </c>
      <c r="C453" s="134" t="s">
        <v>4</v>
      </c>
      <c r="D453" s="134" t="s">
        <v>1560</v>
      </c>
      <c r="E453" s="134"/>
    </row>
    <row r="454" spans="1:5" x14ac:dyDescent="0.3">
      <c r="A454" s="219"/>
      <c r="B454" s="78">
        <v>13</v>
      </c>
      <c r="C454" s="78" t="s">
        <v>163</v>
      </c>
      <c r="D454" s="78" t="s">
        <v>167</v>
      </c>
      <c r="E454" s="78" t="s">
        <v>1481</v>
      </c>
    </row>
    <row r="455" spans="1:5" x14ac:dyDescent="0.3">
      <c r="A455" s="218">
        <v>58</v>
      </c>
      <c r="B455" s="78">
        <v>102</v>
      </c>
      <c r="C455" s="78" t="s">
        <v>762</v>
      </c>
      <c r="D455" s="78" t="s">
        <v>167</v>
      </c>
      <c r="E455" s="78" t="s">
        <v>1481</v>
      </c>
    </row>
    <row r="456" spans="1:5" x14ac:dyDescent="0.3">
      <c r="A456" s="218">
        <v>63</v>
      </c>
      <c r="B456" s="78">
        <v>110</v>
      </c>
      <c r="C456" s="78" t="s">
        <v>787</v>
      </c>
      <c r="D456" s="78" t="s">
        <v>790</v>
      </c>
      <c r="E456" s="78" t="s">
        <v>1481</v>
      </c>
    </row>
    <row r="457" spans="1:5" x14ac:dyDescent="0.3">
      <c r="A457" s="218">
        <v>64</v>
      </c>
      <c r="B457" s="78">
        <v>112</v>
      </c>
      <c r="C457" s="78" t="s">
        <v>800</v>
      </c>
      <c r="D457" s="78" t="s">
        <v>27</v>
      </c>
      <c r="E457" s="78" t="s">
        <v>1481</v>
      </c>
    </row>
    <row r="458" spans="1:5" x14ac:dyDescent="0.3">
      <c r="A458" s="218">
        <v>65</v>
      </c>
      <c r="B458" s="78">
        <v>113</v>
      </c>
      <c r="C458" s="78" t="s">
        <v>805</v>
      </c>
      <c r="D458" s="78" t="s">
        <v>51</v>
      </c>
      <c r="E458" s="78" t="s">
        <v>1481</v>
      </c>
    </row>
    <row r="459" spans="1:5" x14ac:dyDescent="0.3">
      <c r="A459" s="218">
        <v>66</v>
      </c>
      <c r="B459" s="78">
        <v>114</v>
      </c>
      <c r="C459" s="78" t="s">
        <v>810</v>
      </c>
      <c r="D459" s="78" t="s">
        <v>40</v>
      </c>
      <c r="E459" s="78" t="s">
        <v>1481</v>
      </c>
    </row>
    <row r="460" spans="1:5" x14ac:dyDescent="0.3">
      <c r="A460" s="218">
        <v>69</v>
      </c>
      <c r="B460" s="78">
        <v>119</v>
      </c>
      <c r="C460" s="78" t="s">
        <v>842</v>
      </c>
      <c r="D460" s="78" t="s">
        <v>167</v>
      </c>
      <c r="E460" s="78" t="s">
        <v>1481</v>
      </c>
    </row>
    <row r="461" spans="1:5" x14ac:dyDescent="0.3">
      <c r="A461" s="218">
        <v>70</v>
      </c>
      <c r="B461" s="78">
        <v>120</v>
      </c>
      <c r="C461" s="78" t="s">
        <v>848</v>
      </c>
      <c r="D461" s="78" t="s">
        <v>93</v>
      </c>
      <c r="E461" s="78" t="s">
        <v>1481</v>
      </c>
    </row>
    <row r="462" spans="1:5" x14ac:dyDescent="0.3">
      <c r="A462" s="218">
        <v>71</v>
      </c>
      <c r="B462" s="78">
        <v>121</v>
      </c>
      <c r="C462" s="78" t="s">
        <v>855</v>
      </c>
      <c r="D462" s="78" t="s">
        <v>27</v>
      </c>
      <c r="E462" s="78" t="s">
        <v>1481</v>
      </c>
    </row>
    <row r="463" spans="1:5" x14ac:dyDescent="0.3">
      <c r="A463" s="218">
        <v>72</v>
      </c>
      <c r="B463" s="78">
        <v>123</v>
      </c>
      <c r="C463" s="78" t="s">
        <v>870</v>
      </c>
      <c r="D463" s="78" t="s">
        <v>40</v>
      </c>
      <c r="E463" s="78" t="s">
        <v>1481</v>
      </c>
    </row>
    <row r="464" spans="1:5" x14ac:dyDescent="0.3">
      <c r="A464" s="218">
        <v>73</v>
      </c>
      <c r="B464" s="78">
        <v>124</v>
      </c>
      <c r="C464" s="78" t="s">
        <v>876</v>
      </c>
      <c r="D464" s="78" t="s">
        <v>51</v>
      </c>
      <c r="E464" s="78" t="s">
        <v>1481</v>
      </c>
    </row>
    <row r="465" spans="1:5" x14ac:dyDescent="0.3">
      <c r="A465" s="218">
        <v>81</v>
      </c>
      <c r="B465" s="78">
        <v>141</v>
      </c>
      <c r="C465" s="78" t="s">
        <v>970</v>
      </c>
      <c r="D465" s="78" t="s">
        <v>167</v>
      </c>
      <c r="E465" s="78" t="s">
        <v>1481</v>
      </c>
    </row>
    <row r="466" spans="1:5" x14ac:dyDescent="0.3">
      <c r="A466" s="218">
        <v>82</v>
      </c>
      <c r="B466" s="78">
        <v>143</v>
      </c>
      <c r="C466" s="78" t="s">
        <v>980</v>
      </c>
      <c r="D466" s="78" t="s">
        <v>797</v>
      </c>
      <c r="E466" s="78" t="s">
        <v>1481</v>
      </c>
    </row>
    <row r="467" spans="1:5" x14ac:dyDescent="0.3">
      <c r="A467" s="218">
        <v>88</v>
      </c>
      <c r="B467" s="78">
        <v>152</v>
      </c>
      <c r="C467" s="78" t="s">
        <v>1012</v>
      </c>
      <c r="D467" s="78" t="s">
        <v>790</v>
      </c>
      <c r="E467" s="78" t="s">
        <v>1481</v>
      </c>
    </row>
    <row r="468" spans="1:5" x14ac:dyDescent="0.3">
      <c r="A468" s="218">
        <v>89</v>
      </c>
      <c r="B468" s="78">
        <v>155</v>
      </c>
      <c r="C468" s="78" t="s">
        <v>1027</v>
      </c>
      <c r="D468" s="78" t="s">
        <v>1030</v>
      </c>
      <c r="E468" s="78" t="s">
        <v>1481</v>
      </c>
    </row>
    <row r="469" spans="1:5" x14ac:dyDescent="0.3">
      <c r="A469" s="218">
        <v>90</v>
      </c>
      <c r="B469" s="78">
        <v>159</v>
      </c>
      <c r="C469" s="78" t="s">
        <v>1048</v>
      </c>
      <c r="D469" s="78" t="s">
        <v>1051</v>
      </c>
      <c r="E469" s="78" t="s">
        <v>1481</v>
      </c>
    </row>
    <row r="470" spans="1:5" x14ac:dyDescent="0.3">
      <c r="A470" s="218">
        <v>91</v>
      </c>
      <c r="B470" s="78">
        <v>160</v>
      </c>
      <c r="C470" s="78" t="s">
        <v>1055</v>
      </c>
      <c r="D470" s="78" t="s">
        <v>93</v>
      </c>
      <c r="E470" s="78" t="s">
        <v>1481</v>
      </c>
    </row>
    <row r="471" spans="1:5" x14ac:dyDescent="0.3">
      <c r="A471" s="219"/>
      <c r="B471" s="78">
        <v>1</v>
      </c>
      <c r="C471" s="78" t="s">
        <v>22</v>
      </c>
      <c r="D471" s="78" t="s">
        <v>27</v>
      </c>
      <c r="E471" s="78" t="s">
        <v>1481</v>
      </c>
    </row>
    <row r="472" spans="1:5" x14ac:dyDescent="0.3">
      <c r="A472" s="219"/>
      <c r="B472" s="78">
        <v>2</v>
      </c>
      <c r="C472" s="78" t="s">
        <v>36</v>
      </c>
      <c r="D472" s="78" t="s">
        <v>40</v>
      </c>
      <c r="E472" s="78" t="s">
        <v>1481</v>
      </c>
    </row>
    <row r="473" spans="1:5" x14ac:dyDescent="0.3">
      <c r="A473" s="219"/>
      <c r="B473" s="78">
        <v>3</v>
      </c>
      <c r="C473" s="78" t="s">
        <v>47</v>
      </c>
      <c r="D473" s="78" t="s">
        <v>51</v>
      </c>
      <c r="E473" s="78" t="s">
        <v>1481</v>
      </c>
    </row>
    <row r="474" spans="1:5" x14ac:dyDescent="0.3">
      <c r="A474" s="219"/>
      <c r="B474" s="78">
        <v>6</v>
      </c>
      <c r="C474" s="78" t="s">
        <v>87</v>
      </c>
      <c r="D474" s="78" t="s">
        <v>93</v>
      </c>
      <c r="E474" s="78" t="s">
        <v>1481</v>
      </c>
    </row>
    <row r="475" spans="1:5" x14ac:dyDescent="0.3">
      <c r="A475" s="219"/>
      <c r="B475" s="90"/>
      <c r="C475" s="78" t="s">
        <v>1409</v>
      </c>
      <c r="D475" s="78" t="s">
        <v>167</v>
      </c>
      <c r="E475" s="78" t="s">
        <v>1481</v>
      </c>
    </row>
    <row r="476" spans="1:5" x14ac:dyDescent="0.3">
      <c r="A476" s="219"/>
      <c r="B476" s="90"/>
      <c r="C476" s="78" t="s">
        <v>1417</v>
      </c>
      <c r="D476" s="78" t="s">
        <v>93</v>
      </c>
      <c r="E476" s="78" t="s">
        <v>1481</v>
      </c>
    </row>
    <row r="477" spans="1:5" x14ac:dyDescent="0.3">
      <c r="A477" s="219"/>
      <c r="B477" s="78">
        <v>30</v>
      </c>
      <c r="C477" s="78" t="s">
        <v>249</v>
      </c>
      <c r="D477" s="78" t="s">
        <v>40</v>
      </c>
      <c r="E477" s="78" t="s">
        <v>1481</v>
      </c>
    </row>
    <row r="478" spans="1:5" x14ac:dyDescent="0.3">
      <c r="A478" s="219"/>
      <c r="B478" s="78">
        <v>32</v>
      </c>
      <c r="C478" s="78" t="s">
        <v>270</v>
      </c>
      <c r="D478" s="78" t="s">
        <v>51</v>
      </c>
      <c r="E478" s="78" t="s">
        <v>1481</v>
      </c>
    </row>
    <row r="479" spans="1:5" x14ac:dyDescent="0.3">
      <c r="A479" s="219"/>
      <c r="B479" s="78">
        <v>33</v>
      </c>
      <c r="C479" s="78" t="s">
        <v>276</v>
      </c>
      <c r="D479" s="78" t="s">
        <v>27</v>
      </c>
      <c r="E479" s="78" t="s">
        <v>1481</v>
      </c>
    </row>
    <row r="480" spans="1:5" x14ac:dyDescent="0.3">
      <c r="A480" s="219"/>
      <c r="B480" s="78">
        <v>42</v>
      </c>
      <c r="C480" s="78" t="s">
        <v>346</v>
      </c>
      <c r="D480" s="78" t="s">
        <v>167</v>
      </c>
      <c r="E480" s="78" t="s">
        <v>1481</v>
      </c>
    </row>
    <row r="481" spans="1:5" x14ac:dyDescent="0.3">
      <c r="A481" s="219"/>
      <c r="B481" s="78">
        <v>111</v>
      </c>
      <c r="C481" s="78" t="s">
        <v>793</v>
      </c>
      <c r="D481" s="78" t="s">
        <v>797</v>
      </c>
      <c r="E481" s="78" t="s">
        <v>1481</v>
      </c>
    </row>
    <row r="482" spans="1:5" x14ac:dyDescent="0.3">
      <c r="A482" s="219"/>
      <c r="B482" s="90"/>
      <c r="C482" s="78" t="s">
        <v>1241</v>
      </c>
      <c r="D482" s="78" t="s">
        <v>93</v>
      </c>
      <c r="E482" s="78" t="s">
        <v>1481</v>
      </c>
    </row>
    <row r="486" spans="1:5" x14ac:dyDescent="0.3">
      <c r="A486" s="267" t="s">
        <v>2657</v>
      </c>
      <c r="B486" s="134" t="s">
        <v>3</v>
      </c>
      <c r="C486" s="134" t="s">
        <v>4</v>
      </c>
      <c r="D486" s="134" t="s">
        <v>1618</v>
      </c>
      <c r="E486" s="134"/>
    </row>
    <row r="487" spans="1:5" x14ac:dyDescent="0.3">
      <c r="A487" s="218">
        <v>1</v>
      </c>
      <c r="B487" s="78">
        <v>4</v>
      </c>
      <c r="C487" s="78" t="s">
        <v>57</v>
      </c>
      <c r="D487" s="78" t="s">
        <v>62</v>
      </c>
      <c r="E487" s="78" t="s">
        <v>1481</v>
      </c>
    </row>
    <row r="488" spans="1:5" x14ac:dyDescent="0.3">
      <c r="A488" s="218">
        <v>2</v>
      </c>
      <c r="B488" s="78">
        <v>5</v>
      </c>
      <c r="C488" s="78" t="s">
        <v>72</v>
      </c>
      <c r="D488" s="78" t="s">
        <v>76</v>
      </c>
      <c r="E488" s="78" t="s">
        <v>1481</v>
      </c>
    </row>
    <row r="489" spans="1:5" x14ac:dyDescent="0.3">
      <c r="A489" s="218">
        <v>5</v>
      </c>
      <c r="B489" s="78">
        <v>9</v>
      </c>
      <c r="C489" s="78" t="s">
        <v>123</v>
      </c>
      <c r="D489" s="78" t="s">
        <v>127</v>
      </c>
      <c r="E489" s="78" t="s">
        <v>1481</v>
      </c>
    </row>
    <row r="490" spans="1:5" x14ac:dyDescent="0.3">
      <c r="A490" s="218">
        <v>6</v>
      </c>
      <c r="B490" s="78">
        <v>10</v>
      </c>
      <c r="C490" s="78" t="s">
        <v>135</v>
      </c>
      <c r="D490" s="78" t="s">
        <v>139</v>
      </c>
      <c r="E490" s="78" t="s">
        <v>1481</v>
      </c>
    </row>
    <row r="491" spans="1:5" x14ac:dyDescent="0.3">
      <c r="A491" s="218">
        <v>7</v>
      </c>
      <c r="B491" s="78">
        <v>11</v>
      </c>
      <c r="C491" s="78" t="s">
        <v>147</v>
      </c>
      <c r="D491" s="78" t="s">
        <v>2335</v>
      </c>
      <c r="E491" s="78" t="s">
        <v>1481</v>
      </c>
    </row>
    <row r="492" spans="1:5" x14ac:dyDescent="0.3">
      <c r="A492" s="218">
        <v>45</v>
      </c>
      <c r="B492" s="78">
        <v>68</v>
      </c>
      <c r="C492" s="78" t="s">
        <v>524</v>
      </c>
      <c r="D492" s="78" t="s">
        <v>76</v>
      </c>
      <c r="E492" s="78" t="s">
        <v>1481</v>
      </c>
    </row>
    <row r="493" spans="1:5" x14ac:dyDescent="0.3">
      <c r="A493" s="218">
        <v>46</v>
      </c>
      <c r="B493" s="78">
        <v>71</v>
      </c>
      <c r="C493" s="78" t="s">
        <v>551</v>
      </c>
      <c r="D493" s="78" t="s">
        <v>127</v>
      </c>
      <c r="E493" s="78" t="s">
        <v>1481</v>
      </c>
    </row>
    <row r="494" spans="1:5" x14ac:dyDescent="0.3">
      <c r="A494" s="218">
        <v>47</v>
      </c>
      <c r="B494" s="78">
        <v>74</v>
      </c>
      <c r="C494" s="78" t="s">
        <v>576</v>
      </c>
      <c r="D494" s="78" t="s">
        <v>581</v>
      </c>
      <c r="E494" s="78" t="s">
        <v>1481</v>
      </c>
    </row>
    <row r="495" spans="1:5" x14ac:dyDescent="0.3">
      <c r="A495" s="218">
        <v>48</v>
      </c>
      <c r="B495" s="78">
        <v>79</v>
      </c>
      <c r="C495" s="78" t="s">
        <v>603</v>
      </c>
      <c r="D495" s="78" t="s">
        <v>62</v>
      </c>
      <c r="E495" s="78" t="s">
        <v>1481</v>
      </c>
    </row>
    <row r="496" spans="1:5" x14ac:dyDescent="0.3">
      <c r="A496" s="218">
        <v>50</v>
      </c>
      <c r="B496" s="78">
        <v>83</v>
      </c>
      <c r="C496" s="78" t="s">
        <v>635</v>
      </c>
      <c r="D496" s="78" t="s">
        <v>139</v>
      </c>
      <c r="E496" s="78" t="s">
        <v>1481</v>
      </c>
    </row>
    <row r="497" spans="1:5" x14ac:dyDescent="0.3">
      <c r="A497" s="218">
        <v>52</v>
      </c>
      <c r="B497" s="78">
        <v>92</v>
      </c>
      <c r="C497" s="78" t="s">
        <v>698</v>
      </c>
      <c r="D497" s="78" t="s">
        <v>139</v>
      </c>
      <c r="E497" s="78" t="s">
        <v>1481</v>
      </c>
    </row>
    <row r="498" spans="1:5" x14ac:dyDescent="0.3">
      <c r="A498" s="218">
        <v>83</v>
      </c>
      <c r="B498" s="78">
        <v>145</v>
      </c>
      <c r="C498" s="78" t="s">
        <v>992</v>
      </c>
      <c r="D498" s="78" t="s">
        <v>995</v>
      </c>
      <c r="E498" s="78" t="s">
        <v>1481</v>
      </c>
    </row>
    <row r="499" spans="1:5" x14ac:dyDescent="0.3">
      <c r="A499" s="218">
        <v>99</v>
      </c>
      <c r="B499" s="78">
        <v>171</v>
      </c>
      <c r="C499" s="78" t="s">
        <v>1106</v>
      </c>
      <c r="D499" s="78" t="s">
        <v>127</v>
      </c>
      <c r="E499" s="78" t="s">
        <v>1481</v>
      </c>
    </row>
    <row r="500" spans="1:5" x14ac:dyDescent="0.3">
      <c r="A500" s="218">
        <v>100</v>
      </c>
      <c r="B500" s="78">
        <v>172</v>
      </c>
      <c r="C500" s="78" t="s">
        <v>1112</v>
      </c>
      <c r="D500" s="78" t="s">
        <v>581</v>
      </c>
      <c r="E500" s="78" t="s">
        <v>1481</v>
      </c>
    </row>
    <row r="501" spans="1:5" x14ac:dyDescent="0.3">
      <c r="A501" s="219"/>
      <c r="B501" s="78">
        <v>6</v>
      </c>
      <c r="C501" s="78" t="s">
        <v>87</v>
      </c>
      <c r="D501" s="78" t="s">
        <v>90</v>
      </c>
      <c r="E501" s="78" t="s">
        <v>1481</v>
      </c>
    </row>
    <row r="502" spans="1:5" x14ac:dyDescent="0.3">
      <c r="A502" s="219"/>
      <c r="B502" s="78">
        <v>72</v>
      </c>
      <c r="C502" s="78" t="s">
        <v>561</v>
      </c>
      <c r="D502" s="78" t="s">
        <v>127</v>
      </c>
      <c r="E502" s="78" t="s">
        <v>1481</v>
      </c>
    </row>
    <row r="503" spans="1:5" x14ac:dyDescent="0.3">
      <c r="A503" s="219"/>
      <c r="B503" s="78">
        <v>75</v>
      </c>
      <c r="C503" s="78" t="s">
        <v>588</v>
      </c>
      <c r="D503" s="78" t="s">
        <v>581</v>
      </c>
      <c r="E503" s="78" t="s">
        <v>1481</v>
      </c>
    </row>
    <row r="504" spans="1:5" x14ac:dyDescent="0.3">
      <c r="A504" s="219"/>
      <c r="B504" s="78">
        <v>76</v>
      </c>
      <c r="C504" s="78" t="s">
        <v>594</v>
      </c>
      <c r="D504" s="78" t="s">
        <v>62</v>
      </c>
      <c r="E504" s="78" t="s">
        <v>1481</v>
      </c>
    </row>
    <row r="505" spans="1:5" x14ac:dyDescent="0.3">
      <c r="A505" s="219"/>
      <c r="B505" s="78">
        <v>80</v>
      </c>
      <c r="C505" s="78" t="s">
        <v>614</v>
      </c>
      <c r="D505" s="78" t="s">
        <v>76</v>
      </c>
      <c r="E505" s="78" t="s">
        <v>1481</v>
      </c>
    </row>
    <row r="506" spans="1:5" x14ac:dyDescent="0.3">
      <c r="A506" s="219"/>
      <c r="B506" s="78">
        <v>84</v>
      </c>
      <c r="C506" s="78" t="s">
        <v>644</v>
      </c>
      <c r="D506" s="78" t="s">
        <v>139</v>
      </c>
      <c r="E506" s="78" t="s">
        <v>1481</v>
      </c>
    </row>
    <row r="507" spans="1:5" x14ac:dyDescent="0.3">
      <c r="A507" s="219"/>
      <c r="B507" s="90"/>
      <c r="C507" s="78" t="s">
        <v>1157</v>
      </c>
      <c r="D507" s="78" t="s">
        <v>76</v>
      </c>
      <c r="E507" s="78" t="s">
        <v>1481</v>
      </c>
    </row>
    <row r="508" spans="1:5" x14ac:dyDescent="0.3">
      <c r="A508" s="219"/>
      <c r="B508" s="90"/>
      <c r="C508" s="78" t="s">
        <v>1161</v>
      </c>
      <c r="D508" s="78" t="s">
        <v>62</v>
      </c>
      <c r="E508" s="78" t="s">
        <v>1481</v>
      </c>
    </row>
    <row r="509" spans="1:5" x14ac:dyDescent="0.3">
      <c r="A509" s="219"/>
      <c r="B509" s="90"/>
      <c r="C509" s="78" t="s">
        <v>1165</v>
      </c>
      <c r="D509" s="78" t="s">
        <v>581</v>
      </c>
      <c r="E509" s="78" t="s">
        <v>1481</v>
      </c>
    </row>
    <row r="510" spans="1:5" x14ac:dyDescent="0.3">
      <c r="A510" s="219"/>
      <c r="B510" s="90"/>
      <c r="C510" s="78" t="s">
        <v>1169</v>
      </c>
      <c r="D510" s="78" t="s">
        <v>127</v>
      </c>
      <c r="E510" s="78" t="s">
        <v>1481</v>
      </c>
    </row>
    <row r="511" spans="1:5" x14ac:dyDescent="0.3">
      <c r="A511" s="219"/>
      <c r="B511" s="90"/>
      <c r="C511" s="78" t="s">
        <v>1257</v>
      </c>
      <c r="D511" s="78" t="s">
        <v>90</v>
      </c>
      <c r="E511" s="78" t="s">
        <v>1481</v>
      </c>
    </row>
    <row r="512" spans="1:5" x14ac:dyDescent="0.3">
      <c r="A512" s="219"/>
      <c r="B512" s="90"/>
      <c r="C512" s="78" t="s">
        <v>1261</v>
      </c>
      <c r="D512" s="78" t="s">
        <v>995</v>
      </c>
      <c r="E512" s="78" t="s">
        <v>1481</v>
      </c>
    </row>
    <row r="516" spans="1:5" x14ac:dyDescent="0.3">
      <c r="A516" s="267" t="s">
        <v>2657</v>
      </c>
      <c r="B516" s="134" t="s">
        <v>3</v>
      </c>
      <c r="C516" s="134" t="s">
        <v>4</v>
      </c>
      <c r="D516" s="134" t="s">
        <v>1508</v>
      </c>
      <c r="E516" s="134"/>
    </row>
    <row r="517" spans="1:5" x14ac:dyDescent="0.3">
      <c r="A517" s="218">
        <v>1</v>
      </c>
      <c r="B517" s="78">
        <v>4</v>
      </c>
      <c r="C517" s="78" t="s">
        <v>57</v>
      </c>
      <c r="D517" s="78" t="s">
        <v>66</v>
      </c>
      <c r="E517" s="78" t="s">
        <v>1492</v>
      </c>
    </row>
    <row r="518" spans="1:5" x14ac:dyDescent="0.3">
      <c r="A518" s="218">
        <v>2</v>
      </c>
      <c r="B518" s="78">
        <v>5</v>
      </c>
      <c r="C518" s="78" t="s">
        <v>72</v>
      </c>
      <c r="D518" s="78" t="s">
        <v>80</v>
      </c>
      <c r="E518" s="78" t="s">
        <v>1492</v>
      </c>
    </row>
    <row r="519" spans="1:5" x14ac:dyDescent="0.3">
      <c r="A519" s="218">
        <v>3</v>
      </c>
      <c r="B519" s="78">
        <v>7</v>
      </c>
      <c r="C519" s="78" t="s">
        <v>99</v>
      </c>
      <c r="D519" s="78" t="s">
        <v>107</v>
      </c>
      <c r="E519" s="78" t="s">
        <v>1492</v>
      </c>
    </row>
    <row r="520" spans="1:5" x14ac:dyDescent="0.3">
      <c r="A520" s="218">
        <v>4</v>
      </c>
      <c r="B520" s="78">
        <v>8</v>
      </c>
      <c r="C520" s="78" t="s">
        <v>111</v>
      </c>
      <c r="D520" s="78" t="s">
        <v>117</v>
      </c>
      <c r="E520" s="78" t="s">
        <v>1492</v>
      </c>
    </row>
    <row r="521" spans="1:5" x14ac:dyDescent="0.3">
      <c r="A521" s="218">
        <v>5</v>
      </c>
      <c r="B521" s="78">
        <v>9</v>
      </c>
      <c r="C521" s="78" t="s">
        <v>123</v>
      </c>
      <c r="D521" s="78" t="s">
        <v>131</v>
      </c>
      <c r="E521" s="78" t="s">
        <v>1492</v>
      </c>
    </row>
    <row r="522" spans="1:5" x14ac:dyDescent="0.3">
      <c r="A522" s="218">
        <v>6</v>
      </c>
      <c r="B522" s="78">
        <v>10</v>
      </c>
      <c r="C522" s="78" t="s">
        <v>135</v>
      </c>
      <c r="D522" s="78" t="s">
        <v>143</v>
      </c>
      <c r="E522" s="78" t="s">
        <v>1492</v>
      </c>
    </row>
    <row r="523" spans="1:5" x14ac:dyDescent="0.3">
      <c r="A523" s="218">
        <v>18</v>
      </c>
      <c r="B523" s="78">
        <v>27</v>
      </c>
      <c r="C523" s="78" t="s">
        <v>222</v>
      </c>
      <c r="D523" s="78" t="s">
        <v>229</v>
      </c>
      <c r="E523" s="78" t="s">
        <v>1513</v>
      </c>
    </row>
    <row r="524" spans="1:5" x14ac:dyDescent="0.3">
      <c r="A524" s="218">
        <v>27</v>
      </c>
      <c r="B524" s="78">
        <v>47</v>
      </c>
      <c r="C524" s="78" t="s">
        <v>388</v>
      </c>
      <c r="D524" s="78" t="s">
        <v>393</v>
      </c>
      <c r="E524" s="78" t="s">
        <v>1513</v>
      </c>
    </row>
    <row r="525" spans="1:5" x14ac:dyDescent="0.3">
      <c r="A525" s="218">
        <v>28</v>
      </c>
      <c r="B525" s="78">
        <v>48</v>
      </c>
      <c r="C525" s="78" t="s">
        <v>395</v>
      </c>
      <c r="D525" s="78" t="s">
        <v>400</v>
      </c>
      <c r="E525" s="78" t="s">
        <v>1513</v>
      </c>
    </row>
    <row r="526" spans="1:5" x14ac:dyDescent="0.3">
      <c r="A526" s="218">
        <v>33</v>
      </c>
      <c r="B526" s="78">
        <v>53</v>
      </c>
      <c r="C526" s="78" t="s">
        <v>436</v>
      </c>
      <c r="D526" s="78" t="s">
        <v>441</v>
      </c>
      <c r="E526" s="78" t="s">
        <v>1513</v>
      </c>
    </row>
    <row r="527" spans="1:5" x14ac:dyDescent="0.3">
      <c r="A527" s="218">
        <v>45</v>
      </c>
      <c r="B527" s="78">
        <v>68</v>
      </c>
      <c r="C527" s="78" t="s">
        <v>524</v>
      </c>
      <c r="D527" s="78" t="s">
        <v>531</v>
      </c>
      <c r="E527" s="78" t="s">
        <v>1513</v>
      </c>
    </row>
    <row r="528" spans="1:5" x14ac:dyDescent="0.3">
      <c r="A528" s="218">
        <v>46</v>
      </c>
      <c r="B528" s="78">
        <v>71</v>
      </c>
      <c r="C528" s="78" t="s">
        <v>551</v>
      </c>
      <c r="D528" s="78" t="s">
        <v>559</v>
      </c>
      <c r="E528" s="78" t="s">
        <v>1513</v>
      </c>
    </row>
    <row r="529" spans="1:5" x14ac:dyDescent="0.3">
      <c r="A529" s="218">
        <v>47</v>
      </c>
      <c r="B529" s="78">
        <v>74</v>
      </c>
      <c r="C529" s="78" t="s">
        <v>576</v>
      </c>
      <c r="D529" s="78" t="s">
        <v>586</v>
      </c>
      <c r="E529" s="78" t="s">
        <v>1513</v>
      </c>
    </row>
    <row r="530" spans="1:5" x14ac:dyDescent="0.3">
      <c r="A530" s="218">
        <v>48</v>
      </c>
      <c r="B530" s="78">
        <v>79</v>
      </c>
      <c r="C530" s="78" t="s">
        <v>603</v>
      </c>
      <c r="D530" s="78" t="s">
        <v>612</v>
      </c>
      <c r="E530" s="78" t="s">
        <v>1513</v>
      </c>
    </row>
    <row r="531" spans="1:5" x14ac:dyDescent="0.3">
      <c r="A531" s="218">
        <v>51</v>
      </c>
      <c r="B531" s="78">
        <v>90</v>
      </c>
      <c r="C531" s="78" t="s">
        <v>684</v>
      </c>
      <c r="D531" s="78" t="s">
        <v>690</v>
      </c>
      <c r="E531" s="78" t="s">
        <v>1513</v>
      </c>
    </row>
    <row r="532" spans="1:5" x14ac:dyDescent="0.3">
      <c r="A532" s="218">
        <v>52</v>
      </c>
      <c r="B532" s="78">
        <v>92</v>
      </c>
      <c r="C532" s="78" t="s">
        <v>698</v>
      </c>
      <c r="D532" s="78" t="s">
        <v>704</v>
      </c>
      <c r="E532" s="78" t="s">
        <v>1513</v>
      </c>
    </row>
    <row r="533" spans="1:5" x14ac:dyDescent="0.3">
      <c r="A533" s="218">
        <v>70</v>
      </c>
      <c r="B533" s="78">
        <v>120</v>
      </c>
      <c r="C533" s="78" t="s">
        <v>848</v>
      </c>
      <c r="D533" s="78" t="s">
        <v>853</v>
      </c>
      <c r="E533" s="78" t="s">
        <v>1513</v>
      </c>
    </row>
    <row r="534" spans="1:5" x14ac:dyDescent="0.3">
      <c r="A534" s="218">
        <v>71</v>
      </c>
      <c r="B534" s="78">
        <v>121</v>
      </c>
      <c r="C534" s="78" t="s">
        <v>855</v>
      </c>
      <c r="D534" s="78" t="s">
        <v>860</v>
      </c>
      <c r="E534" s="78" t="s">
        <v>1513</v>
      </c>
    </row>
    <row r="535" spans="1:5" x14ac:dyDescent="0.3">
      <c r="A535" s="218">
        <v>78</v>
      </c>
      <c r="B535" s="78">
        <v>135</v>
      </c>
      <c r="C535" s="78" t="s">
        <v>932</v>
      </c>
      <c r="D535" s="78" t="s">
        <v>936</v>
      </c>
      <c r="E535" s="78" t="s">
        <v>1492</v>
      </c>
    </row>
    <row r="536" spans="1:5" x14ac:dyDescent="0.3">
      <c r="A536" s="218">
        <v>79</v>
      </c>
      <c r="B536" s="78">
        <v>137</v>
      </c>
      <c r="C536" s="78" t="s">
        <v>945</v>
      </c>
      <c r="D536" s="78" t="s">
        <v>950</v>
      </c>
      <c r="E536" s="78" t="s">
        <v>1492</v>
      </c>
    </row>
    <row r="537" spans="1:5" x14ac:dyDescent="0.3">
      <c r="A537" s="219"/>
      <c r="B537" s="78">
        <v>1</v>
      </c>
      <c r="C537" s="78" t="s">
        <v>22</v>
      </c>
      <c r="D537" s="78" t="s">
        <v>32</v>
      </c>
      <c r="E537" s="78" t="s">
        <v>1513</v>
      </c>
    </row>
    <row r="538" spans="1:5" x14ac:dyDescent="0.3">
      <c r="A538" s="219"/>
      <c r="B538" s="78">
        <v>2</v>
      </c>
      <c r="C538" s="78" t="s">
        <v>36</v>
      </c>
      <c r="D538" s="78" t="s">
        <v>45</v>
      </c>
      <c r="E538" s="78" t="s">
        <v>1513</v>
      </c>
    </row>
    <row r="539" spans="1:5" x14ac:dyDescent="0.3">
      <c r="A539" s="219"/>
      <c r="B539" s="78">
        <v>3</v>
      </c>
      <c r="C539" s="78" t="s">
        <v>47</v>
      </c>
      <c r="D539" s="78" t="s">
        <v>55</v>
      </c>
      <c r="E539" s="78" t="s">
        <v>1513</v>
      </c>
    </row>
    <row r="540" spans="1:5" x14ac:dyDescent="0.3">
      <c r="A540" s="219"/>
      <c r="B540" s="78">
        <v>6</v>
      </c>
      <c r="C540" s="78" t="s">
        <v>87</v>
      </c>
      <c r="D540" s="78" t="s">
        <v>97</v>
      </c>
      <c r="E540" s="78" t="s">
        <v>1513</v>
      </c>
    </row>
    <row r="541" spans="1:5" x14ac:dyDescent="0.3">
      <c r="A541" s="219"/>
      <c r="B541" s="78">
        <v>39</v>
      </c>
      <c r="C541" s="78" t="s">
        <v>321</v>
      </c>
      <c r="D541" s="78" t="s">
        <v>325</v>
      </c>
      <c r="E541" s="78" t="s">
        <v>1492</v>
      </c>
    </row>
    <row r="542" spans="1:5" x14ac:dyDescent="0.3">
      <c r="A542" s="219"/>
      <c r="B542" s="78">
        <v>42</v>
      </c>
      <c r="C542" s="78" t="s">
        <v>346</v>
      </c>
      <c r="D542" s="78" t="s">
        <v>351</v>
      </c>
      <c r="E542" s="78" t="s">
        <v>1492</v>
      </c>
    </row>
    <row r="543" spans="1:5" x14ac:dyDescent="0.3">
      <c r="A543" s="219"/>
      <c r="B543" s="78">
        <v>43</v>
      </c>
      <c r="C543" s="78" t="s">
        <v>353</v>
      </c>
      <c r="D543" s="78" t="s">
        <v>357</v>
      </c>
      <c r="E543" s="78" t="s">
        <v>1492</v>
      </c>
    </row>
    <row r="544" spans="1:5" x14ac:dyDescent="0.3">
      <c r="A544" s="219"/>
      <c r="B544" s="78">
        <v>44</v>
      </c>
      <c r="C544" s="78" t="s">
        <v>361</v>
      </c>
      <c r="D544" s="78" t="s">
        <v>366</v>
      </c>
      <c r="E544" s="78" t="s">
        <v>1492</v>
      </c>
    </row>
    <row r="545" spans="1:5" x14ac:dyDescent="0.3">
      <c r="A545" s="219"/>
      <c r="B545" s="78">
        <v>45</v>
      </c>
      <c r="C545" s="78" t="s">
        <v>368</v>
      </c>
      <c r="D545" s="78" t="s">
        <v>373</v>
      </c>
      <c r="E545" s="78" t="s">
        <v>1492</v>
      </c>
    </row>
    <row r="546" spans="1:5" x14ac:dyDescent="0.3">
      <c r="A546" s="219"/>
      <c r="B546" s="78">
        <v>67</v>
      </c>
      <c r="C546" s="78" t="s">
        <v>515</v>
      </c>
      <c r="D546" s="78" t="s">
        <v>521</v>
      </c>
      <c r="E546" s="78" t="s">
        <v>1492</v>
      </c>
    </row>
    <row r="547" spans="1:5" x14ac:dyDescent="0.3">
      <c r="A547" s="219"/>
      <c r="B547" s="78">
        <v>69</v>
      </c>
      <c r="C547" s="78" t="s">
        <v>533</v>
      </c>
      <c r="D547" s="78" t="s">
        <v>539</v>
      </c>
      <c r="E547" s="78" t="s">
        <v>1492</v>
      </c>
    </row>
    <row r="548" spans="1:5" x14ac:dyDescent="0.3">
      <c r="A548" s="219"/>
      <c r="B548" s="78">
        <v>88</v>
      </c>
      <c r="C548" s="78" t="s">
        <v>671</v>
      </c>
      <c r="D548" s="78" t="s">
        <v>674</v>
      </c>
      <c r="E548" s="78" t="s">
        <v>1492</v>
      </c>
    </row>
    <row r="552" spans="1:5" x14ac:dyDescent="0.3">
      <c r="A552" s="267" t="s">
        <v>2657</v>
      </c>
      <c r="B552" s="134" t="s">
        <v>3</v>
      </c>
      <c r="C552" s="134" t="s">
        <v>4</v>
      </c>
      <c r="D552" s="134" t="s">
        <v>2336</v>
      </c>
      <c r="E552" s="134"/>
    </row>
    <row r="553" spans="1:5" x14ac:dyDescent="0.3">
      <c r="A553" s="218">
        <v>92</v>
      </c>
      <c r="B553" s="78">
        <v>161</v>
      </c>
      <c r="C553" s="78" t="s">
        <v>1060</v>
      </c>
      <c r="D553" s="78" t="s">
        <v>2337</v>
      </c>
      <c r="E553" s="78" t="s">
        <v>1492</v>
      </c>
    </row>
    <row r="557" spans="1:5" x14ac:dyDescent="0.3">
      <c r="A557" s="267" t="s">
        <v>2657</v>
      </c>
      <c r="B557" s="134" t="s">
        <v>3</v>
      </c>
      <c r="C557" s="134" t="s">
        <v>4</v>
      </c>
      <c r="D557" s="134" t="s">
        <v>1749</v>
      </c>
      <c r="E557" s="134"/>
    </row>
    <row r="558" spans="1:5" x14ac:dyDescent="0.3">
      <c r="A558" s="219"/>
      <c r="B558" s="78">
        <v>26</v>
      </c>
      <c r="C558" s="78" t="s">
        <v>214</v>
      </c>
      <c r="D558" s="78" t="s">
        <v>217</v>
      </c>
      <c r="E558" s="78" t="s">
        <v>1481</v>
      </c>
    </row>
    <row r="559" spans="1:5" x14ac:dyDescent="0.3">
      <c r="A559" s="218">
        <v>18</v>
      </c>
      <c r="B559" s="78">
        <v>27</v>
      </c>
      <c r="C559" s="78" t="s">
        <v>222</v>
      </c>
      <c r="D559" s="78" t="s">
        <v>227</v>
      </c>
      <c r="E559" s="78" t="s">
        <v>1481</v>
      </c>
    </row>
    <row r="560" spans="1:5" x14ac:dyDescent="0.3">
      <c r="A560" s="218">
        <v>19</v>
      </c>
      <c r="B560" s="78">
        <v>29</v>
      </c>
      <c r="C560" s="78" t="s">
        <v>240</v>
      </c>
      <c r="D560" s="78" t="s">
        <v>245</v>
      </c>
      <c r="E560" s="78" t="s">
        <v>1481</v>
      </c>
    </row>
    <row r="561" spans="1:5" x14ac:dyDescent="0.3">
      <c r="A561" s="218">
        <v>20</v>
      </c>
      <c r="B561" s="78">
        <v>31</v>
      </c>
      <c r="C561" s="78" t="s">
        <v>258</v>
      </c>
      <c r="D561" s="78" t="s">
        <v>2338</v>
      </c>
      <c r="E561" s="78" t="s">
        <v>1492</v>
      </c>
    </row>
    <row r="562" spans="1:5" x14ac:dyDescent="0.3">
      <c r="A562" s="218">
        <v>21</v>
      </c>
      <c r="B562" s="78">
        <v>34</v>
      </c>
      <c r="C562" s="78" t="s">
        <v>285</v>
      </c>
      <c r="D562" s="78" t="s">
        <v>288</v>
      </c>
      <c r="E562" s="78" t="s">
        <v>1481</v>
      </c>
    </row>
    <row r="563" spans="1:5" x14ac:dyDescent="0.3">
      <c r="A563" s="218">
        <v>22</v>
      </c>
      <c r="B563" s="78">
        <v>35</v>
      </c>
      <c r="C563" s="78" t="s">
        <v>294</v>
      </c>
      <c r="D563" s="78" t="s">
        <v>265</v>
      </c>
      <c r="E563" s="78" t="s">
        <v>1481</v>
      </c>
    </row>
    <row r="564" spans="1:5" x14ac:dyDescent="0.3">
      <c r="A564" s="218">
        <v>23</v>
      </c>
      <c r="B564" s="78">
        <v>36</v>
      </c>
      <c r="C564" s="78" t="s">
        <v>308</v>
      </c>
      <c r="D564" s="78" t="s">
        <v>2339</v>
      </c>
      <c r="E564" s="78" t="s">
        <v>1481</v>
      </c>
    </row>
    <row r="565" spans="1:5" x14ac:dyDescent="0.3">
      <c r="A565" s="219"/>
      <c r="B565" s="78">
        <v>40</v>
      </c>
      <c r="C565" s="78" t="s">
        <v>327</v>
      </c>
      <c r="D565" s="78" t="s">
        <v>227</v>
      </c>
      <c r="E565" s="78" t="s">
        <v>1481</v>
      </c>
    </row>
    <row r="566" spans="1:5" x14ac:dyDescent="0.3">
      <c r="A566" s="219"/>
      <c r="B566" s="78">
        <v>41</v>
      </c>
      <c r="C566" s="78" t="s">
        <v>337</v>
      </c>
      <c r="D566" s="78" t="s">
        <v>217</v>
      </c>
      <c r="E566" s="78" t="s">
        <v>1481</v>
      </c>
    </row>
    <row r="567" spans="1:5" x14ac:dyDescent="0.3">
      <c r="A567" s="218">
        <v>26</v>
      </c>
      <c r="B567" s="78">
        <v>46</v>
      </c>
      <c r="C567" s="78" t="s">
        <v>377</v>
      </c>
      <c r="D567" s="78" t="s">
        <v>262</v>
      </c>
      <c r="E567" s="78" t="s">
        <v>1492</v>
      </c>
    </row>
    <row r="568" spans="1:5" x14ac:dyDescent="0.3">
      <c r="A568" s="218">
        <v>27</v>
      </c>
      <c r="B568" s="78">
        <v>47</v>
      </c>
      <c r="C568" s="78" t="s">
        <v>388</v>
      </c>
      <c r="D568" s="78" t="s">
        <v>2340</v>
      </c>
      <c r="E568" s="78" t="s">
        <v>1492</v>
      </c>
    </row>
    <row r="569" spans="1:5" x14ac:dyDescent="0.3">
      <c r="A569" s="218">
        <v>28</v>
      </c>
      <c r="B569" s="78">
        <v>48</v>
      </c>
      <c r="C569" s="78" t="s">
        <v>395</v>
      </c>
      <c r="D569" s="78" t="s">
        <v>2341</v>
      </c>
      <c r="E569" s="78" t="s">
        <v>1481</v>
      </c>
    </row>
    <row r="570" spans="1:5" x14ac:dyDescent="0.3">
      <c r="A570" s="218">
        <v>30</v>
      </c>
      <c r="B570" s="78">
        <v>50</v>
      </c>
      <c r="C570" s="78" t="s">
        <v>408</v>
      </c>
      <c r="D570" s="78" t="s">
        <v>2342</v>
      </c>
      <c r="E570" s="78" t="s">
        <v>1481</v>
      </c>
    </row>
    <row r="571" spans="1:5" x14ac:dyDescent="0.3">
      <c r="A571" s="218">
        <v>31</v>
      </c>
      <c r="B571" s="78">
        <v>51</v>
      </c>
      <c r="C571" s="78" t="s">
        <v>418</v>
      </c>
      <c r="D571" s="78" t="s">
        <v>2342</v>
      </c>
      <c r="E571" s="78" t="s">
        <v>1481</v>
      </c>
    </row>
    <row r="572" spans="1:5" x14ac:dyDescent="0.3">
      <c r="A572" s="218">
        <v>32</v>
      </c>
      <c r="B572" s="78">
        <v>52</v>
      </c>
      <c r="C572" s="78" t="s">
        <v>427</v>
      </c>
      <c r="D572" s="78" t="s">
        <v>2343</v>
      </c>
      <c r="E572" s="78" t="s">
        <v>1481</v>
      </c>
    </row>
    <row r="573" spans="1:5" x14ac:dyDescent="0.3">
      <c r="A573" s="218">
        <v>33</v>
      </c>
      <c r="B573" s="78">
        <v>53</v>
      </c>
      <c r="C573" s="78" t="s">
        <v>436</v>
      </c>
      <c r="D573" s="78" t="s">
        <v>2344</v>
      </c>
      <c r="E573" s="78" t="s">
        <v>1481</v>
      </c>
    </row>
    <row r="574" spans="1:5" x14ac:dyDescent="0.3">
      <c r="A574" s="218">
        <v>34</v>
      </c>
      <c r="B574" s="78">
        <v>54</v>
      </c>
      <c r="C574" s="78" t="s">
        <v>443</v>
      </c>
      <c r="D574" s="78" t="s">
        <v>2345</v>
      </c>
      <c r="E574" s="78" t="s">
        <v>1481</v>
      </c>
    </row>
    <row r="575" spans="1:5" x14ac:dyDescent="0.3">
      <c r="A575" s="218">
        <v>35</v>
      </c>
      <c r="B575" s="78">
        <v>55</v>
      </c>
      <c r="C575" s="78" t="s">
        <v>451</v>
      </c>
      <c r="D575" s="78" t="s">
        <v>2346</v>
      </c>
      <c r="E575" s="78" t="s">
        <v>1481</v>
      </c>
    </row>
    <row r="576" spans="1:5" x14ac:dyDescent="0.3">
      <c r="A576" s="218">
        <v>36</v>
      </c>
      <c r="B576" s="78">
        <v>56</v>
      </c>
      <c r="C576" s="78" t="s">
        <v>458</v>
      </c>
      <c r="D576" s="78" t="s">
        <v>2347</v>
      </c>
      <c r="E576" s="78" t="s">
        <v>1481</v>
      </c>
    </row>
    <row r="577" spans="1:5" x14ac:dyDescent="0.3">
      <c r="A577" s="218">
        <v>39</v>
      </c>
      <c r="B577" s="78">
        <v>61</v>
      </c>
      <c r="C577" s="78" t="s">
        <v>469</v>
      </c>
      <c r="D577" s="78" t="s">
        <v>2348</v>
      </c>
      <c r="E577" s="78" t="s">
        <v>1481</v>
      </c>
    </row>
    <row r="578" spans="1:5" x14ac:dyDescent="0.3">
      <c r="A578" s="218">
        <v>40</v>
      </c>
      <c r="B578" s="78">
        <v>62</v>
      </c>
      <c r="C578" s="78" t="s">
        <v>476</v>
      </c>
      <c r="D578" s="78" t="s">
        <v>2349</v>
      </c>
      <c r="E578" s="78" t="s">
        <v>1481</v>
      </c>
    </row>
    <row r="579" spans="1:5" x14ac:dyDescent="0.3">
      <c r="A579" s="218">
        <v>41</v>
      </c>
      <c r="B579" s="78">
        <v>63</v>
      </c>
      <c r="C579" s="78" t="s">
        <v>481</v>
      </c>
      <c r="D579" s="78" t="s">
        <v>2350</v>
      </c>
      <c r="E579" s="78" t="s">
        <v>1481</v>
      </c>
    </row>
    <row r="580" spans="1:5" x14ac:dyDescent="0.3">
      <c r="A580" s="218">
        <v>42</v>
      </c>
      <c r="B580" s="78">
        <v>64</v>
      </c>
      <c r="C580" s="78" t="s">
        <v>490</v>
      </c>
      <c r="D580" s="78" t="s">
        <v>2351</v>
      </c>
      <c r="E580" s="78" t="s">
        <v>1481</v>
      </c>
    </row>
    <row r="581" spans="1:5" x14ac:dyDescent="0.3">
      <c r="A581" s="218">
        <v>43</v>
      </c>
      <c r="B581" s="78">
        <v>65</v>
      </c>
      <c r="C581" s="78" t="s">
        <v>498</v>
      </c>
      <c r="D581" s="78" t="s">
        <v>504</v>
      </c>
      <c r="E581" s="78" t="s">
        <v>1481</v>
      </c>
    </row>
    <row r="582" spans="1:5" x14ac:dyDescent="0.3">
      <c r="A582" s="218">
        <v>44</v>
      </c>
      <c r="B582" s="78">
        <v>66</v>
      </c>
      <c r="C582" s="78" t="s">
        <v>506</v>
      </c>
      <c r="D582" s="78" t="s">
        <v>513</v>
      </c>
      <c r="E582" s="78" t="s">
        <v>1513</v>
      </c>
    </row>
    <row r="583" spans="1:5" x14ac:dyDescent="0.3">
      <c r="A583" s="218">
        <v>45</v>
      </c>
      <c r="B583" s="78">
        <v>68</v>
      </c>
      <c r="C583" s="78" t="s">
        <v>524</v>
      </c>
      <c r="D583" s="78" t="s">
        <v>2352</v>
      </c>
      <c r="E583" s="78" t="s">
        <v>1513</v>
      </c>
    </row>
    <row r="584" spans="1:5" x14ac:dyDescent="0.3">
      <c r="A584" s="218">
        <v>46</v>
      </c>
      <c r="B584" s="78">
        <v>71</v>
      </c>
      <c r="C584" s="78" t="s">
        <v>551</v>
      </c>
      <c r="D584" s="78" t="s">
        <v>2353</v>
      </c>
      <c r="E584" s="78" t="s">
        <v>1513</v>
      </c>
    </row>
    <row r="585" spans="1:5" x14ac:dyDescent="0.3">
      <c r="A585" s="219"/>
      <c r="B585" s="90"/>
      <c r="C585" s="78" t="s">
        <v>1417</v>
      </c>
      <c r="D585" s="78" t="s">
        <v>227</v>
      </c>
      <c r="E585" s="78" t="s">
        <v>1481</v>
      </c>
    </row>
    <row r="586" spans="1:5" x14ac:dyDescent="0.3">
      <c r="A586" s="219"/>
      <c r="B586" s="78">
        <v>28</v>
      </c>
      <c r="C586" s="78" t="s">
        <v>232</v>
      </c>
      <c r="D586" s="78" t="s">
        <v>217</v>
      </c>
      <c r="E586" s="78" t="s">
        <v>1481</v>
      </c>
    </row>
    <row r="587" spans="1:5" x14ac:dyDescent="0.3">
      <c r="A587" s="219"/>
      <c r="B587" s="78">
        <v>32</v>
      </c>
      <c r="C587" s="78" t="s">
        <v>270</v>
      </c>
      <c r="D587" s="78" t="s">
        <v>265</v>
      </c>
      <c r="E587" s="78" t="s">
        <v>1481</v>
      </c>
    </row>
    <row r="588" spans="1:5" x14ac:dyDescent="0.3">
      <c r="A588" s="219"/>
      <c r="B588" s="78">
        <v>67</v>
      </c>
      <c r="C588" s="78" t="s">
        <v>515</v>
      </c>
      <c r="D588" s="78" t="s">
        <v>522</v>
      </c>
      <c r="E588" s="78" t="s">
        <v>1513</v>
      </c>
    </row>
    <row r="589" spans="1:5" x14ac:dyDescent="0.3">
      <c r="A589" s="219"/>
      <c r="B589" s="78">
        <v>69</v>
      </c>
      <c r="C589" s="78" t="s">
        <v>533</v>
      </c>
      <c r="D589" s="78" t="s">
        <v>542</v>
      </c>
      <c r="E589" s="78" t="s">
        <v>1513</v>
      </c>
    </row>
    <row r="590" spans="1:5" x14ac:dyDescent="0.3">
      <c r="A590" s="219"/>
      <c r="B590" s="78">
        <v>76</v>
      </c>
      <c r="C590" s="78" t="s">
        <v>594</v>
      </c>
      <c r="D590" s="78" t="s">
        <v>245</v>
      </c>
      <c r="E590" s="78" t="s">
        <v>1481</v>
      </c>
    </row>
    <row r="594" spans="1:5" x14ac:dyDescent="0.3">
      <c r="A594" s="267" t="s">
        <v>2657</v>
      </c>
      <c r="B594" s="134" t="s">
        <v>3</v>
      </c>
      <c r="C594" s="134" t="s">
        <v>4</v>
      </c>
      <c r="D594" s="134" t="s">
        <v>1963</v>
      </c>
      <c r="E594" s="134"/>
    </row>
    <row r="595" spans="1:5" x14ac:dyDescent="0.3">
      <c r="A595" s="218">
        <v>29</v>
      </c>
      <c r="B595" s="78">
        <v>49</v>
      </c>
      <c r="C595" s="78" t="s">
        <v>402</v>
      </c>
      <c r="D595" s="78" t="s">
        <v>405</v>
      </c>
      <c r="E595" s="78" t="s">
        <v>1492</v>
      </c>
    </row>
    <row r="596" spans="1:5" x14ac:dyDescent="0.3">
      <c r="A596" s="218">
        <v>30</v>
      </c>
      <c r="B596" s="78">
        <v>50</v>
      </c>
      <c r="C596" s="78" t="s">
        <v>408</v>
      </c>
      <c r="D596" s="78" t="s">
        <v>414</v>
      </c>
      <c r="E596" s="78" t="s">
        <v>1481</v>
      </c>
    </row>
    <row r="597" spans="1:5" x14ac:dyDescent="0.3">
      <c r="A597" s="218">
        <v>31</v>
      </c>
      <c r="B597" s="78">
        <v>51</v>
      </c>
      <c r="C597" s="78" t="s">
        <v>418</v>
      </c>
      <c r="D597" s="78" t="s">
        <v>424</v>
      </c>
      <c r="E597" s="78" t="s">
        <v>1481</v>
      </c>
    </row>
    <row r="598" spans="1:5" x14ac:dyDescent="0.3">
      <c r="A598" s="218">
        <v>34</v>
      </c>
      <c r="B598" s="78">
        <v>54</v>
      </c>
      <c r="C598" s="78" t="s">
        <v>443</v>
      </c>
      <c r="D598" s="78" t="s">
        <v>447</v>
      </c>
      <c r="E598" s="78" t="s">
        <v>1481</v>
      </c>
    </row>
    <row r="599" spans="1:5" x14ac:dyDescent="0.3">
      <c r="A599" s="218">
        <v>35</v>
      </c>
      <c r="B599" s="78">
        <v>55</v>
      </c>
      <c r="C599" s="78" t="s">
        <v>451</v>
      </c>
      <c r="D599" s="78" t="s">
        <v>455</v>
      </c>
      <c r="E599" s="78" t="s">
        <v>1481</v>
      </c>
    </row>
    <row r="600" spans="1:5" x14ac:dyDescent="0.3">
      <c r="A600" s="218">
        <v>36</v>
      </c>
      <c r="B600" s="78">
        <v>56</v>
      </c>
      <c r="C600" s="78" t="s">
        <v>458</v>
      </c>
      <c r="D600" s="78" t="s">
        <v>462</v>
      </c>
      <c r="E600" s="78" t="s">
        <v>1481</v>
      </c>
    </row>
    <row r="604" spans="1:5" x14ac:dyDescent="0.3">
      <c r="A604" s="267" t="s">
        <v>2657</v>
      </c>
      <c r="B604" s="134" t="s">
        <v>3</v>
      </c>
      <c r="C604" s="134" t="s">
        <v>4</v>
      </c>
      <c r="D604" s="134" t="s">
        <v>1792</v>
      </c>
      <c r="E604" s="134"/>
    </row>
    <row r="605" spans="1:5" x14ac:dyDescent="0.3">
      <c r="A605" s="218">
        <v>47</v>
      </c>
      <c r="B605" s="78">
        <v>74</v>
      </c>
      <c r="C605" s="78" t="s">
        <v>576</v>
      </c>
      <c r="D605" s="78" t="s">
        <v>585</v>
      </c>
      <c r="E605" s="78" t="s">
        <v>1513</v>
      </c>
    </row>
    <row r="606" spans="1:5" x14ac:dyDescent="0.3">
      <c r="A606" s="218">
        <v>48</v>
      </c>
      <c r="B606" s="78">
        <v>79</v>
      </c>
      <c r="C606" s="78" t="s">
        <v>603</v>
      </c>
      <c r="D606" s="78" t="s">
        <v>608</v>
      </c>
      <c r="E606" s="78" t="s">
        <v>1481</v>
      </c>
    </row>
    <row r="607" spans="1:5" x14ac:dyDescent="0.3">
      <c r="A607" s="218">
        <v>49</v>
      </c>
      <c r="B607" s="78">
        <v>81</v>
      </c>
      <c r="C607" s="78" t="s">
        <v>620</v>
      </c>
      <c r="D607" s="78" t="s">
        <v>625</v>
      </c>
      <c r="E607" s="78" t="s">
        <v>1481</v>
      </c>
    </row>
    <row r="608" spans="1:5" x14ac:dyDescent="0.3">
      <c r="A608" s="218">
        <v>50</v>
      </c>
      <c r="B608" s="78">
        <v>83</v>
      </c>
      <c r="C608" s="78" t="s">
        <v>635</v>
      </c>
      <c r="D608" s="78" t="s">
        <v>640</v>
      </c>
      <c r="E608" s="78" t="s">
        <v>1481</v>
      </c>
    </row>
    <row r="609" spans="1:5" x14ac:dyDescent="0.3">
      <c r="A609" s="219"/>
      <c r="B609" s="78">
        <v>80</v>
      </c>
      <c r="C609" s="78" t="s">
        <v>614</v>
      </c>
      <c r="D609" s="78" t="s">
        <v>618</v>
      </c>
      <c r="E609" s="78" t="s">
        <v>1481</v>
      </c>
    </row>
    <row r="610" spans="1:5" x14ac:dyDescent="0.3">
      <c r="A610" s="219"/>
      <c r="B610" s="78">
        <v>82</v>
      </c>
      <c r="C610" s="78" t="s">
        <v>628</v>
      </c>
      <c r="D610" s="78" t="s">
        <v>632</v>
      </c>
      <c r="E610" s="78" t="s">
        <v>1481</v>
      </c>
    </row>
    <row r="611" spans="1:5" x14ac:dyDescent="0.3">
      <c r="A611" s="219"/>
      <c r="B611" s="78">
        <v>84</v>
      </c>
      <c r="C611" s="78" t="s">
        <v>644</v>
      </c>
      <c r="D611" s="78" t="s">
        <v>649</v>
      </c>
      <c r="E611" s="78" t="s">
        <v>1481</v>
      </c>
    </row>
    <row r="615" spans="1:5" x14ac:dyDescent="0.3">
      <c r="A615" s="267" t="s">
        <v>2657</v>
      </c>
      <c r="B615" s="134" t="s">
        <v>3</v>
      </c>
      <c r="C615" s="134" t="s">
        <v>4</v>
      </c>
      <c r="D615" s="134" t="s">
        <v>1961</v>
      </c>
      <c r="E615" s="134"/>
    </row>
    <row r="616" spans="1:5" x14ac:dyDescent="0.3">
      <c r="A616" s="218">
        <v>30</v>
      </c>
      <c r="B616" s="78">
        <v>50</v>
      </c>
      <c r="C616" s="78" t="s">
        <v>408</v>
      </c>
      <c r="D616" s="78" t="s">
        <v>413</v>
      </c>
      <c r="E616" s="78" t="s">
        <v>1492</v>
      </c>
    </row>
    <row r="617" spans="1:5" x14ac:dyDescent="0.3">
      <c r="A617" s="218">
        <v>31</v>
      </c>
      <c r="B617" s="78">
        <v>51</v>
      </c>
      <c r="C617" s="78" t="s">
        <v>418</v>
      </c>
      <c r="D617" s="78" t="s">
        <v>423</v>
      </c>
      <c r="E617" s="78" t="s">
        <v>1492</v>
      </c>
    </row>
    <row r="618" spans="1:5" x14ac:dyDescent="0.3">
      <c r="A618" s="218">
        <v>34</v>
      </c>
      <c r="B618" s="78">
        <v>54</v>
      </c>
      <c r="C618" s="78" t="s">
        <v>443</v>
      </c>
      <c r="D618" s="78" t="s">
        <v>446</v>
      </c>
      <c r="E618" s="78" t="s">
        <v>1492</v>
      </c>
    </row>
    <row r="619" spans="1:5" x14ac:dyDescent="0.3">
      <c r="A619" s="218">
        <v>35</v>
      </c>
      <c r="B619" s="78">
        <v>55</v>
      </c>
      <c r="C619" s="78" t="s">
        <v>451</v>
      </c>
      <c r="D619" s="78" t="s">
        <v>454</v>
      </c>
      <c r="E619" s="78" t="s">
        <v>1492</v>
      </c>
    </row>
    <row r="620" spans="1:5" x14ac:dyDescent="0.3">
      <c r="A620" s="218">
        <v>36</v>
      </c>
      <c r="B620" s="78">
        <v>56</v>
      </c>
      <c r="C620" s="78" t="s">
        <v>458</v>
      </c>
      <c r="D620" s="78" t="s">
        <v>461</v>
      </c>
      <c r="E620" s="78" t="s">
        <v>1492</v>
      </c>
    </row>
    <row r="621" spans="1:5" x14ac:dyDescent="0.3">
      <c r="A621" s="219"/>
      <c r="B621" s="90"/>
      <c r="C621" s="78" t="s">
        <v>1269</v>
      </c>
      <c r="D621" s="78" t="s">
        <v>1272</v>
      </c>
      <c r="E621" s="78" t="s">
        <v>1492</v>
      </c>
    </row>
    <row r="622" spans="1:5" x14ac:dyDescent="0.3">
      <c r="A622" s="219"/>
      <c r="B622" s="90"/>
      <c r="C622" s="78" t="s">
        <v>1282</v>
      </c>
      <c r="D622" s="78" t="s">
        <v>461</v>
      </c>
      <c r="E622" s="78" t="s">
        <v>1492</v>
      </c>
    </row>
    <row r="623" spans="1:5" x14ac:dyDescent="0.3">
      <c r="A623" s="219"/>
      <c r="B623" s="90"/>
      <c r="C623" s="78" t="s">
        <v>1310</v>
      </c>
      <c r="D623" s="78" t="s">
        <v>413</v>
      </c>
      <c r="E623" s="78" t="s">
        <v>1492</v>
      </c>
    </row>
    <row r="624" spans="1:5" x14ac:dyDescent="0.3">
      <c r="A624" s="219"/>
      <c r="B624" s="90"/>
      <c r="C624" s="78" t="s">
        <v>1314</v>
      </c>
      <c r="D624" s="78" t="s">
        <v>423</v>
      </c>
      <c r="E624" s="78" t="s">
        <v>1492</v>
      </c>
    </row>
    <row r="625" spans="1:5" x14ac:dyDescent="0.3">
      <c r="A625" s="219"/>
      <c r="B625" s="90"/>
      <c r="C625" s="78" t="s">
        <v>1346</v>
      </c>
      <c r="D625" s="78" t="s">
        <v>446</v>
      </c>
      <c r="E625" s="78" t="s">
        <v>1492</v>
      </c>
    </row>
    <row r="626" spans="1:5" x14ac:dyDescent="0.3">
      <c r="A626" s="219"/>
      <c r="B626" s="90"/>
      <c r="C626" s="78" t="s">
        <v>1350</v>
      </c>
      <c r="D626" s="78" t="s">
        <v>454</v>
      </c>
      <c r="E626" s="78" t="s">
        <v>1492</v>
      </c>
    </row>
    <row r="627" spans="1:5" x14ac:dyDescent="0.3">
      <c r="A627" s="219"/>
      <c r="B627" s="90"/>
      <c r="C627" s="78" t="s">
        <v>1354</v>
      </c>
      <c r="D627" s="78" t="s">
        <v>1357</v>
      </c>
      <c r="E627" s="78" t="s">
        <v>1492</v>
      </c>
    </row>
    <row r="628" spans="1:5" x14ac:dyDescent="0.3">
      <c r="A628" s="219"/>
      <c r="B628" s="90"/>
      <c r="C628" s="78" t="s">
        <v>1359</v>
      </c>
      <c r="D628" s="78" t="s">
        <v>1362</v>
      </c>
      <c r="E628" s="78" t="s">
        <v>1492</v>
      </c>
    </row>
    <row r="629" spans="1:5" x14ac:dyDescent="0.3">
      <c r="A629" s="219"/>
      <c r="B629" s="90"/>
      <c r="C629" s="78" t="s">
        <v>1364</v>
      </c>
      <c r="D629" s="78" t="s">
        <v>1367</v>
      </c>
      <c r="E629" s="78" t="s">
        <v>1492</v>
      </c>
    </row>
    <row r="630" spans="1:5" x14ac:dyDescent="0.3">
      <c r="A630" s="219"/>
      <c r="B630" s="90"/>
      <c r="C630" s="78" t="s">
        <v>1369</v>
      </c>
      <c r="D630" s="78" t="s">
        <v>1372</v>
      </c>
      <c r="E630" s="78" t="s">
        <v>1492</v>
      </c>
    </row>
    <row r="631" spans="1:5" x14ac:dyDescent="0.3">
      <c r="A631" s="219"/>
      <c r="B631" s="90"/>
      <c r="C631" s="78" t="s">
        <v>1374</v>
      </c>
      <c r="D631" s="78" t="s">
        <v>1377</v>
      </c>
      <c r="E631" s="78" t="s">
        <v>1492</v>
      </c>
    </row>
    <row r="632" spans="1:5" x14ac:dyDescent="0.3">
      <c r="A632" s="219"/>
      <c r="B632" s="90"/>
      <c r="C632" s="78" t="s">
        <v>1379</v>
      </c>
      <c r="D632" s="78" t="s">
        <v>1382</v>
      </c>
      <c r="E632" s="78" t="s">
        <v>1492</v>
      </c>
    </row>
    <row r="633" spans="1:5" x14ac:dyDescent="0.3">
      <c r="A633" s="219"/>
      <c r="B633" s="90"/>
      <c r="C633" s="78" t="s">
        <v>1384</v>
      </c>
      <c r="D633" s="78" t="s">
        <v>1387</v>
      </c>
      <c r="E633" s="78" t="s">
        <v>1492</v>
      </c>
    </row>
    <row r="634" spans="1:5" x14ac:dyDescent="0.3">
      <c r="A634" s="219"/>
      <c r="B634" s="90"/>
      <c r="C634" s="78" t="s">
        <v>1389</v>
      </c>
      <c r="D634" s="78" t="s">
        <v>1392</v>
      </c>
      <c r="E634" s="78" t="s">
        <v>1492</v>
      </c>
    </row>
    <row r="635" spans="1:5" x14ac:dyDescent="0.3">
      <c r="A635" s="219"/>
      <c r="B635" s="90"/>
      <c r="C635" s="78" t="s">
        <v>1394</v>
      </c>
      <c r="D635" s="78" t="s">
        <v>1397</v>
      </c>
      <c r="E635" s="78" t="s">
        <v>1492</v>
      </c>
    </row>
    <row r="636" spans="1:5" x14ac:dyDescent="0.3">
      <c r="A636" s="219"/>
      <c r="B636" s="90"/>
      <c r="C636" s="78" t="s">
        <v>1399</v>
      </c>
      <c r="D636" s="78" t="s">
        <v>1402</v>
      </c>
      <c r="E636" s="78" t="s">
        <v>1492</v>
      </c>
    </row>
    <row r="637" spans="1:5" x14ac:dyDescent="0.3">
      <c r="A637" s="219"/>
      <c r="B637" s="90"/>
      <c r="C637" s="78" t="s">
        <v>1404</v>
      </c>
      <c r="D637" s="78" t="s">
        <v>1407</v>
      </c>
      <c r="E637" s="78" t="s">
        <v>1492</v>
      </c>
    </row>
    <row r="641" spans="1:5" x14ac:dyDescent="0.3">
      <c r="A641" s="267" t="s">
        <v>2657</v>
      </c>
      <c r="B641" s="134" t="s">
        <v>3</v>
      </c>
      <c r="C641" s="134" t="s">
        <v>4</v>
      </c>
      <c r="D641" s="134" t="s">
        <v>2112</v>
      </c>
      <c r="E641" s="134"/>
    </row>
    <row r="642" spans="1:5" x14ac:dyDescent="0.3">
      <c r="A642" s="218">
        <v>22</v>
      </c>
      <c r="B642" s="78">
        <v>35</v>
      </c>
      <c r="C642" s="78" t="s">
        <v>294</v>
      </c>
      <c r="D642" s="78" t="s">
        <v>300</v>
      </c>
      <c r="E642" s="78" t="s">
        <v>1481</v>
      </c>
    </row>
    <row r="643" spans="1:5" x14ac:dyDescent="0.3">
      <c r="A643" s="219"/>
      <c r="B643" s="78">
        <v>40</v>
      </c>
      <c r="C643" s="78" t="s">
        <v>327</v>
      </c>
      <c r="D643" s="78" t="s">
        <v>335</v>
      </c>
      <c r="E643" s="78" t="s">
        <v>1513</v>
      </c>
    </row>
    <row r="644" spans="1:5" x14ac:dyDescent="0.3">
      <c r="A644" s="219"/>
      <c r="B644" s="78">
        <v>41</v>
      </c>
      <c r="C644" s="78" t="s">
        <v>337</v>
      </c>
      <c r="D644" s="78" t="s">
        <v>342</v>
      </c>
      <c r="E644" s="78" t="s">
        <v>1481</v>
      </c>
    </row>
    <row r="645" spans="1:5" x14ac:dyDescent="0.3">
      <c r="A645" s="218">
        <v>26</v>
      </c>
      <c r="B645" s="78">
        <v>46</v>
      </c>
      <c r="C645" s="78" t="s">
        <v>377</v>
      </c>
      <c r="D645" s="78" t="s">
        <v>384</v>
      </c>
      <c r="E645" s="78" t="s">
        <v>1481</v>
      </c>
    </row>
    <row r="649" spans="1:5" x14ac:dyDescent="0.3">
      <c r="A649" s="267" t="s">
        <v>2657</v>
      </c>
      <c r="B649" s="134" t="s">
        <v>3</v>
      </c>
      <c r="C649" s="134" t="s">
        <v>4</v>
      </c>
      <c r="D649" s="134" t="s">
        <v>1709</v>
      </c>
      <c r="E649" s="134"/>
    </row>
    <row r="650" spans="1:5" x14ac:dyDescent="0.3">
      <c r="A650" s="219"/>
      <c r="B650" s="78">
        <v>12</v>
      </c>
      <c r="C650" s="78" t="s">
        <v>154</v>
      </c>
      <c r="D650" s="78" t="s">
        <v>1868</v>
      </c>
      <c r="E650" s="78" t="s">
        <v>1513</v>
      </c>
    </row>
    <row r="651" spans="1:5" x14ac:dyDescent="0.3">
      <c r="A651" s="219"/>
      <c r="B651" s="78">
        <v>13</v>
      </c>
      <c r="C651" s="78" t="s">
        <v>163</v>
      </c>
      <c r="D651" s="78" t="s">
        <v>172</v>
      </c>
      <c r="E651" s="78" t="s">
        <v>1513</v>
      </c>
    </row>
    <row r="652" spans="1:5" x14ac:dyDescent="0.3">
      <c r="A652" s="219"/>
      <c r="B652" s="78">
        <v>104</v>
      </c>
      <c r="C652" s="78" t="s">
        <v>774</v>
      </c>
      <c r="D652" s="78" t="s">
        <v>777</v>
      </c>
      <c r="E652" s="78" t="s">
        <v>1513</v>
      </c>
    </row>
    <row r="653" spans="1:5" x14ac:dyDescent="0.3">
      <c r="A653" s="219"/>
      <c r="B653" s="78">
        <v>109</v>
      </c>
      <c r="C653" s="78" t="s">
        <v>782</v>
      </c>
      <c r="D653" s="78" t="s">
        <v>785</v>
      </c>
      <c r="E653" s="78" t="s">
        <v>1513</v>
      </c>
    </row>
    <row r="654" spans="1:5" x14ac:dyDescent="0.3">
      <c r="A654" s="218">
        <v>66</v>
      </c>
      <c r="B654" s="78">
        <v>114</v>
      </c>
      <c r="C654" s="78" t="s">
        <v>810</v>
      </c>
      <c r="D654" s="78" t="s">
        <v>172</v>
      </c>
      <c r="E654" s="78" t="s">
        <v>1513</v>
      </c>
    </row>
    <row r="655" spans="1:5" x14ac:dyDescent="0.3">
      <c r="A655" s="218">
        <v>67</v>
      </c>
      <c r="B655" s="78">
        <v>116</v>
      </c>
      <c r="C655" s="78" t="s">
        <v>823</v>
      </c>
      <c r="D655" s="78" t="s">
        <v>1868</v>
      </c>
      <c r="E655" s="78" t="s">
        <v>1513</v>
      </c>
    </row>
    <row r="656" spans="1:5" x14ac:dyDescent="0.3">
      <c r="A656" s="219"/>
      <c r="B656" s="78">
        <v>1</v>
      </c>
      <c r="C656" s="78" t="s">
        <v>22</v>
      </c>
      <c r="D656" s="78" t="s">
        <v>30</v>
      </c>
      <c r="E656" s="78" t="s">
        <v>1513</v>
      </c>
    </row>
    <row r="657" spans="1:5" x14ac:dyDescent="0.3">
      <c r="A657" s="219"/>
      <c r="B657" s="78">
        <v>2</v>
      </c>
      <c r="C657" s="78" t="s">
        <v>36</v>
      </c>
      <c r="D657" s="78" t="s">
        <v>42</v>
      </c>
      <c r="E657" s="78" t="s">
        <v>1513</v>
      </c>
    </row>
    <row r="658" spans="1:5" x14ac:dyDescent="0.3">
      <c r="A658" s="219"/>
      <c r="B658" s="78">
        <v>3</v>
      </c>
      <c r="C658" s="78" t="s">
        <v>47</v>
      </c>
      <c r="D658" s="78" t="s">
        <v>1725</v>
      </c>
      <c r="E658" s="78" t="s">
        <v>1513</v>
      </c>
    </row>
    <row r="659" spans="1:5" x14ac:dyDescent="0.3">
      <c r="A659" s="219"/>
      <c r="B659" s="78">
        <v>6</v>
      </c>
      <c r="C659" s="78" t="s">
        <v>87</v>
      </c>
      <c r="D659" s="78" t="s">
        <v>95</v>
      </c>
      <c r="E659" s="78" t="s">
        <v>1513</v>
      </c>
    </row>
    <row r="660" spans="1:5" x14ac:dyDescent="0.3">
      <c r="A660" s="219"/>
      <c r="B660" s="78">
        <v>87</v>
      </c>
      <c r="C660" s="78" t="s">
        <v>665</v>
      </c>
      <c r="D660" s="78" t="s">
        <v>2050</v>
      </c>
      <c r="E660" s="78" t="s">
        <v>1513</v>
      </c>
    </row>
    <row r="661" spans="1:5" x14ac:dyDescent="0.3">
      <c r="A661" s="219"/>
      <c r="B661" s="78">
        <v>88</v>
      </c>
      <c r="C661" s="78" t="s">
        <v>671</v>
      </c>
      <c r="D661" s="78" t="s">
        <v>2053</v>
      </c>
      <c r="E661" s="78" t="s">
        <v>1513</v>
      </c>
    </row>
    <row r="662" spans="1:5" x14ac:dyDescent="0.3">
      <c r="A662" s="219"/>
      <c r="B662" s="78">
        <v>103</v>
      </c>
      <c r="C662" s="78" t="s">
        <v>767</v>
      </c>
      <c r="D662" s="78" t="s">
        <v>2070</v>
      </c>
      <c r="E662" s="78" t="s">
        <v>1513</v>
      </c>
    </row>
    <row r="663" spans="1:5" x14ac:dyDescent="0.3">
      <c r="A663" s="219"/>
      <c r="B663" s="78">
        <v>118</v>
      </c>
      <c r="C663" s="78" t="s">
        <v>835</v>
      </c>
      <c r="D663" s="78" t="s">
        <v>840</v>
      </c>
      <c r="E663" s="78" t="s">
        <v>1513</v>
      </c>
    </row>
    <row r="664" spans="1:5" x14ac:dyDescent="0.3">
      <c r="A664" s="219"/>
      <c r="B664" s="78">
        <v>122</v>
      </c>
      <c r="C664" s="78" t="s">
        <v>862</v>
      </c>
      <c r="D664" s="78" t="s">
        <v>2131</v>
      </c>
      <c r="E664" s="78" t="s">
        <v>1513</v>
      </c>
    </row>
    <row r="665" spans="1:5" x14ac:dyDescent="0.3">
      <c r="A665" s="219"/>
      <c r="B665" s="78">
        <v>131</v>
      </c>
      <c r="C665" s="78" t="s">
        <v>908</v>
      </c>
      <c r="D665" s="78" t="s">
        <v>913</v>
      </c>
      <c r="E665" s="78" t="s">
        <v>1513</v>
      </c>
    </row>
    <row r="666" spans="1:5" x14ac:dyDescent="0.3">
      <c r="A666" s="219"/>
      <c r="B666" s="78">
        <v>138</v>
      </c>
      <c r="C666" s="78" t="s">
        <v>953</v>
      </c>
      <c r="D666" s="78" t="s">
        <v>957</v>
      </c>
      <c r="E666" s="78" t="s">
        <v>1513</v>
      </c>
    </row>
    <row r="667" spans="1:5" x14ac:dyDescent="0.3">
      <c r="A667" s="219"/>
      <c r="B667" s="78">
        <v>139</v>
      </c>
      <c r="C667" s="78" t="s">
        <v>959</v>
      </c>
      <c r="D667" s="78" t="s">
        <v>2147</v>
      </c>
      <c r="E667" s="78" t="s">
        <v>1513</v>
      </c>
    </row>
    <row r="668" spans="1:5" x14ac:dyDescent="0.3">
      <c r="A668" s="219"/>
      <c r="B668" s="78">
        <v>142</v>
      </c>
      <c r="C668" s="78" t="s">
        <v>975</v>
      </c>
      <c r="D668" s="78" t="s">
        <v>2183</v>
      </c>
      <c r="E668" s="78" t="s">
        <v>1513</v>
      </c>
    </row>
    <row r="669" spans="1:5" x14ac:dyDescent="0.3">
      <c r="A669" s="219"/>
      <c r="B669" s="78">
        <v>144</v>
      </c>
      <c r="C669" s="78" t="s">
        <v>987</v>
      </c>
      <c r="D669" s="78" t="s">
        <v>2185</v>
      </c>
      <c r="E669" s="78" t="s">
        <v>1513</v>
      </c>
    </row>
    <row r="670" spans="1:5" x14ac:dyDescent="0.3">
      <c r="A670" s="219"/>
      <c r="B670" s="78">
        <v>153</v>
      </c>
      <c r="C670" s="78" t="s">
        <v>1017</v>
      </c>
      <c r="D670" s="78" t="s">
        <v>2191</v>
      </c>
      <c r="E670" s="78" t="s">
        <v>1513</v>
      </c>
    </row>
    <row r="671" spans="1:5" x14ac:dyDescent="0.3">
      <c r="A671" s="219"/>
      <c r="B671" s="78">
        <v>154</v>
      </c>
      <c r="C671" s="78" t="s">
        <v>1022</v>
      </c>
      <c r="D671" s="78" t="s">
        <v>1025</v>
      </c>
      <c r="E671" s="78" t="s">
        <v>1513</v>
      </c>
    </row>
    <row r="672" spans="1:5" x14ac:dyDescent="0.3">
      <c r="A672" s="219"/>
      <c r="B672" s="78">
        <v>156</v>
      </c>
      <c r="C672" s="78" t="s">
        <v>1033</v>
      </c>
      <c r="D672" s="78" t="s">
        <v>2195</v>
      </c>
      <c r="E672" s="78" t="s">
        <v>1513</v>
      </c>
    </row>
    <row r="673" spans="1:5" x14ac:dyDescent="0.3">
      <c r="A673" s="219"/>
      <c r="B673" s="78">
        <v>157</v>
      </c>
      <c r="C673" s="78" t="s">
        <v>1038</v>
      </c>
      <c r="D673" s="78" t="s">
        <v>1041</v>
      </c>
      <c r="E673" s="78" t="s">
        <v>1513</v>
      </c>
    </row>
    <row r="674" spans="1:5" x14ac:dyDescent="0.3">
      <c r="A674" s="219"/>
      <c r="B674" s="78">
        <v>158</v>
      </c>
      <c r="C674" s="78" t="s">
        <v>1043</v>
      </c>
      <c r="D674" s="78" t="s">
        <v>2200</v>
      </c>
      <c r="E674" s="78" t="s">
        <v>1513</v>
      </c>
    </row>
    <row r="675" spans="1:5" x14ac:dyDescent="0.3">
      <c r="A675" s="219"/>
      <c r="B675" s="78">
        <v>164</v>
      </c>
      <c r="C675" s="78" t="s">
        <v>1075</v>
      </c>
      <c r="D675" s="78" t="s">
        <v>1078</v>
      </c>
      <c r="E675" s="78" t="s">
        <v>1513</v>
      </c>
    </row>
    <row r="679" spans="1:5" x14ac:dyDescent="0.3">
      <c r="A679" s="267" t="s">
        <v>2657</v>
      </c>
      <c r="B679" s="134" t="s">
        <v>3</v>
      </c>
      <c r="C679" s="134" t="s">
        <v>4</v>
      </c>
      <c r="D679" s="134" t="s">
        <v>1595</v>
      </c>
      <c r="E679" s="134"/>
    </row>
    <row r="680" spans="1:5" x14ac:dyDescent="0.3">
      <c r="A680" s="218">
        <v>3</v>
      </c>
      <c r="B680" s="78">
        <v>7</v>
      </c>
      <c r="C680" s="78" t="s">
        <v>99</v>
      </c>
      <c r="D680" s="78" t="s">
        <v>104</v>
      </c>
      <c r="E680" s="78" t="s">
        <v>1481</v>
      </c>
    </row>
    <row r="681" spans="1:5" x14ac:dyDescent="0.3">
      <c r="A681" s="218">
        <v>4</v>
      </c>
      <c r="B681" s="78">
        <v>8</v>
      </c>
      <c r="C681" s="78" t="s">
        <v>111</v>
      </c>
      <c r="D681" s="78" t="s">
        <v>115</v>
      </c>
      <c r="E681" s="78" t="s">
        <v>1481</v>
      </c>
    </row>
    <row r="682" spans="1:5" x14ac:dyDescent="0.3">
      <c r="A682" s="218">
        <v>6</v>
      </c>
      <c r="B682" s="78">
        <v>10</v>
      </c>
      <c r="C682" s="78" t="s">
        <v>135</v>
      </c>
      <c r="D682" s="78" t="s">
        <v>138</v>
      </c>
      <c r="E682" s="78" t="s">
        <v>1481</v>
      </c>
    </row>
    <row r="683" spans="1:5" x14ac:dyDescent="0.3">
      <c r="A683" s="218">
        <v>20</v>
      </c>
      <c r="B683" s="78">
        <v>31</v>
      </c>
      <c r="C683" s="78" t="s">
        <v>258</v>
      </c>
      <c r="D683" s="78" t="s">
        <v>263</v>
      </c>
      <c r="E683" s="78" t="s">
        <v>1481</v>
      </c>
    </row>
    <row r="684" spans="1:5" x14ac:dyDescent="0.3">
      <c r="A684" s="218">
        <v>26</v>
      </c>
      <c r="B684" s="78">
        <v>46</v>
      </c>
      <c r="C684" s="78" t="s">
        <v>377</v>
      </c>
      <c r="D684" s="78" t="s">
        <v>380</v>
      </c>
      <c r="E684" s="78" t="s">
        <v>1481</v>
      </c>
    </row>
    <row r="685" spans="1:5" x14ac:dyDescent="0.3">
      <c r="A685" s="218">
        <v>30</v>
      </c>
      <c r="B685" s="78">
        <v>50</v>
      </c>
      <c r="C685" s="78" t="s">
        <v>408</v>
      </c>
      <c r="D685" s="78" t="s">
        <v>411</v>
      </c>
      <c r="E685" s="78" t="s">
        <v>1481</v>
      </c>
    </row>
    <row r="686" spans="1:5" x14ac:dyDescent="0.3">
      <c r="A686" s="218">
        <v>31</v>
      </c>
      <c r="B686" s="78">
        <v>51</v>
      </c>
      <c r="C686" s="78" t="s">
        <v>418</v>
      </c>
      <c r="D686" s="78" t="s">
        <v>421</v>
      </c>
      <c r="E686" s="78" t="s">
        <v>1481</v>
      </c>
    </row>
    <row r="687" spans="1:5" x14ac:dyDescent="0.3">
      <c r="A687" s="218">
        <v>42</v>
      </c>
      <c r="B687" s="78">
        <v>64</v>
      </c>
      <c r="C687" s="78" t="s">
        <v>490</v>
      </c>
      <c r="D687" s="78" t="s">
        <v>115</v>
      </c>
      <c r="E687" s="78" t="s">
        <v>1481</v>
      </c>
    </row>
    <row r="688" spans="1:5" x14ac:dyDescent="0.3">
      <c r="A688" s="218">
        <v>43</v>
      </c>
      <c r="B688" s="78">
        <v>65</v>
      </c>
      <c r="C688" s="78" t="s">
        <v>498</v>
      </c>
      <c r="D688" s="78" t="s">
        <v>104</v>
      </c>
      <c r="E688" s="78" t="s">
        <v>1481</v>
      </c>
    </row>
    <row r="689" spans="1:5" x14ac:dyDescent="0.3">
      <c r="A689" s="218">
        <v>44</v>
      </c>
      <c r="B689" s="78">
        <v>66</v>
      </c>
      <c r="C689" s="78" t="s">
        <v>506</v>
      </c>
      <c r="D689" s="78" t="s">
        <v>138</v>
      </c>
      <c r="E689" s="78" t="s">
        <v>1481</v>
      </c>
    </row>
    <row r="690" spans="1:5" x14ac:dyDescent="0.3">
      <c r="A690" s="218">
        <v>58</v>
      </c>
      <c r="B690" s="78">
        <v>102</v>
      </c>
      <c r="C690" s="78" t="s">
        <v>762</v>
      </c>
      <c r="D690" s="78" t="s">
        <v>380</v>
      </c>
      <c r="E690" s="78" t="s">
        <v>1481</v>
      </c>
    </row>
    <row r="691" spans="1:5" x14ac:dyDescent="0.3">
      <c r="A691" s="219"/>
      <c r="B691" s="78">
        <v>104</v>
      </c>
      <c r="C691" s="78" t="s">
        <v>774</v>
      </c>
      <c r="D691" s="78" t="s">
        <v>104</v>
      </c>
      <c r="E691" s="78" t="s">
        <v>1481</v>
      </c>
    </row>
    <row r="692" spans="1:5" x14ac:dyDescent="0.3">
      <c r="A692" s="219"/>
      <c r="B692" s="78">
        <v>109</v>
      </c>
      <c r="C692" s="78" t="s">
        <v>782</v>
      </c>
      <c r="D692" s="78" t="s">
        <v>115</v>
      </c>
      <c r="E692" s="78" t="s">
        <v>1481</v>
      </c>
    </row>
    <row r="693" spans="1:5" x14ac:dyDescent="0.3">
      <c r="A693" s="218">
        <v>63</v>
      </c>
      <c r="B693" s="78">
        <v>110</v>
      </c>
      <c r="C693" s="78" t="s">
        <v>787</v>
      </c>
      <c r="D693" s="78" t="s">
        <v>263</v>
      </c>
      <c r="E693" s="78" t="s">
        <v>1481</v>
      </c>
    </row>
    <row r="694" spans="1:5" x14ac:dyDescent="0.3">
      <c r="A694" s="218">
        <v>67</v>
      </c>
      <c r="B694" s="78">
        <v>116</v>
      </c>
      <c r="C694" s="78" t="s">
        <v>823</v>
      </c>
      <c r="D694" s="78" t="s">
        <v>411</v>
      </c>
      <c r="E694" s="78" t="s">
        <v>1481</v>
      </c>
    </row>
    <row r="695" spans="1:5" x14ac:dyDescent="0.3">
      <c r="A695" s="218">
        <v>68</v>
      </c>
      <c r="B695" s="78">
        <v>117</v>
      </c>
      <c r="C695" s="78" t="s">
        <v>829</v>
      </c>
      <c r="D695" s="78" t="s">
        <v>421</v>
      </c>
      <c r="E695" s="78" t="s">
        <v>1481</v>
      </c>
    </row>
    <row r="696" spans="1:5" x14ac:dyDescent="0.3">
      <c r="A696" s="218">
        <v>99</v>
      </c>
      <c r="B696" s="78">
        <v>171</v>
      </c>
      <c r="C696" s="78" t="s">
        <v>1106</v>
      </c>
      <c r="D696" s="78" t="s">
        <v>263</v>
      </c>
      <c r="E696" s="78" t="s">
        <v>1481</v>
      </c>
    </row>
    <row r="697" spans="1:5" x14ac:dyDescent="0.3">
      <c r="A697" s="219"/>
      <c r="B697" s="78">
        <v>67</v>
      </c>
      <c r="C697" s="78" t="s">
        <v>515</v>
      </c>
      <c r="D697" s="78" t="s">
        <v>380</v>
      </c>
      <c r="E697" s="78" t="s">
        <v>1481</v>
      </c>
    </row>
    <row r="698" spans="1:5" x14ac:dyDescent="0.3">
      <c r="A698" s="219"/>
      <c r="B698" s="78">
        <v>111</v>
      </c>
      <c r="C698" s="78" t="s">
        <v>793</v>
      </c>
      <c r="D698" s="78" t="s">
        <v>138</v>
      </c>
      <c r="E698" s="78" t="s">
        <v>1481</v>
      </c>
    </row>
    <row r="699" spans="1:5" x14ac:dyDescent="0.3">
      <c r="A699" s="219"/>
      <c r="B699" s="90"/>
      <c r="C699" s="78" t="s">
        <v>1205</v>
      </c>
      <c r="D699" s="78" t="s">
        <v>138</v>
      </c>
      <c r="E699" s="78" t="s">
        <v>1481</v>
      </c>
    </row>
    <row r="700" spans="1:5" x14ac:dyDescent="0.3">
      <c r="A700" s="219"/>
      <c r="B700" s="90"/>
      <c r="C700" s="78" t="s">
        <v>1209</v>
      </c>
      <c r="D700" s="78" t="s">
        <v>104</v>
      </c>
      <c r="E700" s="78" t="s">
        <v>1481</v>
      </c>
    </row>
    <row r="701" spans="1:5" x14ac:dyDescent="0.3">
      <c r="A701" s="219"/>
      <c r="B701" s="90"/>
      <c r="C701" s="78" t="s">
        <v>1217</v>
      </c>
      <c r="D701" s="78" t="s">
        <v>115</v>
      </c>
      <c r="E701" s="78" t="s">
        <v>1481</v>
      </c>
    </row>
    <row r="702" spans="1:5" x14ac:dyDescent="0.3">
      <c r="A702" s="219"/>
      <c r="B702" s="90"/>
      <c r="C702" s="78" t="s">
        <v>1221</v>
      </c>
      <c r="D702" s="78" t="s">
        <v>263</v>
      </c>
      <c r="E702" s="78" t="s">
        <v>1481</v>
      </c>
    </row>
    <row r="703" spans="1:5" x14ac:dyDescent="0.3">
      <c r="A703" s="219"/>
      <c r="B703" s="90"/>
      <c r="C703" s="78" t="s">
        <v>1229</v>
      </c>
      <c r="D703" s="78" t="s">
        <v>380</v>
      </c>
      <c r="E703" s="78" t="s">
        <v>1481</v>
      </c>
    </row>
    <row r="704" spans="1:5" x14ac:dyDescent="0.3">
      <c r="A704" s="219"/>
      <c r="B704" s="90"/>
      <c r="C704" s="78" t="s">
        <v>1233</v>
      </c>
      <c r="D704" s="78" t="s">
        <v>411</v>
      </c>
      <c r="E704" s="78" t="s">
        <v>1481</v>
      </c>
    </row>
    <row r="705" spans="1:5" x14ac:dyDescent="0.3">
      <c r="A705" s="219"/>
      <c r="B705" s="90"/>
      <c r="C705" s="78" t="s">
        <v>1237</v>
      </c>
      <c r="D705" s="78" t="s">
        <v>421</v>
      </c>
      <c r="E705" s="78" t="s">
        <v>1481</v>
      </c>
    </row>
    <row r="706" spans="1:5" x14ac:dyDescent="0.3">
      <c r="A706" s="219"/>
      <c r="B706" s="90"/>
      <c r="C706" s="78" t="s">
        <v>1249</v>
      </c>
      <c r="D706" s="78" t="s">
        <v>421</v>
      </c>
      <c r="E706" s="78" t="s">
        <v>1481</v>
      </c>
    </row>
    <row r="707" spans="1:5" x14ac:dyDescent="0.3">
      <c r="A707" s="219"/>
      <c r="B707" s="90"/>
      <c r="C707" s="78" t="s">
        <v>1274</v>
      </c>
      <c r="D707" s="78" t="s">
        <v>380</v>
      </c>
      <c r="E707" s="78" t="s">
        <v>1481</v>
      </c>
    </row>
    <row r="711" spans="1:5" x14ac:dyDescent="0.3">
      <c r="A711" s="267" t="s">
        <v>2657</v>
      </c>
      <c r="B711" s="134" t="s">
        <v>3</v>
      </c>
      <c r="C711" s="134" t="s">
        <v>4</v>
      </c>
      <c r="D711" s="134" t="s">
        <v>1490</v>
      </c>
      <c r="E711" s="134"/>
    </row>
    <row r="712" spans="1:5" x14ac:dyDescent="0.3">
      <c r="A712" s="218">
        <v>51</v>
      </c>
      <c r="B712" s="78">
        <v>90</v>
      </c>
      <c r="C712" s="78" t="s">
        <v>684</v>
      </c>
      <c r="D712" s="78" t="s">
        <v>687</v>
      </c>
      <c r="E712" s="78" t="s">
        <v>1481</v>
      </c>
    </row>
    <row r="713" spans="1:5" x14ac:dyDescent="0.3">
      <c r="A713" s="218">
        <v>52</v>
      </c>
      <c r="B713" s="78">
        <v>92</v>
      </c>
      <c r="C713" s="78" t="s">
        <v>698</v>
      </c>
      <c r="D713" s="78" t="s">
        <v>702</v>
      </c>
      <c r="E713" s="78" t="s">
        <v>1481</v>
      </c>
    </row>
    <row r="714" spans="1:5" x14ac:dyDescent="0.3">
      <c r="A714" s="218">
        <v>74</v>
      </c>
      <c r="B714" s="78">
        <v>126</v>
      </c>
      <c r="C714" s="78" t="s">
        <v>888</v>
      </c>
      <c r="D714" s="78" t="s">
        <v>695</v>
      </c>
      <c r="E714" s="78" t="s">
        <v>1481</v>
      </c>
    </row>
    <row r="715" spans="1:5" x14ac:dyDescent="0.3">
      <c r="A715" s="218">
        <v>75</v>
      </c>
      <c r="B715" s="78">
        <v>129</v>
      </c>
      <c r="C715" s="78" t="s">
        <v>897</v>
      </c>
      <c r="D715" s="78" t="s">
        <v>710</v>
      </c>
      <c r="E715" s="78" t="s">
        <v>1481</v>
      </c>
    </row>
    <row r="716" spans="1:5" x14ac:dyDescent="0.3">
      <c r="A716" s="218">
        <v>76</v>
      </c>
      <c r="B716" s="78">
        <v>130</v>
      </c>
      <c r="C716" s="78" t="s">
        <v>903</v>
      </c>
      <c r="D716" s="78" t="s">
        <v>687</v>
      </c>
      <c r="E716" s="78" t="s">
        <v>1481</v>
      </c>
    </row>
    <row r="717" spans="1:5" x14ac:dyDescent="0.3">
      <c r="A717" s="218">
        <v>77</v>
      </c>
      <c r="B717" s="78">
        <v>133</v>
      </c>
      <c r="C717" s="78" t="s">
        <v>921</v>
      </c>
      <c r="D717" s="78" t="s">
        <v>702</v>
      </c>
      <c r="E717" s="78" t="s">
        <v>1481</v>
      </c>
    </row>
    <row r="718" spans="1:5" x14ac:dyDescent="0.3">
      <c r="A718" s="218">
        <v>78</v>
      </c>
      <c r="B718" s="78">
        <v>135</v>
      </c>
      <c r="C718" s="78" t="s">
        <v>932</v>
      </c>
      <c r="D718" s="78" t="s">
        <v>681</v>
      </c>
      <c r="E718" s="78" t="s">
        <v>1481</v>
      </c>
    </row>
    <row r="719" spans="1:5" x14ac:dyDescent="0.3">
      <c r="A719" s="218">
        <v>79</v>
      </c>
      <c r="B719" s="78">
        <v>137</v>
      </c>
      <c r="C719" s="78" t="s">
        <v>945</v>
      </c>
      <c r="D719" s="78" t="s">
        <v>948</v>
      </c>
      <c r="E719" s="78" t="s">
        <v>1481</v>
      </c>
    </row>
    <row r="720" spans="1:5" x14ac:dyDescent="0.3">
      <c r="A720" s="218">
        <v>82</v>
      </c>
      <c r="B720" s="78">
        <v>143</v>
      </c>
      <c r="C720" s="78" t="s">
        <v>980</v>
      </c>
      <c r="D720" s="78" t="s">
        <v>983</v>
      </c>
      <c r="E720" s="78" t="s">
        <v>1481</v>
      </c>
    </row>
    <row r="721" spans="1:5" x14ac:dyDescent="0.3">
      <c r="A721" s="219"/>
      <c r="B721" s="78">
        <v>89</v>
      </c>
      <c r="C721" s="78" t="s">
        <v>678</v>
      </c>
      <c r="D721" s="78" t="s">
        <v>681</v>
      </c>
      <c r="E721" s="78" t="s">
        <v>1481</v>
      </c>
    </row>
    <row r="722" spans="1:5" x14ac:dyDescent="0.3">
      <c r="A722" s="219"/>
      <c r="B722" s="78">
        <v>91</v>
      </c>
      <c r="C722" s="78" t="s">
        <v>692</v>
      </c>
      <c r="D722" s="78" t="s">
        <v>695</v>
      </c>
      <c r="E722" s="78" t="s">
        <v>1481</v>
      </c>
    </row>
    <row r="723" spans="1:5" x14ac:dyDescent="0.3">
      <c r="A723" s="219"/>
      <c r="B723" s="78">
        <v>93</v>
      </c>
      <c r="C723" s="78" t="s">
        <v>706</v>
      </c>
      <c r="D723" s="78" t="s">
        <v>710</v>
      </c>
      <c r="E723" s="78" t="s">
        <v>1481</v>
      </c>
    </row>
    <row r="724" spans="1:5" x14ac:dyDescent="0.3">
      <c r="A724" s="219"/>
      <c r="B724" s="78">
        <v>153</v>
      </c>
      <c r="C724" s="78" t="s">
        <v>1017</v>
      </c>
      <c r="D724" s="78" t="s">
        <v>695</v>
      </c>
      <c r="E724" s="78" t="s">
        <v>1481</v>
      </c>
    </row>
    <row r="725" spans="1:5" x14ac:dyDescent="0.3">
      <c r="A725" s="219"/>
      <c r="B725" s="78">
        <v>154</v>
      </c>
      <c r="C725" s="78" t="s">
        <v>1022</v>
      </c>
      <c r="D725" s="78" t="s">
        <v>710</v>
      </c>
      <c r="E725" s="78" t="s">
        <v>1481</v>
      </c>
    </row>
    <row r="726" spans="1:5" x14ac:dyDescent="0.3">
      <c r="A726" s="219"/>
      <c r="B726" s="78">
        <v>156</v>
      </c>
      <c r="C726" s="78" t="s">
        <v>1033</v>
      </c>
      <c r="D726" s="78" t="s">
        <v>702</v>
      </c>
      <c r="E726" s="78" t="s">
        <v>1481</v>
      </c>
    </row>
    <row r="727" spans="1:5" x14ac:dyDescent="0.3">
      <c r="A727" s="219"/>
      <c r="B727" s="78">
        <v>157</v>
      </c>
      <c r="C727" s="78" t="s">
        <v>1038</v>
      </c>
      <c r="D727" s="78" t="s">
        <v>681</v>
      </c>
      <c r="E727" s="78" t="s">
        <v>1481</v>
      </c>
    </row>
    <row r="728" spans="1:5" x14ac:dyDescent="0.3">
      <c r="A728" s="219"/>
      <c r="B728" s="78">
        <v>158</v>
      </c>
      <c r="C728" s="78" t="s">
        <v>1043</v>
      </c>
      <c r="D728" s="78" t="s">
        <v>687</v>
      </c>
      <c r="E728" s="78" t="s">
        <v>1481</v>
      </c>
    </row>
    <row r="729" spans="1:5" x14ac:dyDescent="0.3">
      <c r="A729" s="219"/>
      <c r="B729" s="90"/>
      <c r="C729" s="78" t="s">
        <v>1245</v>
      </c>
      <c r="D729" s="78" t="s">
        <v>948</v>
      </c>
      <c r="E729" s="78" t="s">
        <v>1481</v>
      </c>
    </row>
    <row r="730" spans="1:5" x14ac:dyDescent="0.3">
      <c r="A730" s="219"/>
      <c r="B730" s="90"/>
      <c r="C730" s="78" t="s">
        <v>1257</v>
      </c>
      <c r="D730" s="78" t="s">
        <v>702</v>
      </c>
      <c r="E730" s="78" t="s">
        <v>1481</v>
      </c>
    </row>
    <row r="731" spans="1:5" x14ac:dyDescent="0.3">
      <c r="A731" s="219"/>
      <c r="B731" s="90"/>
      <c r="C731" s="78" t="s">
        <v>1261</v>
      </c>
      <c r="D731" s="78" t="s">
        <v>681</v>
      </c>
      <c r="E731" s="78" t="s">
        <v>1481</v>
      </c>
    </row>
    <row r="732" spans="1:5" x14ac:dyDescent="0.3">
      <c r="A732" s="219"/>
      <c r="B732" s="90"/>
      <c r="C732" s="78" t="s">
        <v>1265</v>
      </c>
      <c r="D732" s="78" t="s">
        <v>948</v>
      </c>
      <c r="E732" s="78" t="s">
        <v>1481</v>
      </c>
    </row>
    <row r="733" spans="1:5" x14ac:dyDescent="0.3">
      <c r="A733" s="219"/>
      <c r="B733" s="90"/>
      <c r="C733" s="78" t="s">
        <v>1269</v>
      </c>
      <c r="D733" s="78" t="s">
        <v>983</v>
      </c>
      <c r="E733" s="78" t="s">
        <v>1481</v>
      </c>
    </row>
    <row r="734" spans="1:5" x14ac:dyDescent="0.3">
      <c r="A734" s="219"/>
      <c r="B734" s="90"/>
      <c r="C734" s="78" t="s">
        <v>1334</v>
      </c>
      <c r="D734" s="78" t="s">
        <v>983</v>
      </c>
      <c r="E734" s="78" t="s">
        <v>1481</v>
      </c>
    </row>
    <row r="738" spans="1:5" x14ac:dyDescent="0.3">
      <c r="A738" s="267" t="s">
        <v>2657</v>
      </c>
      <c r="B738" s="134" t="s">
        <v>3</v>
      </c>
      <c r="C738" s="134" t="s">
        <v>4</v>
      </c>
      <c r="D738" s="134" t="s">
        <v>1948</v>
      </c>
      <c r="E738" s="134"/>
    </row>
    <row r="739" spans="1:5" x14ac:dyDescent="0.3">
      <c r="A739" s="218">
        <v>22</v>
      </c>
      <c r="B739" s="78">
        <v>35</v>
      </c>
      <c r="C739" s="78" t="s">
        <v>294</v>
      </c>
      <c r="D739" s="78" t="s">
        <v>303</v>
      </c>
      <c r="E739" s="78" t="s">
        <v>1513</v>
      </c>
    </row>
    <row r="740" spans="1:5" x14ac:dyDescent="0.3">
      <c r="A740" s="218">
        <v>23</v>
      </c>
      <c r="B740" s="78">
        <v>36</v>
      </c>
      <c r="C740" s="78" t="s">
        <v>308</v>
      </c>
      <c r="D740" s="78" t="s">
        <v>313</v>
      </c>
      <c r="E740" s="78" t="s">
        <v>1492</v>
      </c>
    </row>
    <row r="741" spans="1:5" x14ac:dyDescent="0.3">
      <c r="A741" s="218">
        <v>39</v>
      </c>
      <c r="B741" s="78">
        <v>61</v>
      </c>
      <c r="C741" s="78" t="s">
        <v>469</v>
      </c>
      <c r="D741" s="78" t="s">
        <v>303</v>
      </c>
      <c r="E741" s="78" t="s">
        <v>1513</v>
      </c>
    </row>
    <row r="742" spans="1:5" x14ac:dyDescent="0.3">
      <c r="A742" s="218">
        <v>40</v>
      </c>
      <c r="B742" s="78">
        <v>62</v>
      </c>
      <c r="C742" s="78" t="s">
        <v>476</v>
      </c>
      <c r="D742" s="78" t="s">
        <v>313</v>
      </c>
      <c r="E742" s="78" t="s">
        <v>1492</v>
      </c>
    </row>
    <row r="743" spans="1:5" x14ac:dyDescent="0.3">
      <c r="A743" s="219"/>
      <c r="B743" s="78">
        <v>96</v>
      </c>
      <c r="C743" s="78" t="s">
        <v>727</v>
      </c>
      <c r="D743" s="78" t="s">
        <v>313</v>
      </c>
      <c r="E743" s="78" t="s">
        <v>1492</v>
      </c>
    </row>
    <row r="744" spans="1:5" x14ac:dyDescent="0.3">
      <c r="A744" s="219"/>
      <c r="B744" s="78">
        <v>99</v>
      </c>
      <c r="C744" s="78" t="s">
        <v>744</v>
      </c>
      <c r="D744" s="78" t="s">
        <v>303</v>
      </c>
      <c r="E744" s="78" t="s">
        <v>1513</v>
      </c>
    </row>
    <row r="745" spans="1:5" x14ac:dyDescent="0.3">
      <c r="A745" s="219"/>
      <c r="B745" s="90"/>
      <c r="C745" s="78" t="s">
        <v>1141</v>
      </c>
      <c r="D745" s="78" t="s">
        <v>313</v>
      </c>
      <c r="E745" s="78" t="s">
        <v>1492</v>
      </c>
    </row>
    <row r="746" spans="1:5" x14ac:dyDescent="0.3">
      <c r="A746" s="219"/>
      <c r="B746" s="90"/>
      <c r="C746" s="78" t="s">
        <v>1145</v>
      </c>
      <c r="D746" s="78" t="s">
        <v>303</v>
      </c>
      <c r="E746" s="78" t="s">
        <v>1513</v>
      </c>
    </row>
    <row r="747" spans="1:5" x14ac:dyDescent="0.3">
      <c r="A747" s="219"/>
      <c r="B747" s="90"/>
      <c r="C747" s="78" t="s">
        <v>1274</v>
      </c>
      <c r="D747" s="78" t="s">
        <v>313</v>
      </c>
      <c r="E747" s="78" t="s">
        <v>1492</v>
      </c>
    </row>
    <row r="748" spans="1:5" x14ac:dyDescent="0.3">
      <c r="A748" s="219"/>
      <c r="B748" s="90"/>
      <c r="C748" s="78" t="s">
        <v>1278</v>
      </c>
      <c r="D748" s="78" t="s">
        <v>303</v>
      </c>
      <c r="E748" s="78" t="s">
        <v>1513</v>
      </c>
    </row>
    <row r="752" spans="1:5" x14ac:dyDescent="0.3">
      <c r="A752" s="267" t="s">
        <v>2657</v>
      </c>
      <c r="B752" s="134" t="s">
        <v>3</v>
      </c>
      <c r="C752" s="134" t="s">
        <v>4</v>
      </c>
      <c r="D752" s="134" t="s">
        <v>1494</v>
      </c>
      <c r="E752" s="134"/>
    </row>
    <row r="753" spans="1:5" x14ac:dyDescent="0.3">
      <c r="A753" s="218">
        <v>1</v>
      </c>
      <c r="B753" s="78">
        <v>4</v>
      </c>
      <c r="C753" s="78" t="s">
        <v>57</v>
      </c>
      <c r="D753" s="78" t="s">
        <v>63</v>
      </c>
      <c r="E753" s="78" t="s">
        <v>1481</v>
      </c>
    </row>
    <row r="754" spans="1:5" x14ac:dyDescent="0.3">
      <c r="A754" s="218">
        <v>2</v>
      </c>
      <c r="B754" s="78">
        <v>5</v>
      </c>
      <c r="C754" s="78" t="s">
        <v>72</v>
      </c>
      <c r="D754" s="78" t="s">
        <v>77</v>
      </c>
      <c r="E754" s="78" t="s">
        <v>1481</v>
      </c>
    </row>
    <row r="755" spans="1:5" x14ac:dyDescent="0.3">
      <c r="A755" s="218">
        <v>3</v>
      </c>
      <c r="B755" s="78">
        <v>7</v>
      </c>
      <c r="C755" s="78" t="s">
        <v>99</v>
      </c>
      <c r="D755" s="78" t="s">
        <v>2354</v>
      </c>
      <c r="E755" s="78" t="s">
        <v>1481</v>
      </c>
    </row>
    <row r="756" spans="1:5" x14ac:dyDescent="0.3">
      <c r="A756" s="218">
        <v>4</v>
      </c>
      <c r="B756" s="78">
        <v>8</v>
      </c>
      <c r="C756" s="78" t="s">
        <v>111</v>
      </c>
      <c r="D756" s="78" t="s">
        <v>2355</v>
      </c>
      <c r="E756" s="78" t="s">
        <v>1481</v>
      </c>
    </row>
    <row r="757" spans="1:5" x14ac:dyDescent="0.3">
      <c r="A757" s="218">
        <v>5</v>
      </c>
      <c r="B757" s="78">
        <v>9</v>
      </c>
      <c r="C757" s="78" t="s">
        <v>123</v>
      </c>
      <c r="D757" s="78" t="s">
        <v>2356</v>
      </c>
      <c r="E757" s="78" t="s">
        <v>1481</v>
      </c>
    </row>
    <row r="758" spans="1:5" x14ac:dyDescent="0.3">
      <c r="A758" s="218">
        <v>6</v>
      </c>
      <c r="B758" s="78">
        <v>10</v>
      </c>
      <c r="C758" s="78" t="s">
        <v>135</v>
      </c>
      <c r="D758" s="78" t="s">
        <v>140</v>
      </c>
      <c r="E758" s="78" t="s">
        <v>1481</v>
      </c>
    </row>
    <row r="759" spans="1:5" x14ac:dyDescent="0.3">
      <c r="A759" s="219"/>
      <c r="B759" s="78">
        <v>12</v>
      </c>
      <c r="C759" s="78" t="s">
        <v>154</v>
      </c>
      <c r="D759" s="78" t="s">
        <v>157</v>
      </c>
      <c r="E759" s="78" t="s">
        <v>1481</v>
      </c>
    </row>
    <row r="760" spans="1:5" x14ac:dyDescent="0.3">
      <c r="A760" s="219"/>
      <c r="B760" s="78">
        <v>13</v>
      </c>
      <c r="C760" s="78" t="s">
        <v>163</v>
      </c>
      <c r="D760" s="78" t="s">
        <v>169</v>
      </c>
      <c r="E760" s="78" t="s">
        <v>1481</v>
      </c>
    </row>
    <row r="761" spans="1:5" x14ac:dyDescent="0.3">
      <c r="A761" s="219"/>
      <c r="B761" s="78">
        <v>26</v>
      </c>
      <c r="C761" s="78" t="s">
        <v>214</v>
      </c>
      <c r="D761" s="78" t="s">
        <v>157</v>
      </c>
      <c r="E761" s="78" t="s">
        <v>1481</v>
      </c>
    </row>
    <row r="762" spans="1:5" x14ac:dyDescent="0.3">
      <c r="A762" s="218">
        <v>18</v>
      </c>
      <c r="B762" s="78">
        <v>27</v>
      </c>
      <c r="C762" s="78" t="s">
        <v>222</v>
      </c>
      <c r="D762" s="78" t="s">
        <v>157</v>
      </c>
      <c r="E762" s="78" t="s">
        <v>1481</v>
      </c>
    </row>
    <row r="763" spans="1:5" x14ac:dyDescent="0.3">
      <c r="A763" s="218">
        <v>20</v>
      </c>
      <c r="B763" s="78">
        <v>31</v>
      </c>
      <c r="C763" s="78" t="s">
        <v>258</v>
      </c>
      <c r="D763" s="78" t="s">
        <v>169</v>
      </c>
      <c r="E763" s="78" t="s">
        <v>1481</v>
      </c>
    </row>
    <row r="764" spans="1:5" x14ac:dyDescent="0.3">
      <c r="A764" s="218">
        <v>21</v>
      </c>
      <c r="B764" s="78">
        <v>34</v>
      </c>
      <c r="C764" s="78" t="s">
        <v>285</v>
      </c>
      <c r="D764" s="78" t="s">
        <v>128</v>
      </c>
      <c r="E764" s="78" t="s">
        <v>1481</v>
      </c>
    </row>
    <row r="765" spans="1:5" x14ac:dyDescent="0.3">
      <c r="A765" s="218">
        <v>22</v>
      </c>
      <c r="B765" s="78">
        <v>35</v>
      </c>
      <c r="C765" s="78" t="s">
        <v>294</v>
      </c>
      <c r="D765" s="78" t="s">
        <v>297</v>
      </c>
      <c r="E765" s="78" t="s">
        <v>1481</v>
      </c>
    </row>
    <row r="766" spans="1:5" x14ac:dyDescent="0.3">
      <c r="A766" s="218">
        <v>23</v>
      </c>
      <c r="B766" s="78">
        <v>36</v>
      </c>
      <c r="C766" s="78" t="s">
        <v>308</v>
      </c>
      <c r="D766" s="78" t="s">
        <v>312</v>
      </c>
      <c r="E766" s="78" t="s">
        <v>1481</v>
      </c>
    </row>
    <row r="767" spans="1:5" x14ac:dyDescent="0.3">
      <c r="A767" s="219"/>
      <c r="B767" s="78">
        <v>40</v>
      </c>
      <c r="C767" s="78" t="s">
        <v>327</v>
      </c>
      <c r="D767" s="78" t="s">
        <v>129</v>
      </c>
      <c r="E767" s="78" t="s">
        <v>1481</v>
      </c>
    </row>
    <row r="768" spans="1:5" x14ac:dyDescent="0.3">
      <c r="A768" s="219"/>
      <c r="B768" s="78">
        <v>41</v>
      </c>
      <c r="C768" s="78" t="s">
        <v>337</v>
      </c>
      <c r="D768" s="78" t="s">
        <v>140</v>
      </c>
      <c r="E768" s="78" t="s">
        <v>1481</v>
      </c>
    </row>
    <row r="769" spans="1:5" x14ac:dyDescent="0.3">
      <c r="A769" s="218">
        <v>26</v>
      </c>
      <c r="B769" s="78">
        <v>46</v>
      </c>
      <c r="C769" s="78" t="s">
        <v>377</v>
      </c>
      <c r="D769" s="78" t="s">
        <v>381</v>
      </c>
      <c r="E769" s="78" t="s">
        <v>1481</v>
      </c>
    </row>
    <row r="770" spans="1:5" x14ac:dyDescent="0.3">
      <c r="A770" s="218">
        <v>27</v>
      </c>
      <c r="B770" s="78">
        <v>47</v>
      </c>
      <c r="C770" s="78" t="s">
        <v>388</v>
      </c>
      <c r="D770" s="78" t="s">
        <v>392</v>
      </c>
      <c r="E770" s="78" t="s">
        <v>1481</v>
      </c>
    </row>
    <row r="771" spans="1:5" x14ac:dyDescent="0.3">
      <c r="A771" s="218">
        <v>28</v>
      </c>
      <c r="B771" s="78">
        <v>48</v>
      </c>
      <c r="C771" s="78" t="s">
        <v>395</v>
      </c>
      <c r="D771" s="78" t="s">
        <v>399</v>
      </c>
      <c r="E771" s="78" t="s">
        <v>1481</v>
      </c>
    </row>
    <row r="772" spans="1:5" x14ac:dyDescent="0.3">
      <c r="A772" s="218">
        <v>29</v>
      </c>
      <c r="B772" s="78">
        <v>49</v>
      </c>
      <c r="C772" s="78" t="s">
        <v>402</v>
      </c>
      <c r="D772" s="78" t="s">
        <v>103</v>
      </c>
      <c r="E772" s="78" t="s">
        <v>1481</v>
      </c>
    </row>
    <row r="773" spans="1:5" x14ac:dyDescent="0.3">
      <c r="A773" s="218">
        <v>30</v>
      </c>
      <c r="B773" s="78">
        <v>50</v>
      </c>
      <c r="C773" s="78" t="s">
        <v>408</v>
      </c>
      <c r="D773" s="78" t="s">
        <v>114</v>
      </c>
      <c r="E773" s="78" t="s">
        <v>1481</v>
      </c>
    </row>
    <row r="774" spans="1:5" x14ac:dyDescent="0.3">
      <c r="A774" s="218">
        <v>33</v>
      </c>
      <c r="B774" s="78">
        <v>53</v>
      </c>
      <c r="C774" s="78" t="s">
        <v>436</v>
      </c>
      <c r="D774" s="78" t="s">
        <v>2357</v>
      </c>
      <c r="E774" s="78" t="s">
        <v>1481</v>
      </c>
    </row>
    <row r="775" spans="1:5" x14ac:dyDescent="0.3">
      <c r="A775" s="218">
        <v>34</v>
      </c>
      <c r="B775" s="78">
        <v>54</v>
      </c>
      <c r="C775" s="78" t="s">
        <v>443</v>
      </c>
      <c r="D775" s="78" t="s">
        <v>169</v>
      </c>
      <c r="E775" s="78" t="s">
        <v>1481</v>
      </c>
    </row>
    <row r="776" spans="1:5" x14ac:dyDescent="0.3">
      <c r="A776" s="218">
        <v>35</v>
      </c>
      <c r="B776" s="78">
        <v>55</v>
      </c>
      <c r="C776" s="78" t="s">
        <v>451</v>
      </c>
      <c r="D776" s="78" t="s">
        <v>105</v>
      </c>
      <c r="E776" s="78" t="s">
        <v>1481</v>
      </c>
    </row>
    <row r="777" spans="1:5" x14ac:dyDescent="0.3">
      <c r="A777" s="218">
        <v>36</v>
      </c>
      <c r="B777" s="78">
        <v>56</v>
      </c>
      <c r="C777" s="78" t="s">
        <v>458</v>
      </c>
      <c r="D777" s="78" t="s">
        <v>116</v>
      </c>
      <c r="E777" s="78" t="s">
        <v>1481</v>
      </c>
    </row>
    <row r="778" spans="1:5" x14ac:dyDescent="0.3">
      <c r="A778" s="218">
        <v>39</v>
      </c>
      <c r="B778" s="78">
        <v>61</v>
      </c>
      <c r="C778" s="78" t="s">
        <v>469</v>
      </c>
      <c r="D778" s="78" t="s">
        <v>2358</v>
      </c>
      <c r="E778" s="78" t="s">
        <v>1481</v>
      </c>
    </row>
    <row r="779" spans="1:5" x14ac:dyDescent="0.3">
      <c r="A779" s="218">
        <v>40</v>
      </c>
      <c r="B779" s="78">
        <v>62</v>
      </c>
      <c r="C779" s="78" t="s">
        <v>476</v>
      </c>
      <c r="D779" s="78" t="s">
        <v>2359</v>
      </c>
      <c r="E779" s="78" t="s">
        <v>1481</v>
      </c>
    </row>
    <row r="780" spans="1:5" x14ac:dyDescent="0.3">
      <c r="A780" s="218">
        <v>41</v>
      </c>
      <c r="B780" s="78">
        <v>63</v>
      </c>
      <c r="C780" s="78" t="s">
        <v>481</v>
      </c>
      <c r="D780" s="78" t="s">
        <v>486</v>
      </c>
      <c r="E780" s="78" t="s">
        <v>1481</v>
      </c>
    </row>
    <row r="781" spans="1:5" x14ac:dyDescent="0.3">
      <c r="A781" s="218">
        <v>42</v>
      </c>
      <c r="B781" s="78">
        <v>64</v>
      </c>
      <c r="C781" s="78" t="s">
        <v>490</v>
      </c>
      <c r="D781" s="78" t="s">
        <v>494</v>
      </c>
      <c r="E781" s="78" t="s">
        <v>1481</v>
      </c>
    </row>
    <row r="782" spans="1:5" x14ac:dyDescent="0.3">
      <c r="A782" s="218">
        <v>45</v>
      </c>
      <c r="B782" s="78">
        <v>68</v>
      </c>
      <c r="C782" s="78" t="s">
        <v>524</v>
      </c>
      <c r="D782" s="78" t="s">
        <v>527</v>
      </c>
      <c r="E782" s="78" t="s">
        <v>1481</v>
      </c>
    </row>
    <row r="783" spans="1:5" x14ac:dyDescent="0.3">
      <c r="A783" s="218">
        <v>46</v>
      </c>
      <c r="B783" s="78">
        <v>71</v>
      </c>
      <c r="C783" s="78" t="s">
        <v>551</v>
      </c>
      <c r="D783" s="78" t="s">
        <v>554</v>
      </c>
      <c r="E783" s="78" t="s">
        <v>1481</v>
      </c>
    </row>
    <row r="784" spans="1:5" x14ac:dyDescent="0.3">
      <c r="A784" s="218">
        <v>47</v>
      </c>
      <c r="B784" s="78">
        <v>74</v>
      </c>
      <c r="C784" s="78" t="s">
        <v>576</v>
      </c>
      <c r="D784" s="78" t="s">
        <v>580</v>
      </c>
      <c r="E784" s="78" t="s">
        <v>1481</v>
      </c>
    </row>
    <row r="785" spans="1:5" x14ac:dyDescent="0.3">
      <c r="A785" s="218">
        <v>48</v>
      </c>
      <c r="B785" s="78">
        <v>79</v>
      </c>
      <c r="C785" s="78" t="s">
        <v>603</v>
      </c>
      <c r="D785" s="78" t="s">
        <v>606</v>
      </c>
      <c r="E785" s="78" t="s">
        <v>1481</v>
      </c>
    </row>
    <row r="786" spans="1:5" x14ac:dyDescent="0.3">
      <c r="A786" s="218">
        <v>49</v>
      </c>
      <c r="B786" s="78">
        <v>81</v>
      </c>
      <c r="C786" s="78" t="s">
        <v>620</v>
      </c>
      <c r="D786" s="78" t="s">
        <v>63</v>
      </c>
      <c r="E786" s="78" t="s">
        <v>1481</v>
      </c>
    </row>
    <row r="787" spans="1:5" x14ac:dyDescent="0.3">
      <c r="A787" s="218">
        <v>50</v>
      </c>
      <c r="B787" s="78">
        <v>83</v>
      </c>
      <c r="C787" s="78" t="s">
        <v>635</v>
      </c>
      <c r="D787" s="78" t="s">
        <v>77</v>
      </c>
      <c r="E787" s="78" t="s">
        <v>1481</v>
      </c>
    </row>
    <row r="788" spans="1:5" x14ac:dyDescent="0.3">
      <c r="A788" s="218">
        <v>52</v>
      </c>
      <c r="B788" s="78">
        <v>92</v>
      </c>
      <c r="C788" s="78" t="s">
        <v>698</v>
      </c>
      <c r="D788" s="78" t="s">
        <v>381</v>
      </c>
      <c r="E788" s="78" t="s">
        <v>1481</v>
      </c>
    </row>
    <row r="789" spans="1:5" x14ac:dyDescent="0.3">
      <c r="A789" s="218">
        <v>53</v>
      </c>
      <c r="B789" s="78">
        <v>94</v>
      </c>
      <c r="C789" s="78" t="s">
        <v>712</v>
      </c>
      <c r="D789" s="78" t="s">
        <v>312</v>
      </c>
      <c r="E789" s="78" t="s">
        <v>1481</v>
      </c>
    </row>
    <row r="790" spans="1:5" x14ac:dyDescent="0.3">
      <c r="A790" s="218">
        <v>54</v>
      </c>
      <c r="B790" s="78">
        <v>95</v>
      </c>
      <c r="C790" s="78" t="s">
        <v>719</v>
      </c>
      <c r="D790" s="78" t="s">
        <v>103</v>
      </c>
      <c r="E790" s="78" t="s">
        <v>1481</v>
      </c>
    </row>
    <row r="791" spans="1:5" x14ac:dyDescent="0.3">
      <c r="A791" s="219"/>
      <c r="B791" s="78">
        <v>104</v>
      </c>
      <c r="C791" s="78" t="s">
        <v>774</v>
      </c>
      <c r="D791" s="78" t="s">
        <v>312</v>
      </c>
      <c r="E791" s="78" t="s">
        <v>1481</v>
      </c>
    </row>
    <row r="792" spans="1:5" x14ac:dyDescent="0.3">
      <c r="A792" s="219"/>
      <c r="B792" s="78">
        <v>109</v>
      </c>
      <c r="C792" s="78" t="s">
        <v>782</v>
      </c>
      <c r="D792" s="78" t="s">
        <v>381</v>
      </c>
      <c r="E792" s="78" t="s">
        <v>1481</v>
      </c>
    </row>
    <row r="793" spans="1:5" x14ac:dyDescent="0.3">
      <c r="A793" s="218">
        <v>63</v>
      </c>
      <c r="B793" s="78">
        <v>110</v>
      </c>
      <c r="C793" s="78" t="s">
        <v>787</v>
      </c>
      <c r="D793" s="78" t="s">
        <v>392</v>
      </c>
      <c r="E793" s="78" t="s">
        <v>1481</v>
      </c>
    </row>
    <row r="794" spans="1:5" x14ac:dyDescent="0.3">
      <c r="A794" s="218">
        <v>64</v>
      </c>
      <c r="B794" s="78">
        <v>112</v>
      </c>
      <c r="C794" s="78" t="s">
        <v>800</v>
      </c>
      <c r="D794" s="78" t="s">
        <v>399</v>
      </c>
      <c r="E794" s="78" t="s">
        <v>1481</v>
      </c>
    </row>
    <row r="795" spans="1:5" x14ac:dyDescent="0.3">
      <c r="A795" s="218">
        <v>65</v>
      </c>
      <c r="B795" s="78">
        <v>113</v>
      </c>
      <c r="C795" s="78" t="s">
        <v>805</v>
      </c>
      <c r="D795" s="78" t="s">
        <v>103</v>
      </c>
      <c r="E795" s="78" t="s">
        <v>1481</v>
      </c>
    </row>
    <row r="796" spans="1:5" x14ac:dyDescent="0.3">
      <c r="A796" s="218">
        <v>66</v>
      </c>
      <c r="B796" s="78">
        <v>114</v>
      </c>
      <c r="C796" s="78" t="s">
        <v>810</v>
      </c>
      <c r="D796" s="78" t="s">
        <v>114</v>
      </c>
      <c r="E796" s="78" t="s">
        <v>1481</v>
      </c>
    </row>
    <row r="797" spans="1:5" x14ac:dyDescent="0.3">
      <c r="A797" s="218">
        <v>67</v>
      </c>
      <c r="B797" s="78">
        <v>116</v>
      </c>
      <c r="C797" s="78" t="s">
        <v>823</v>
      </c>
      <c r="D797" s="78" t="s">
        <v>128</v>
      </c>
      <c r="E797" s="78" t="s">
        <v>1481</v>
      </c>
    </row>
    <row r="798" spans="1:5" x14ac:dyDescent="0.3">
      <c r="A798" s="218">
        <v>68</v>
      </c>
      <c r="B798" s="78">
        <v>117</v>
      </c>
      <c r="C798" s="78" t="s">
        <v>829</v>
      </c>
      <c r="D798" s="78" t="s">
        <v>297</v>
      </c>
      <c r="E798" s="78" t="s">
        <v>1481</v>
      </c>
    </row>
    <row r="799" spans="1:5" x14ac:dyDescent="0.3">
      <c r="A799" s="218">
        <v>78</v>
      </c>
      <c r="B799" s="78">
        <v>135</v>
      </c>
      <c r="C799" s="78" t="s">
        <v>932</v>
      </c>
      <c r="D799" s="78" t="s">
        <v>580</v>
      </c>
      <c r="E799" s="78" t="s">
        <v>1481</v>
      </c>
    </row>
    <row r="800" spans="1:5" x14ac:dyDescent="0.3">
      <c r="A800" s="218">
        <v>79</v>
      </c>
      <c r="B800" s="78">
        <v>137</v>
      </c>
      <c r="C800" s="78" t="s">
        <v>945</v>
      </c>
      <c r="D800" s="78" t="s">
        <v>105</v>
      </c>
      <c r="E800" s="78" t="s">
        <v>1481</v>
      </c>
    </row>
    <row r="801" spans="1:5" x14ac:dyDescent="0.3">
      <c r="A801" s="218">
        <v>82</v>
      </c>
      <c r="B801" s="78">
        <v>143</v>
      </c>
      <c r="C801" s="78" t="s">
        <v>980</v>
      </c>
      <c r="D801" s="78" t="s">
        <v>527</v>
      </c>
      <c r="E801" s="78" t="s">
        <v>1481</v>
      </c>
    </row>
    <row r="802" spans="1:5" x14ac:dyDescent="0.3">
      <c r="A802" s="218">
        <v>83</v>
      </c>
      <c r="B802" s="78">
        <v>145</v>
      </c>
      <c r="C802" s="78" t="s">
        <v>992</v>
      </c>
      <c r="D802" s="78" t="s">
        <v>554</v>
      </c>
      <c r="E802" s="78" t="s">
        <v>1481</v>
      </c>
    </row>
    <row r="803" spans="1:5" x14ac:dyDescent="0.3">
      <c r="A803" s="218">
        <v>85</v>
      </c>
      <c r="B803" s="78">
        <v>147</v>
      </c>
      <c r="C803" s="78" t="s">
        <v>1003</v>
      </c>
      <c r="D803" s="78" t="s">
        <v>103</v>
      </c>
      <c r="E803" s="78" t="s">
        <v>1481</v>
      </c>
    </row>
    <row r="804" spans="1:5" x14ac:dyDescent="0.3">
      <c r="A804" s="218">
        <v>89</v>
      </c>
      <c r="B804" s="78">
        <v>155</v>
      </c>
      <c r="C804" s="78" t="s">
        <v>1027</v>
      </c>
      <c r="D804" s="78" t="s">
        <v>472</v>
      </c>
      <c r="E804" s="78" t="s">
        <v>1481</v>
      </c>
    </row>
    <row r="805" spans="1:5" x14ac:dyDescent="0.3">
      <c r="A805" s="218">
        <v>90</v>
      </c>
      <c r="B805" s="78">
        <v>159</v>
      </c>
      <c r="C805" s="78" t="s">
        <v>1048</v>
      </c>
      <c r="D805" s="78" t="s">
        <v>479</v>
      </c>
      <c r="E805" s="78" t="s">
        <v>1481</v>
      </c>
    </row>
    <row r="806" spans="1:5" x14ac:dyDescent="0.3">
      <c r="A806" s="218">
        <v>91</v>
      </c>
      <c r="B806" s="78">
        <v>160</v>
      </c>
      <c r="C806" s="78" t="s">
        <v>1055</v>
      </c>
      <c r="D806" s="78" t="s">
        <v>486</v>
      </c>
      <c r="E806" s="78" t="s">
        <v>1481</v>
      </c>
    </row>
    <row r="807" spans="1:5" x14ac:dyDescent="0.3">
      <c r="A807" s="218">
        <v>92</v>
      </c>
      <c r="B807" s="78">
        <v>161</v>
      </c>
      <c r="C807" s="78" t="s">
        <v>1060</v>
      </c>
      <c r="D807" s="78" t="s">
        <v>494</v>
      </c>
      <c r="E807" s="78" t="s">
        <v>1481</v>
      </c>
    </row>
    <row r="808" spans="1:5" x14ac:dyDescent="0.3">
      <c r="A808" s="218">
        <v>95</v>
      </c>
      <c r="B808" s="78">
        <v>165</v>
      </c>
      <c r="C808" s="78" t="s">
        <v>1080</v>
      </c>
      <c r="D808" s="78" t="s">
        <v>116</v>
      </c>
      <c r="E808" s="78" t="s">
        <v>1481</v>
      </c>
    </row>
    <row r="809" spans="1:5" x14ac:dyDescent="0.3">
      <c r="A809" s="218">
        <v>96</v>
      </c>
      <c r="B809" s="78">
        <v>166</v>
      </c>
      <c r="C809" s="78" t="s">
        <v>1087</v>
      </c>
      <c r="D809" s="78" t="s">
        <v>606</v>
      </c>
      <c r="E809" s="78" t="s">
        <v>1481</v>
      </c>
    </row>
    <row r="810" spans="1:5" x14ac:dyDescent="0.3">
      <c r="A810" s="219"/>
      <c r="B810" s="90"/>
      <c r="C810" s="78" t="s">
        <v>1430</v>
      </c>
      <c r="D810" s="78" t="s">
        <v>606</v>
      </c>
      <c r="E810" s="78" t="s">
        <v>1481</v>
      </c>
    </row>
    <row r="811" spans="1:5" x14ac:dyDescent="0.3">
      <c r="A811" s="219"/>
      <c r="B811" s="90"/>
      <c r="C811" s="78" t="s">
        <v>1129</v>
      </c>
      <c r="D811" s="78" t="s">
        <v>77</v>
      </c>
      <c r="E811" s="78" t="s">
        <v>1481</v>
      </c>
    </row>
    <row r="815" spans="1:5" x14ac:dyDescent="0.3">
      <c r="A815" s="267" t="s">
        <v>2657</v>
      </c>
      <c r="B815" s="134" t="s">
        <v>3</v>
      </c>
      <c r="C815" s="134" t="s">
        <v>4</v>
      </c>
      <c r="D815" s="134" t="s">
        <v>1503</v>
      </c>
      <c r="E815" s="134"/>
    </row>
    <row r="816" spans="1:5" x14ac:dyDescent="0.3">
      <c r="A816" s="218">
        <v>7</v>
      </c>
      <c r="B816" s="78">
        <v>11</v>
      </c>
      <c r="C816" s="78" t="s">
        <v>147</v>
      </c>
      <c r="D816" s="78" t="s">
        <v>150</v>
      </c>
      <c r="E816" s="78" t="s">
        <v>1481</v>
      </c>
    </row>
    <row r="817" spans="1:5" x14ac:dyDescent="0.3">
      <c r="A817" s="219"/>
      <c r="B817" s="78">
        <v>12</v>
      </c>
      <c r="C817" s="78" t="s">
        <v>154</v>
      </c>
      <c r="D817" s="78" t="s">
        <v>150</v>
      </c>
      <c r="E817" s="78" t="s">
        <v>1481</v>
      </c>
    </row>
    <row r="818" spans="1:5" x14ac:dyDescent="0.3">
      <c r="A818" s="219"/>
      <c r="B818" s="78">
        <v>13</v>
      </c>
      <c r="C818" s="78" t="s">
        <v>163</v>
      </c>
      <c r="D818" s="78" t="s">
        <v>168</v>
      </c>
      <c r="E818" s="78" t="s">
        <v>1481</v>
      </c>
    </row>
    <row r="819" spans="1:5" x14ac:dyDescent="0.3">
      <c r="A819" s="218">
        <v>19</v>
      </c>
      <c r="B819" s="78">
        <v>29</v>
      </c>
      <c r="C819" s="78" t="s">
        <v>240</v>
      </c>
      <c r="D819" s="78" t="s">
        <v>150</v>
      </c>
      <c r="E819" s="78" t="s">
        <v>1481</v>
      </c>
    </row>
    <row r="820" spans="1:5" x14ac:dyDescent="0.3">
      <c r="A820" s="218">
        <v>21</v>
      </c>
      <c r="B820" s="78">
        <v>34</v>
      </c>
      <c r="C820" s="78" t="s">
        <v>285</v>
      </c>
      <c r="D820" s="78" t="s">
        <v>290</v>
      </c>
      <c r="E820" s="78" t="s">
        <v>1481</v>
      </c>
    </row>
    <row r="821" spans="1:5" x14ac:dyDescent="0.3">
      <c r="A821" s="218">
        <v>22</v>
      </c>
      <c r="B821" s="78">
        <v>35</v>
      </c>
      <c r="C821" s="78" t="s">
        <v>294</v>
      </c>
      <c r="D821" s="78" t="s">
        <v>298</v>
      </c>
      <c r="E821" s="78" t="s">
        <v>1481</v>
      </c>
    </row>
    <row r="822" spans="1:5" x14ac:dyDescent="0.3">
      <c r="A822" s="218">
        <v>23</v>
      </c>
      <c r="B822" s="78">
        <v>36</v>
      </c>
      <c r="C822" s="78" t="s">
        <v>308</v>
      </c>
      <c r="D822" s="78" t="s">
        <v>279</v>
      </c>
      <c r="E822" s="78" t="s">
        <v>1481</v>
      </c>
    </row>
    <row r="823" spans="1:5" x14ac:dyDescent="0.3">
      <c r="A823" s="218">
        <v>27</v>
      </c>
      <c r="B823" s="78">
        <v>47</v>
      </c>
      <c r="C823" s="78" t="s">
        <v>388</v>
      </c>
      <c r="D823" s="78" t="s">
        <v>252</v>
      </c>
      <c r="E823" s="78" t="s">
        <v>1481</v>
      </c>
    </row>
    <row r="824" spans="1:5" x14ac:dyDescent="0.3">
      <c r="A824" s="218">
        <v>28</v>
      </c>
      <c r="B824" s="78">
        <v>48</v>
      </c>
      <c r="C824" s="78" t="s">
        <v>395</v>
      </c>
      <c r="D824" s="78" t="s">
        <v>235</v>
      </c>
      <c r="E824" s="78" t="s">
        <v>1481</v>
      </c>
    </row>
    <row r="825" spans="1:5" x14ac:dyDescent="0.3">
      <c r="A825" s="218">
        <v>32</v>
      </c>
      <c r="B825" s="78">
        <v>52</v>
      </c>
      <c r="C825" s="78" t="s">
        <v>427</v>
      </c>
      <c r="D825" s="78" t="s">
        <v>273</v>
      </c>
      <c r="E825" s="78" t="s">
        <v>1481</v>
      </c>
    </row>
    <row r="826" spans="1:5" x14ac:dyDescent="0.3">
      <c r="A826" s="218">
        <v>36</v>
      </c>
      <c r="B826" s="78">
        <v>56</v>
      </c>
      <c r="C826" s="78" t="s">
        <v>458</v>
      </c>
      <c r="D826" s="78" t="s">
        <v>235</v>
      </c>
      <c r="E826" s="78" t="s">
        <v>1481</v>
      </c>
    </row>
    <row r="827" spans="1:5" x14ac:dyDescent="0.3">
      <c r="A827" s="218">
        <v>44</v>
      </c>
      <c r="B827" s="78">
        <v>66</v>
      </c>
      <c r="C827" s="78" t="s">
        <v>506</v>
      </c>
      <c r="D827" s="78" t="s">
        <v>509</v>
      </c>
      <c r="E827" s="78" t="s">
        <v>1481</v>
      </c>
    </row>
    <row r="828" spans="1:5" x14ac:dyDescent="0.3">
      <c r="A828" s="218">
        <v>46</v>
      </c>
      <c r="B828" s="78">
        <v>71</v>
      </c>
      <c r="C828" s="78" t="s">
        <v>551</v>
      </c>
      <c r="D828" s="78" t="s">
        <v>168</v>
      </c>
      <c r="E828" s="78" t="s">
        <v>1481</v>
      </c>
    </row>
    <row r="829" spans="1:5" x14ac:dyDescent="0.3">
      <c r="A829" s="218">
        <v>49</v>
      </c>
      <c r="B829" s="78">
        <v>81</v>
      </c>
      <c r="C829" s="78" t="s">
        <v>620</v>
      </c>
      <c r="D829" s="78" t="s">
        <v>91</v>
      </c>
      <c r="E829" s="78" t="s">
        <v>1481</v>
      </c>
    </row>
    <row r="830" spans="1:5" x14ac:dyDescent="0.3">
      <c r="A830" s="218">
        <v>50</v>
      </c>
      <c r="B830" s="78">
        <v>83</v>
      </c>
      <c r="C830" s="78" t="s">
        <v>635</v>
      </c>
      <c r="D830" s="78" t="s">
        <v>50</v>
      </c>
      <c r="E830" s="78" t="s">
        <v>1481</v>
      </c>
    </row>
    <row r="831" spans="1:5" x14ac:dyDescent="0.3">
      <c r="A831" s="218">
        <v>51</v>
      </c>
      <c r="B831" s="78">
        <v>90</v>
      </c>
      <c r="C831" s="78" t="s">
        <v>684</v>
      </c>
      <c r="D831" s="78" t="s">
        <v>39</v>
      </c>
      <c r="E831" s="78" t="s">
        <v>1481</v>
      </c>
    </row>
    <row r="832" spans="1:5" x14ac:dyDescent="0.3">
      <c r="A832" s="218">
        <v>52</v>
      </c>
      <c r="B832" s="78">
        <v>92</v>
      </c>
      <c r="C832" s="78" t="s">
        <v>698</v>
      </c>
      <c r="D832" s="78" t="s">
        <v>25</v>
      </c>
      <c r="E832" s="78" t="s">
        <v>1481</v>
      </c>
    </row>
    <row r="833" spans="1:5" x14ac:dyDescent="0.3">
      <c r="A833" s="218">
        <v>53</v>
      </c>
      <c r="B833" s="78">
        <v>94</v>
      </c>
      <c r="C833" s="78" t="s">
        <v>712</v>
      </c>
      <c r="D833" s="78" t="s">
        <v>150</v>
      </c>
      <c r="E833" s="78" t="s">
        <v>1481</v>
      </c>
    </row>
    <row r="834" spans="1:5" x14ac:dyDescent="0.3">
      <c r="A834" s="218">
        <v>54</v>
      </c>
      <c r="B834" s="78">
        <v>95</v>
      </c>
      <c r="C834" s="78" t="s">
        <v>719</v>
      </c>
      <c r="D834" s="78" t="s">
        <v>723</v>
      </c>
      <c r="E834" s="78" t="s">
        <v>1481</v>
      </c>
    </row>
    <row r="835" spans="1:5" x14ac:dyDescent="0.3">
      <c r="A835" s="218">
        <v>55</v>
      </c>
      <c r="B835" s="78">
        <v>97</v>
      </c>
      <c r="C835" s="78" t="s">
        <v>732</v>
      </c>
      <c r="D835" s="78" t="s">
        <v>186</v>
      </c>
      <c r="E835" s="78" t="s">
        <v>1481</v>
      </c>
    </row>
    <row r="836" spans="1:5" x14ac:dyDescent="0.3">
      <c r="A836" s="218">
        <v>56</v>
      </c>
      <c r="B836" s="78">
        <v>98</v>
      </c>
      <c r="C836" s="78" t="s">
        <v>738</v>
      </c>
      <c r="D836" s="78" t="s">
        <v>509</v>
      </c>
      <c r="E836" s="78" t="s">
        <v>1481</v>
      </c>
    </row>
    <row r="837" spans="1:5" x14ac:dyDescent="0.3">
      <c r="A837" s="218">
        <v>57</v>
      </c>
      <c r="B837" s="78">
        <v>100</v>
      </c>
      <c r="C837" s="78" t="s">
        <v>751</v>
      </c>
      <c r="D837" s="78" t="s">
        <v>252</v>
      </c>
      <c r="E837" s="78" t="s">
        <v>1481</v>
      </c>
    </row>
    <row r="838" spans="1:5" x14ac:dyDescent="0.3">
      <c r="A838" s="218">
        <v>58</v>
      </c>
      <c r="B838" s="78">
        <v>102</v>
      </c>
      <c r="C838" s="78" t="s">
        <v>762</v>
      </c>
      <c r="D838" s="78" t="s">
        <v>279</v>
      </c>
      <c r="E838" s="78" t="s">
        <v>1481</v>
      </c>
    </row>
    <row r="839" spans="1:5" x14ac:dyDescent="0.3">
      <c r="A839" s="218">
        <v>63</v>
      </c>
      <c r="B839" s="78">
        <v>110</v>
      </c>
      <c r="C839" s="78" t="s">
        <v>787</v>
      </c>
      <c r="D839" s="78" t="s">
        <v>179</v>
      </c>
      <c r="E839" s="78" t="s">
        <v>1481</v>
      </c>
    </row>
    <row r="840" spans="1:5" x14ac:dyDescent="0.3">
      <c r="A840" s="218">
        <v>69</v>
      </c>
      <c r="B840" s="78">
        <v>119</v>
      </c>
      <c r="C840" s="78" t="s">
        <v>842</v>
      </c>
      <c r="D840" s="78" t="s">
        <v>591</v>
      </c>
      <c r="E840" s="78" t="s">
        <v>1481</v>
      </c>
    </row>
    <row r="841" spans="1:5" x14ac:dyDescent="0.3">
      <c r="A841" s="218">
        <v>70</v>
      </c>
      <c r="B841" s="78">
        <v>120</v>
      </c>
      <c r="C841" s="78" t="s">
        <v>848</v>
      </c>
      <c r="D841" s="78" t="s">
        <v>571</v>
      </c>
      <c r="E841" s="78" t="s">
        <v>1481</v>
      </c>
    </row>
    <row r="842" spans="1:5" x14ac:dyDescent="0.3">
      <c r="A842" s="218">
        <v>71</v>
      </c>
      <c r="B842" s="78">
        <v>121</v>
      </c>
      <c r="C842" s="78" t="s">
        <v>855</v>
      </c>
      <c r="D842" s="78" t="s">
        <v>565</v>
      </c>
      <c r="E842" s="78" t="s">
        <v>1481</v>
      </c>
    </row>
    <row r="843" spans="1:5" x14ac:dyDescent="0.3">
      <c r="A843" s="218">
        <v>72</v>
      </c>
      <c r="B843" s="78">
        <v>123</v>
      </c>
      <c r="C843" s="78" t="s">
        <v>870</v>
      </c>
      <c r="D843" s="78" t="s">
        <v>548</v>
      </c>
      <c r="E843" s="78" t="s">
        <v>1481</v>
      </c>
    </row>
    <row r="844" spans="1:5" x14ac:dyDescent="0.3">
      <c r="A844" s="218">
        <v>73</v>
      </c>
      <c r="B844" s="78">
        <v>124</v>
      </c>
      <c r="C844" s="78" t="s">
        <v>876</v>
      </c>
      <c r="D844" s="78" t="s">
        <v>537</v>
      </c>
      <c r="E844" s="78" t="s">
        <v>1481</v>
      </c>
    </row>
    <row r="845" spans="1:5" x14ac:dyDescent="0.3">
      <c r="A845" s="218">
        <v>74</v>
      </c>
      <c r="B845" s="78">
        <v>126</v>
      </c>
      <c r="C845" s="78" t="s">
        <v>888</v>
      </c>
      <c r="D845" s="78" t="s">
        <v>519</v>
      </c>
      <c r="E845" s="78" t="s">
        <v>1481</v>
      </c>
    </row>
    <row r="846" spans="1:5" x14ac:dyDescent="0.3">
      <c r="A846" s="218">
        <v>75</v>
      </c>
      <c r="B846" s="78">
        <v>129</v>
      </c>
      <c r="C846" s="78" t="s">
        <v>897</v>
      </c>
      <c r="D846" s="78" t="s">
        <v>371</v>
      </c>
      <c r="E846" s="78" t="s">
        <v>1481</v>
      </c>
    </row>
    <row r="847" spans="1:5" x14ac:dyDescent="0.3">
      <c r="A847" s="218">
        <v>76</v>
      </c>
      <c r="B847" s="78">
        <v>130</v>
      </c>
      <c r="C847" s="78" t="s">
        <v>903</v>
      </c>
      <c r="D847" s="78" t="s">
        <v>28</v>
      </c>
      <c r="E847" s="78" t="s">
        <v>1481</v>
      </c>
    </row>
    <row r="848" spans="1:5" x14ac:dyDescent="0.3">
      <c r="A848" s="218">
        <v>77</v>
      </c>
      <c r="B848" s="78">
        <v>133</v>
      </c>
      <c r="C848" s="78" t="s">
        <v>921</v>
      </c>
      <c r="D848" s="78" t="s">
        <v>290</v>
      </c>
      <c r="E848" s="78" t="s">
        <v>1481</v>
      </c>
    </row>
    <row r="849" spans="1:5" x14ac:dyDescent="0.3">
      <c r="A849" s="218">
        <v>79</v>
      </c>
      <c r="B849" s="78">
        <v>137</v>
      </c>
      <c r="C849" s="78" t="s">
        <v>945</v>
      </c>
      <c r="D849" s="78" t="s">
        <v>25</v>
      </c>
      <c r="E849" s="78" t="s">
        <v>1481</v>
      </c>
    </row>
    <row r="850" spans="1:5" x14ac:dyDescent="0.3">
      <c r="A850" s="218">
        <v>80</v>
      </c>
      <c r="B850" s="78">
        <v>140</v>
      </c>
      <c r="C850" s="78" t="s">
        <v>964</v>
      </c>
      <c r="D850" s="78" t="s">
        <v>179</v>
      </c>
      <c r="E850" s="78" t="s">
        <v>1481</v>
      </c>
    </row>
    <row r="851" spans="1:5" x14ac:dyDescent="0.3">
      <c r="A851" s="218">
        <v>81</v>
      </c>
      <c r="B851" s="78">
        <v>141</v>
      </c>
      <c r="C851" s="78" t="s">
        <v>970</v>
      </c>
      <c r="D851" s="78" t="s">
        <v>723</v>
      </c>
      <c r="E851" s="78" t="s">
        <v>1481</v>
      </c>
    </row>
    <row r="852" spans="1:5" x14ac:dyDescent="0.3">
      <c r="A852" s="218">
        <v>84</v>
      </c>
      <c r="B852" s="78">
        <v>146</v>
      </c>
      <c r="C852" s="78" t="s">
        <v>998</v>
      </c>
      <c r="D852" s="78" t="s">
        <v>298</v>
      </c>
      <c r="E852" s="78" t="s">
        <v>1481</v>
      </c>
    </row>
    <row r="853" spans="1:5" x14ac:dyDescent="0.3">
      <c r="A853" s="218">
        <v>85</v>
      </c>
      <c r="B853" s="78">
        <v>147</v>
      </c>
      <c r="C853" s="78" t="s">
        <v>1003</v>
      </c>
      <c r="D853" s="78" t="s">
        <v>186</v>
      </c>
      <c r="E853" s="78" t="s">
        <v>1481</v>
      </c>
    </row>
    <row r="854" spans="1:5" x14ac:dyDescent="0.3">
      <c r="A854" s="218">
        <v>88</v>
      </c>
      <c r="B854" s="78">
        <v>152</v>
      </c>
      <c r="C854" s="78" t="s">
        <v>1012</v>
      </c>
      <c r="D854" s="78" t="s">
        <v>168</v>
      </c>
      <c r="E854" s="78" t="s">
        <v>1481</v>
      </c>
    </row>
    <row r="855" spans="1:5" x14ac:dyDescent="0.3">
      <c r="A855" s="218">
        <v>89</v>
      </c>
      <c r="B855" s="78">
        <v>155</v>
      </c>
      <c r="C855" s="78" t="s">
        <v>1027</v>
      </c>
      <c r="D855" s="78" t="s">
        <v>91</v>
      </c>
      <c r="E855" s="78" t="s">
        <v>1481</v>
      </c>
    </row>
    <row r="856" spans="1:5" x14ac:dyDescent="0.3">
      <c r="A856" s="218">
        <v>90</v>
      </c>
      <c r="B856" s="78">
        <v>159</v>
      </c>
      <c r="C856" s="78" t="s">
        <v>1048</v>
      </c>
      <c r="D856" s="78" t="s">
        <v>50</v>
      </c>
      <c r="E856" s="78" t="s">
        <v>1481</v>
      </c>
    </row>
    <row r="857" spans="1:5" x14ac:dyDescent="0.3">
      <c r="A857" s="218">
        <v>91</v>
      </c>
      <c r="B857" s="78">
        <v>160</v>
      </c>
      <c r="C857" s="78" t="s">
        <v>1055</v>
      </c>
      <c r="D857" s="78" t="s">
        <v>39</v>
      </c>
      <c r="E857" s="78" t="s">
        <v>1481</v>
      </c>
    </row>
    <row r="858" spans="1:5" x14ac:dyDescent="0.3">
      <c r="A858" s="218">
        <v>100</v>
      </c>
      <c r="B858" s="78">
        <v>172</v>
      </c>
      <c r="C858" s="78" t="s">
        <v>1112</v>
      </c>
      <c r="D858" s="78" t="s">
        <v>273</v>
      </c>
      <c r="E858" s="78" t="s">
        <v>1481</v>
      </c>
    </row>
    <row r="859" spans="1:5" x14ac:dyDescent="0.3">
      <c r="A859" s="219"/>
      <c r="B859" s="78">
        <v>1</v>
      </c>
      <c r="C859" s="78" t="s">
        <v>22</v>
      </c>
      <c r="D859" s="78" t="s">
        <v>2360</v>
      </c>
      <c r="E859" s="78" t="s">
        <v>1481</v>
      </c>
    </row>
    <row r="860" spans="1:5" x14ac:dyDescent="0.3">
      <c r="A860" s="219"/>
      <c r="B860" s="78">
        <v>2</v>
      </c>
      <c r="C860" s="78" t="s">
        <v>36</v>
      </c>
      <c r="D860" s="78" t="s">
        <v>39</v>
      </c>
      <c r="E860" s="78" t="s">
        <v>1481</v>
      </c>
    </row>
    <row r="861" spans="1:5" x14ac:dyDescent="0.3">
      <c r="A861" s="219"/>
      <c r="B861" s="78">
        <v>3</v>
      </c>
      <c r="C861" s="78" t="s">
        <v>47</v>
      </c>
      <c r="D861" s="78" t="s">
        <v>50</v>
      </c>
      <c r="E861" s="78" t="s">
        <v>1481</v>
      </c>
    </row>
    <row r="862" spans="1:5" x14ac:dyDescent="0.3">
      <c r="A862" s="219"/>
      <c r="B862" s="78">
        <v>6</v>
      </c>
      <c r="C862" s="78" t="s">
        <v>87</v>
      </c>
      <c r="D862" s="78" t="s">
        <v>91</v>
      </c>
      <c r="E862" s="78" t="s">
        <v>1481</v>
      </c>
    </row>
    <row r="863" spans="1:5" x14ac:dyDescent="0.3">
      <c r="A863" s="219"/>
      <c r="B863" s="90"/>
      <c r="C863" s="78" t="s">
        <v>1409</v>
      </c>
      <c r="D863" s="78" t="s">
        <v>168</v>
      </c>
      <c r="E863" s="78" t="s">
        <v>1481</v>
      </c>
    </row>
    <row r="864" spans="1:5" x14ac:dyDescent="0.3">
      <c r="A864" s="219"/>
      <c r="B864" s="90"/>
      <c r="C864" s="78" t="s">
        <v>1413</v>
      </c>
      <c r="D864" s="78" t="s">
        <v>723</v>
      </c>
      <c r="E864" s="78" t="s">
        <v>1481</v>
      </c>
    </row>
    <row r="865" spans="1:5" x14ac:dyDescent="0.3">
      <c r="A865" s="219"/>
      <c r="B865" s="78">
        <v>14</v>
      </c>
      <c r="C865" s="78" t="s">
        <v>175</v>
      </c>
      <c r="D865" s="78" t="s">
        <v>179</v>
      </c>
      <c r="E865" s="78" t="s">
        <v>1481</v>
      </c>
    </row>
    <row r="866" spans="1:5" x14ac:dyDescent="0.3">
      <c r="A866" s="219"/>
      <c r="B866" s="78">
        <v>15</v>
      </c>
      <c r="C866" s="78" t="s">
        <v>182</v>
      </c>
      <c r="D866" s="78" t="s">
        <v>186</v>
      </c>
      <c r="E866" s="78" t="s">
        <v>1481</v>
      </c>
    </row>
    <row r="867" spans="1:5" x14ac:dyDescent="0.3">
      <c r="A867" s="219"/>
      <c r="B867" s="90"/>
      <c r="C867" s="78" t="s">
        <v>1417</v>
      </c>
      <c r="D867" s="78" t="s">
        <v>509</v>
      </c>
      <c r="E867" s="78" t="s">
        <v>1481</v>
      </c>
    </row>
    <row r="868" spans="1:5" x14ac:dyDescent="0.3">
      <c r="A868" s="219"/>
      <c r="B868" s="78">
        <v>28</v>
      </c>
      <c r="C868" s="78" t="s">
        <v>232</v>
      </c>
      <c r="D868" s="78" t="s">
        <v>235</v>
      </c>
      <c r="E868" s="78" t="s">
        <v>1481</v>
      </c>
    </row>
    <row r="869" spans="1:5" x14ac:dyDescent="0.3">
      <c r="A869" s="219"/>
      <c r="B869" s="78">
        <v>30</v>
      </c>
      <c r="C869" s="78" t="s">
        <v>249</v>
      </c>
      <c r="D869" s="78" t="s">
        <v>252</v>
      </c>
      <c r="E869" s="78" t="s">
        <v>1481</v>
      </c>
    </row>
    <row r="870" spans="1:5" x14ac:dyDescent="0.3">
      <c r="A870" s="219"/>
      <c r="B870" s="78">
        <v>32</v>
      </c>
      <c r="C870" s="78" t="s">
        <v>270</v>
      </c>
      <c r="D870" s="78" t="s">
        <v>273</v>
      </c>
      <c r="E870" s="78" t="s">
        <v>1481</v>
      </c>
    </row>
    <row r="871" spans="1:5" x14ac:dyDescent="0.3">
      <c r="A871" s="219"/>
      <c r="B871" s="78">
        <v>33</v>
      </c>
      <c r="C871" s="78" t="s">
        <v>276</v>
      </c>
      <c r="D871" s="78" t="s">
        <v>279</v>
      </c>
      <c r="E871" s="78" t="s">
        <v>1481</v>
      </c>
    </row>
    <row r="872" spans="1:5" x14ac:dyDescent="0.3">
      <c r="A872" s="219"/>
      <c r="B872" s="78">
        <v>39</v>
      </c>
      <c r="C872" s="78" t="s">
        <v>321</v>
      </c>
      <c r="D872" s="78" t="s">
        <v>298</v>
      </c>
      <c r="E872" s="78" t="s">
        <v>1481</v>
      </c>
    </row>
    <row r="873" spans="1:5" x14ac:dyDescent="0.3">
      <c r="A873" s="219"/>
      <c r="B873" s="78">
        <v>42</v>
      </c>
      <c r="C873" s="78" t="s">
        <v>346</v>
      </c>
      <c r="D873" s="78" t="s">
        <v>290</v>
      </c>
      <c r="E873" s="78" t="s">
        <v>1481</v>
      </c>
    </row>
    <row r="874" spans="1:5" x14ac:dyDescent="0.3">
      <c r="A874" s="219"/>
      <c r="B874" s="78">
        <v>43</v>
      </c>
      <c r="C874" s="78" t="s">
        <v>353</v>
      </c>
      <c r="D874" s="78" t="s">
        <v>290</v>
      </c>
      <c r="E874" s="78" t="s">
        <v>1481</v>
      </c>
    </row>
    <row r="875" spans="1:5" x14ac:dyDescent="0.3">
      <c r="A875" s="219"/>
      <c r="B875" s="78">
        <v>44</v>
      </c>
      <c r="C875" s="78" t="s">
        <v>361</v>
      </c>
      <c r="D875" s="78" t="s">
        <v>28</v>
      </c>
      <c r="E875" s="78" t="s">
        <v>1481</v>
      </c>
    </row>
    <row r="876" spans="1:5" x14ac:dyDescent="0.3">
      <c r="A876" s="219"/>
      <c r="B876" s="78">
        <v>45</v>
      </c>
      <c r="C876" s="78" t="s">
        <v>368</v>
      </c>
      <c r="D876" s="78" t="s">
        <v>371</v>
      </c>
      <c r="E876" s="78" t="s">
        <v>1481</v>
      </c>
    </row>
    <row r="877" spans="1:5" x14ac:dyDescent="0.3">
      <c r="A877" s="219"/>
      <c r="B877" s="78">
        <v>67</v>
      </c>
      <c r="C877" s="78" t="s">
        <v>515</v>
      </c>
      <c r="D877" s="78" t="s">
        <v>519</v>
      </c>
      <c r="E877" s="78" t="s">
        <v>1481</v>
      </c>
    </row>
    <row r="878" spans="1:5" x14ac:dyDescent="0.3">
      <c r="A878" s="219"/>
      <c r="B878" s="78">
        <v>69</v>
      </c>
      <c r="C878" s="78" t="s">
        <v>533</v>
      </c>
      <c r="D878" s="78" t="s">
        <v>537</v>
      </c>
      <c r="E878" s="78" t="s">
        <v>1481</v>
      </c>
    </row>
    <row r="879" spans="1:5" x14ac:dyDescent="0.3">
      <c r="A879" s="219"/>
      <c r="B879" s="78">
        <v>70</v>
      </c>
      <c r="C879" s="78" t="s">
        <v>544</v>
      </c>
      <c r="D879" s="78" t="s">
        <v>548</v>
      </c>
      <c r="E879" s="78" t="s">
        <v>1481</v>
      </c>
    </row>
    <row r="880" spans="1:5" x14ac:dyDescent="0.3">
      <c r="A880" s="219"/>
      <c r="B880" s="78">
        <v>72</v>
      </c>
      <c r="C880" s="78" t="s">
        <v>561</v>
      </c>
      <c r="D880" s="78" t="s">
        <v>565</v>
      </c>
      <c r="E880" s="78" t="s">
        <v>1481</v>
      </c>
    </row>
    <row r="881" spans="1:5" x14ac:dyDescent="0.3">
      <c r="A881" s="219"/>
      <c r="B881" s="78">
        <v>73</v>
      </c>
      <c r="C881" s="78" t="s">
        <v>568</v>
      </c>
      <c r="D881" s="78" t="s">
        <v>571</v>
      </c>
      <c r="E881" s="78" t="s">
        <v>1481</v>
      </c>
    </row>
    <row r="882" spans="1:5" x14ac:dyDescent="0.3">
      <c r="A882" s="219"/>
      <c r="B882" s="78">
        <v>75</v>
      </c>
      <c r="C882" s="78" t="s">
        <v>588</v>
      </c>
      <c r="D882" s="78" t="s">
        <v>591</v>
      </c>
      <c r="E882" s="78" t="s">
        <v>1481</v>
      </c>
    </row>
    <row r="883" spans="1:5" x14ac:dyDescent="0.3">
      <c r="A883" s="219"/>
      <c r="B883" s="78">
        <v>88</v>
      </c>
      <c r="C883" s="78" t="s">
        <v>671</v>
      </c>
      <c r="D883" s="78" t="s">
        <v>25</v>
      </c>
      <c r="E883" s="78" t="s">
        <v>1481</v>
      </c>
    </row>
    <row r="884" spans="1:5" x14ac:dyDescent="0.3">
      <c r="A884" s="219"/>
      <c r="B884" s="78">
        <v>89</v>
      </c>
      <c r="C884" s="78" t="s">
        <v>678</v>
      </c>
      <c r="D884" s="78" t="s">
        <v>39</v>
      </c>
      <c r="E884" s="78" t="s">
        <v>1481</v>
      </c>
    </row>
    <row r="885" spans="1:5" x14ac:dyDescent="0.3">
      <c r="A885" s="219"/>
      <c r="B885" s="78">
        <v>91</v>
      </c>
      <c r="C885" s="78" t="s">
        <v>692</v>
      </c>
      <c r="D885" s="78" t="s">
        <v>91</v>
      </c>
      <c r="E885" s="78" t="s">
        <v>1481</v>
      </c>
    </row>
    <row r="886" spans="1:5" x14ac:dyDescent="0.3">
      <c r="A886" s="219"/>
      <c r="B886" s="78">
        <v>93</v>
      </c>
      <c r="C886" s="78" t="s">
        <v>706</v>
      </c>
      <c r="D886" s="78" t="s">
        <v>168</v>
      </c>
      <c r="E886" s="78" t="s">
        <v>1481</v>
      </c>
    </row>
    <row r="887" spans="1:5" x14ac:dyDescent="0.3">
      <c r="A887" s="219"/>
      <c r="B887" s="78">
        <v>96</v>
      </c>
      <c r="C887" s="78" t="s">
        <v>727</v>
      </c>
      <c r="D887" s="78" t="s">
        <v>179</v>
      </c>
      <c r="E887" s="78" t="s">
        <v>1481</v>
      </c>
    </row>
    <row r="888" spans="1:5" x14ac:dyDescent="0.3">
      <c r="A888" s="219"/>
      <c r="B888" s="78">
        <v>99</v>
      </c>
      <c r="C888" s="78" t="s">
        <v>744</v>
      </c>
      <c r="D888" s="78" t="s">
        <v>235</v>
      </c>
      <c r="E888" s="78" t="s">
        <v>1481</v>
      </c>
    </row>
    <row r="889" spans="1:5" x14ac:dyDescent="0.3">
      <c r="A889" s="219"/>
      <c r="B889" s="78">
        <v>101</v>
      </c>
      <c r="C889" s="78" t="s">
        <v>756</v>
      </c>
      <c r="D889" s="78" t="s">
        <v>273</v>
      </c>
      <c r="E889" s="78" t="s">
        <v>1481</v>
      </c>
    </row>
    <row r="890" spans="1:5" x14ac:dyDescent="0.3">
      <c r="A890" s="219"/>
      <c r="B890" s="78">
        <v>103</v>
      </c>
      <c r="C890" s="78" t="s">
        <v>767</v>
      </c>
      <c r="D890" s="78" t="s">
        <v>298</v>
      </c>
      <c r="E890" s="78" t="s">
        <v>1481</v>
      </c>
    </row>
    <row r="891" spans="1:5" x14ac:dyDescent="0.3">
      <c r="A891" s="219"/>
      <c r="B891" s="90"/>
      <c r="C891" s="78" t="s">
        <v>1117</v>
      </c>
      <c r="D891" s="78" t="s">
        <v>290</v>
      </c>
      <c r="E891" s="78" t="s">
        <v>1481</v>
      </c>
    </row>
    <row r="892" spans="1:5" x14ac:dyDescent="0.3">
      <c r="A892" s="219"/>
      <c r="B892" s="90"/>
      <c r="C892" s="78" t="s">
        <v>1121</v>
      </c>
      <c r="D892" s="78" t="s">
        <v>28</v>
      </c>
      <c r="E892" s="78" t="s">
        <v>1481</v>
      </c>
    </row>
    <row r="893" spans="1:5" x14ac:dyDescent="0.3">
      <c r="A893" s="219"/>
      <c r="B893" s="78">
        <v>111</v>
      </c>
      <c r="C893" s="78" t="s">
        <v>793</v>
      </c>
      <c r="D893" s="78" t="s">
        <v>371</v>
      </c>
      <c r="E893" s="78" t="s">
        <v>1481</v>
      </c>
    </row>
    <row r="894" spans="1:5" x14ac:dyDescent="0.3">
      <c r="A894" s="219"/>
      <c r="B894" s="78">
        <v>115</v>
      </c>
      <c r="C894" s="78" t="s">
        <v>816</v>
      </c>
      <c r="D894" s="78" t="s">
        <v>519</v>
      </c>
      <c r="E894" s="78" t="s">
        <v>1481</v>
      </c>
    </row>
    <row r="895" spans="1:5" x14ac:dyDescent="0.3">
      <c r="A895" s="219"/>
      <c r="B895" s="78">
        <v>118</v>
      </c>
      <c r="C895" s="78" t="s">
        <v>835</v>
      </c>
      <c r="D895" s="78" t="s">
        <v>537</v>
      </c>
      <c r="E895" s="78" t="s">
        <v>1481</v>
      </c>
    </row>
    <row r="896" spans="1:5" x14ac:dyDescent="0.3">
      <c r="A896" s="219"/>
      <c r="B896" s="78">
        <v>122</v>
      </c>
      <c r="C896" s="78" t="s">
        <v>862</v>
      </c>
      <c r="D896" s="78" t="s">
        <v>548</v>
      </c>
      <c r="E896" s="78" t="s">
        <v>1481</v>
      </c>
    </row>
    <row r="897" spans="1:5" x14ac:dyDescent="0.3">
      <c r="A897" s="219"/>
      <c r="B897" s="78">
        <v>125</v>
      </c>
      <c r="C897" s="78" t="s">
        <v>881</v>
      </c>
      <c r="D897" s="78" t="s">
        <v>565</v>
      </c>
      <c r="E897" s="78" t="s">
        <v>1481</v>
      </c>
    </row>
    <row r="898" spans="1:5" x14ac:dyDescent="0.3">
      <c r="A898" s="219"/>
      <c r="B898" s="90"/>
      <c r="C898" s="78" t="s">
        <v>1125</v>
      </c>
      <c r="D898" s="78" t="s">
        <v>571</v>
      </c>
      <c r="E898" s="78" t="s">
        <v>1481</v>
      </c>
    </row>
    <row r="899" spans="1:5" x14ac:dyDescent="0.3">
      <c r="A899" s="219"/>
      <c r="B899" s="78">
        <v>131</v>
      </c>
      <c r="C899" s="78" t="s">
        <v>908</v>
      </c>
      <c r="D899" s="78" t="s">
        <v>591</v>
      </c>
      <c r="E899" s="78" t="s">
        <v>1481</v>
      </c>
    </row>
    <row r="900" spans="1:5" x14ac:dyDescent="0.3">
      <c r="A900" s="219"/>
      <c r="B900" s="90"/>
      <c r="C900" s="78" t="s">
        <v>1133</v>
      </c>
      <c r="D900" s="78" t="s">
        <v>25</v>
      </c>
      <c r="E900" s="78" t="s">
        <v>1481</v>
      </c>
    </row>
    <row r="901" spans="1:5" x14ac:dyDescent="0.3">
      <c r="A901" s="219"/>
      <c r="B901" s="78">
        <v>153</v>
      </c>
      <c r="C901" s="78" t="s">
        <v>1017</v>
      </c>
      <c r="D901" s="78" t="s">
        <v>39</v>
      </c>
      <c r="E901" s="78" t="s">
        <v>1481</v>
      </c>
    </row>
    <row r="902" spans="1:5" x14ac:dyDescent="0.3">
      <c r="A902" s="219"/>
      <c r="B902" s="78">
        <v>154</v>
      </c>
      <c r="C902" s="78" t="s">
        <v>1022</v>
      </c>
      <c r="D902" s="78" t="s">
        <v>50</v>
      </c>
      <c r="E902" s="78" t="s">
        <v>1481</v>
      </c>
    </row>
    <row r="903" spans="1:5" x14ac:dyDescent="0.3">
      <c r="A903" s="219"/>
      <c r="B903" s="78">
        <v>156</v>
      </c>
      <c r="C903" s="78" t="s">
        <v>1033</v>
      </c>
      <c r="D903" s="78" t="s">
        <v>91</v>
      </c>
      <c r="E903" s="78" t="s">
        <v>1481</v>
      </c>
    </row>
    <row r="904" spans="1:5" x14ac:dyDescent="0.3">
      <c r="A904" s="219"/>
      <c r="B904" s="78">
        <v>157</v>
      </c>
      <c r="C904" s="78" t="s">
        <v>1038</v>
      </c>
      <c r="D904" s="78" t="s">
        <v>168</v>
      </c>
      <c r="E904" s="78" t="s">
        <v>1481</v>
      </c>
    </row>
    <row r="905" spans="1:5" x14ac:dyDescent="0.3">
      <c r="A905" s="219"/>
      <c r="B905" s="78">
        <v>158</v>
      </c>
      <c r="C905" s="78" t="s">
        <v>1043</v>
      </c>
      <c r="D905" s="78" t="s">
        <v>150</v>
      </c>
      <c r="E905" s="78" t="s">
        <v>1481</v>
      </c>
    </row>
    <row r="906" spans="1:5" x14ac:dyDescent="0.3">
      <c r="A906" s="219"/>
      <c r="B906" s="78">
        <v>164</v>
      </c>
      <c r="C906" s="78" t="s">
        <v>1075</v>
      </c>
      <c r="D906" s="78" t="s">
        <v>723</v>
      </c>
      <c r="E906" s="78" t="s">
        <v>1481</v>
      </c>
    </row>
    <row r="907" spans="1:5" x14ac:dyDescent="0.3">
      <c r="A907" s="219"/>
      <c r="B907" s="90"/>
      <c r="C907" s="78" t="s">
        <v>1137</v>
      </c>
      <c r="D907" s="78" t="s">
        <v>179</v>
      </c>
      <c r="E907" s="78" t="s">
        <v>1481</v>
      </c>
    </row>
    <row r="908" spans="1:5" x14ac:dyDescent="0.3">
      <c r="A908" s="219"/>
      <c r="B908" s="90"/>
      <c r="C908" s="78" t="s">
        <v>1221</v>
      </c>
      <c r="D908" s="78" t="s">
        <v>25</v>
      </c>
      <c r="E908" s="78" t="s">
        <v>1481</v>
      </c>
    </row>
    <row r="909" spans="1:5" x14ac:dyDescent="0.3">
      <c r="A909" s="219"/>
      <c r="B909" s="90"/>
      <c r="C909" s="78" t="s">
        <v>1225</v>
      </c>
      <c r="D909" s="78" t="s">
        <v>39</v>
      </c>
      <c r="E909" s="78" t="s">
        <v>1481</v>
      </c>
    </row>
    <row r="910" spans="1:5" x14ac:dyDescent="0.3">
      <c r="A910" s="219"/>
      <c r="B910" s="90"/>
      <c r="C910" s="78" t="s">
        <v>1229</v>
      </c>
      <c r="D910" s="78" t="s">
        <v>50</v>
      </c>
      <c r="E910" s="78" t="s">
        <v>1481</v>
      </c>
    </row>
    <row r="911" spans="1:5" x14ac:dyDescent="0.3">
      <c r="A911" s="219"/>
      <c r="B911" s="90"/>
      <c r="C911" s="78" t="s">
        <v>1233</v>
      </c>
      <c r="D911" s="78" t="s">
        <v>91</v>
      </c>
      <c r="E911" s="78" t="s">
        <v>1481</v>
      </c>
    </row>
    <row r="912" spans="1:5" x14ac:dyDescent="0.3">
      <c r="A912" s="219"/>
      <c r="B912" s="90"/>
      <c r="C912" s="78" t="s">
        <v>1237</v>
      </c>
      <c r="D912" s="78" t="s">
        <v>168</v>
      </c>
      <c r="E912" s="78" t="s">
        <v>1481</v>
      </c>
    </row>
    <row r="913" spans="1:5" x14ac:dyDescent="0.3">
      <c r="A913" s="219"/>
      <c r="B913" s="90"/>
      <c r="C913" s="78" t="s">
        <v>1241</v>
      </c>
      <c r="D913" s="78" t="s">
        <v>150</v>
      </c>
      <c r="E913" s="78" t="s">
        <v>1481</v>
      </c>
    </row>
    <row r="914" spans="1:5" x14ac:dyDescent="0.3">
      <c r="A914" s="219"/>
      <c r="B914" s="90"/>
      <c r="C914" s="78" t="s">
        <v>1245</v>
      </c>
      <c r="D914" s="78" t="s">
        <v>723</v>
      </c>
      <c r="E914" s="78" t="s">
        <v>1481</v>
      </c>
    </row>
    <row r="915" spans="1:5" x14ac:dyDescent="0.3">
      <c r="A915" s="219"/>
      <c r="B915" s="90"/>
      <c r="C915" s="78" t="s">
        <v>1249</v>
      </c>
      <c r="D915" s="78" t="s">
        <v>179</v>
      </c>
      <c r="E915" s="78" t="s">
        <v>1481</v>
      </c>
    </row>
    <row r="916" spans="1:5" x14ac:dyDescent="0.3">
      <c r="A916" s="219"/>
      <c r="B916" s="90"/>
      <c r="C916" s="78" t="s">
        <v>1253</v>
      </c>
      <c r="D916" s="78" t="s">
        <v>186</v>
      </c>
      <c r="E916" s="78" t="s">
        <v>1481</v>
      </c>
    </row>
    <row r="917" spans="1:5" x14ac:dyDescent="0.3">
      <c r="A917" s="219"/>
      <c r="B917" s="90"/>
      <c r="C917" s="78" t="s">
        <v>1257</v>
      </c>
      <c r="D917" s="78" t="s">
        <v>509</v>
      </c>
      <c r="E917" s="78" t="s">
        <v>1481</v>
      </c>
    </row>
    <row r="918" spans="1:5" x14ac:dyDescent="0.3">
      <c r="A918" s="219"/>
      <c r="B918" s="90"/>
      <c r="C918" s="78" t="s">
        <v>1261</v>
      </c>
      <c r="D918" s="78" t="s">
        <v>235</v>
      </c>
      <c r="E918" s="78" t="s">
        <v>1481</v>
      </c>
    </row>
    <row r="919" spans="1:5" x14ac:dyDescent="0.3">
      <c r="A919" s="219"/>
      <c r="B919" s="90"/>
      <c r="C919" s="78" t="s">
        <v>1265</v>
      </c>
      <c r="D919" s="78" t="s">
        <v>252</v>
      </c>
      <c r="E919" s="78" t="s">
        <v>1481</v>
      </c>
    </row>
    <row r="920" spans="1:5" x14ac:dyDescent="0.3">
      <c r="A920" s="219"/>
      <c r="B920" s="90"/>
      <c r="C920" s="78" t="s">
        <v>1269</v>
      </c>
      <c r="D920" s="78" t="s">
        <v>273</v>
      </c>
      <c r="E920" s="78" t="s">
        <v>1481</v>
      </c>
    </row>
    <row r="921" spans="1:5" x14ac:dyDescent="0.3">
      <c r="A921" s="219"/>
      <c r="B921" s="90"/>
      <c r="C921" s="78" t="s">
        <v>1274</v>
      </c>
      <c r="D921" s="78" t="s">
        <v>279</v>
      </c>
      <c r="E921" s="78" t="s">
        <v>1481</v>
      </c>
    </row>
    <row r="922" spans="1:5" x14ac:dyDescent="0.3">
      <c r="A922" s="219"/>
      <c r="B922" s="90"/>
      <c r="C922" s="78" t="s">
        <v>1278</v>
      </c>
      <c r="D922" s="78" t="s">
        <v>298</v>
      </c>
      <c r="E922" s="78" t="s">
        <v>1481</v>
      </c>
    </row>
    <row r="923" spans="1:5" x14ac:dyDescent="0.3">
      <c r="A923" s="219"/>
      <c r="B923" s="90"/>
      <c r="C923" s="78" t="s">
        <v>1282</v>
      </c>
      <c r="D923" s="78" t="s">
        <v>290</v>
      </c>
      <c r="E923" s="78" t="s">
        <v>1481</v>
      </c>
    </row>
    <row r="924" spans="1:5" x14ac:dyDescent="0.3">
      <c r="A924" s="219"/>
      <c r="B924" s="90"/>
      <c r="C924" s="78" t="s">
        <v>1286</v>
      </c>
      <c r="D924" s="78" t="s">
        <v>28</v>
      </c>
      <c r="E924" s="78" t="s">
        <v>1481</v>
      </c>
    </row>
    <row r="925" spans="1:5" x14ac:dyDescent="0.3">
      <c r="A925" s="219"/>
      <c r="B925" s="90"/>
      <c r="C925" s="78" t="s">
        <v>1290</v>
      </c>
      <c r="D925" s="78" t="s">
        <v>371</v>
      </c>
      <c r="E925" s="78" t="s">
        <v>1481</v>
      </c>
    </row>
    <row r="926" spans="1:5" x14ac:dyDescent="0.3">
      <c r="A926" s="219"/>
      <c r="B926" s="90"/>
      <c r="C926" s="78" t="s">
        <v>1294</v>
      </c>
      <c r="D926" s="78" t="s">
        <v>519</v>
      </c>
      <c r="E926" s="78" t="s">
        <v>1481</v>
      </c>
    </row>
    <row r="927" spans="1:5" x14ac:dyDescent="0.3">
      <c r="A927" s="219"/>
      <c r="B927" s="90"/>
      <c r="C927" s="78" t="s">
        <v>1298</v>
      </c>
      <c r="D927" s="78" t="s">
        <v>537</v>
      </c>
      <c r="E927" s="78" t="s">
        <v>1481</v>
      </c>
    </row>
    <row r="928" spans="1:5" x14ac:dyDescent="0.3">
      <c r="A928" s="219"/>
      <c r="B928" s="90"/>
      <c r="C928" s="78" t="s">
        <v>1302</v>
      </c>
      <c r="D928" s="78" t="s">
        <v>548</v>
      </c>
      <c r="E928" s="78" t="s">
        <v>1481</v>
      </c>
    </row>
    <row r="929" spans="1:5" x14ac:dyDescent="0.3">
      <c r="A929" s="219"/>
      <c r="B929" s="90"/>
      <c r="C929" s="78" t="s">
        <v>1306</v>
      </c>
      <c r="D929" s="78" t="s">
        <v>565</v>
      </c>
      <c r="E929" s="78" t="s">
        <v>1481</v>
      </c>
    </row>
    <row r="930" spans="1:5" x14ac:dyDescent="0.3">
      <c r="A930" s="219"/>
      <c r="B930" s="90"/>
      <c r="C930" s="78" t="s">
        <v>1310</v>
      </c>
      <c r="D930" s="78" t="s">
        <v>571</v>
      </c>
      <c r="E930" s="78" t="s">
        <v>1481</v>
      </c>
    </row>
    <row r="931" spans="1:5" x14ac:dyDescent="0.3">
      <c r="A931" s="219"/>
      <c r="B931" s="90"/>
      <c r="C931" s="78" t="s">
        <v>1314</v>
      </c>
      <c r="D931" s="78" t="s">
        <v>591</v>
      </c>
      <c r="E931" s="78" t="s">
        <v>1481</v>
      </c>
    </row>
    <row r="935" spans="1:5" x14ac:dyDescent="0.3">
      <c r="A935" s="267" t="s">
        <v>2657</v>
      </c>
      <c r="B935" s="134" t="s">
        <v>3</v>
      </c>
      <c r="C935" s="134" t="s">
        <v>4</v>
      </c>
      <c r="D935" s="134" t="s">
        <v>1620</v>
      </c>
      <c r="E935" s="134"/>
    </row>
    <row r="936" spans="1:5" x14ac:dyDescent="0.3">
      <c r="A936" s="218">
        <v>44</v>
      </c>
      <c r="B936" s="78">
        <v>66</v>
      </c>
      <c r="C936" s="78" t="s">
        <v>506</v>
      </c>
      <c r="D936" s="78" t="s">
        <v>510</v>
      </c>
      <c r="E936" s="78" t="s">
        <v>1481</v>
      </c>
    </row>
    <row r="937" spans="1:5" x14ac:dyDescent="0.3">
      <c r="A937" s="218">
        <v>88</v>
      </c>
      <c r="B937" s="78">
        <v>152</v>
      </c>
      <c r="C937" s="78" t="s">
        <v>1012</v>
      </c>
      <c r="D937" s="78" t="s">
        <v>520</v>
      </c>
      <c r="E937" s="78" t="s">
        <v>1481</v>
      </c>
    </row>
    <row r="938" spans="1:5" x14ac:dyDescent="0.3">
      <c r="A938" s="218">
        <v>100</v>
      </c>
      <c r="B938" s="78">
        <v>172</v>
      </c>
      <c r="C938" s="78" t="s">
        <v>1112</v>
      </c>
      <c r="D938" s="78" t="s">
        <v>911</v>
      </c>
      <c r="E938" s="78" t="s">
        <v>1481</v>
      </c>
    </row>
    <row r="939" spans="1:5" x14ac:dyDescent="0.3">
      <c r="A939" s="219"/>
      <c r="B939" s="78">
        <v>1</v>
      </c>
      <c r="C939" s="78" t="s">
        <v>22</v>
      </c>
      <c r="D939" s="78" t="s">
        <v>29</v>
      </c>
      <c r="E939" s="78" t="s">
        <v>1481</v>
      </c>
    </row>
    <row r="940" spans="1:5" x14ac:dyDescent="0.3">
      <c r="A940" s="219"/>
      <c r="B940" s="78">
        <v>2</v>
      </c>
      <c r="C940" s="78" t="s">
        <v>36</v>
      </c>
      <c r="D940" s="78" t="s">
        <v>41</v>
      </c>
      <c r="E940" s="78" t="s">
        <v>1481</v>
      </c>
    </row>
    <row r="941" spans="1:5" x14ac:dyDescent="0.3">
      <c r="A941" s="219"/>
      <c r="B941" s="78">
        <v>3</v>
      </c>
      <c r="C941" s="78" t="s">
        <v>47</v>
      </c>
      <c r="D941" s="78" t="s">
        <v>52</v>
      </c>
      <c r="E941" s="78" t="s">
        <v>1481</v>
      </c>
    </row>
    <row r="942" spans="1:5" x14ac:dyDescent="0.3">
      <c r="A942" s="219"/>
      <c r="B942" s="78">
        <v>6</v>
      </c>
      <c r="C942" s="78" t="s">
        <v>87</v>
      </c>
      <c r="D942" s="78" t="s">
        <v>94</v>
      </c>
      <c r="E942" s="78" t="s">
        <v>1481</v>
      </c>
    </row>
    <row r="943" spans="1:5" x14ac:dyDescent="0.3">
      <c r="A943" s="219"/>
      <c r="B943" s="78">
        <v>15</v>
      </c>
      <c r="C943" s="78" t="s">
        <v>182</v>
      </c>
      <c r="D943" s="78" t="s">
        <v>187</v>
      </c>
      <c r="E943" s="78" t="s">
        <v>1481</v>
      </c>
    </row>
    <row r="944" spans="1:5" x14ac:dyDescent="0.3">
      <c r="A944" s="219"/>
      <c r="B944" s="90"/>
      <c r="C944" s="78" t="s">
        <v>1417</v>
      </c>
      <c r="D944" s="78" t="s">
        <v>510</v>
      </c>
      <c r="E944" s="78" t="s">
        <v>1481</v>
      </c>
    </row>
    <row r="945" spans="1:5" x14ac:dyDescent="0.3">
      <c r="A945" s="219"/>
      <c r="B945" s="78">
        <v>28</v>
      </c>
      <c r="C945" s="78" t="s">
        <v>232</v>
      </c>
      <c r="D945" s="78" t="s">
        <v>238</v>
      </c>
      <c r="E945" s="78" t="s">
        <v>1481</v>
      </c>
    </row>
    <row r="946" spans="1:5" x14ac:dyDescent="0.3">
      <c r="A946" s="219"/>
      <c r="B946" s="78">
        <v>30</v>
      </c>
      <c r="C946" s="78" t="s">
        <v>249</v>
      </c>
      <c r="D946" s="78" t="s">
        <v>253</v>
      </c>
      <c r="E946" s="78" t="s">
        <v>1481</v>
      </c>
    </row>
    <row r="947" spans="1:5" x14ac:dyDescent="0.3">
      <c r="A947" s="219"/>
      <c r="B947" s="78">
        <v>32</v>
      </c>
      <c r="C947" s="78" t="s">
        <v>270</v>
      </c>
      <c r="D947" s="78" t="s">
        <v>274</v>
      </c>
      <c r="E947" s="78" t="s">
        <v>1481</v>
      </c>
    </row>
    <row r="948" spans="1:5" x14ac:dyDescent="0.3">
      <c r="A948" s="219"/>
      <c r="B948" s="78">
        <v>33</v>
      </c>
      <c r="C948" s="78" t="s">
        <v>276</v>
      </c>
      <c r="D948" s="78" t="s">
        <v>281</v>
      </c>
      <c r="E948" s="78" t="s">
        <v>1481</v>
      </c>
    </row>
    <row r="949" spans="1:5" x14ac:dyDescent="0.3">
      <c r="A949" s="219"/>
      <c r="B949" s="78">
        <v>42</v>
      </c>
      <c r="C949" s="78" t="s">
        <v>346</v>
      </c>
      <c r="D949" s="78" t="s">
        <v>350</v>
      </c>
      <c r="E949" s="78" t="s">
        <v>1481</v>
      </c>
    </row>
    <row r="950" spans="1:5" x14ac:dyDescent="0.3">
      <c r="A950" s="219"/>
      <c r="B950" s="78">
        <v>43</v>
      </c>
      <c r="C950" s="78" t="s">
        <v>353</v>
      </c>
      <c r="D950" s="78" t="s">
        <v>356</v>
      </c>
      <c r="E950" s="78" t="s">
        <v>1481</v>
      </c>
    </row>
    <row r="951" spans="1:5" x14ac:dyDescent="0.3">
      <c r="A951" s="219"/>
      <c r="B951" s="78">
        <v>44</v>
      </c>
      <c r="C951" s="78" t="s">
        <v>361</v>
      </c>
      <c r="D951" s="78" t="s">
        <v>365</v>
      </c>
      <c r="E951" s="78" t="s">
        <v>1481</v>
      </c>
    </row>
    <row r="952" spans="1:5" x14ac:dyDescent="0.3">
      <c r="A952" s="219"/>
      <c r="B952" s="78">
        <v>45</v>
      </c>
      <c r="C952" s="78" t="s">
        <v>368</v>
      </c>
      <c r="D952" s="78" t="s">
        <v>372</v>
      </c>
      <c r="E952" s="78" t="s">
        <v>1481</v>
      </c>
    </row>
    <row r="953" spans="1:5" x14ac:dyDescent="0.3">
      <c r="A953" s="219"/>
      <c r="B953" s="78">
        <v>67</v>
      </c>
      <c r="C953" s="78" t="s">
        <v>515</v>
      </c>
      <c r="D953" s="78" t="s">
        <v>520</v>
      </c>
      <c r="E953" s="78" t="s">
        <v>1481</v>
      </c>
    </row>
    <row r="954" spans="1:5" x14ac:dyDescent="0.3">
      <c r="A954" s="219"/>
      <c r="B954" s="78">
        <v>69</v>
      </c>
      <c r="C954" s="78" t="s">
        <v>533</v>
      </c>
      <c r="D954" s="78" t="s">
        <v>538</v>
      </c>
      <c r="E954" s="78" t="s">
        <v>1481</v>
      </c>
    </row>
    <row r="955" spans="1:5" x14ac:dyDescent="0.3">
      <c r="A955" s="219"/>
      <c r="B955" s="78">
        <v>70</v>
      </c>
      <c r="C955" s="78" t="s">
        <v>544</v>
      </c>
      <c r="D955" s="78" t="s">
        <v>549</v>
      </c>
      <c r="E955" s="78" t="s">
        <v>1481</v>
      </c>
    </row>
    <row r="956" spans="1:5" x14ac:dyDescent="0.3">
      <c r="A956" s="219"/>
      <c r="B956" s="78">
        <v>72</v>
      </c>
      <c r="C956" s="78" t="s">
        <v>561</v>
      </c>
      <c r="D956" s="78" t="s">
        <v>566</v>
      </c>
      <c r="E956" s="78" t="s">
        <v>1481</v>
      </c>
    </row>
    <row r="957" spans="1:5" x14ac:dyDescent="0.3">
      <c r="A957" s="219"/>
      <c r="B957" s="78">
        <v>73</v>
      </c>
      <c r="C957" s="78" t="s">
        <v>568</v>
      </c>
      <c r="D957" s="78" t="s">
        <v>572</v>
      </c>
      <c r="E957" s="78" t="s">
        <v>1481</v>
      </c>
    </row>
    <row r="958" spans="1:5" x14ac:dyDescent="0.3">
      <c r="A958" s="219"/>
      <c r="B958" s="78">
        <v>75</v>
      </c>
      <c r="C958" s="78" t="s">
        <v>588</v>
      </c>
      <c r="D958" s="78" t="s">
        <v>592</v>
      </c>
      <c r="E958" s="78" t="s">
        <v>1481</v>
      </c>
    </row>
    <row r="959" spans="1:5" x14ac:dyDescent="0.3">
      <c r="A959" s="219"/>
      <c r="B959" s="78">
        <v>76</v>
      </c>
      <c r="C959" s="78" t="s">
        <v>594</v>
      </c>
      <c r="D959" s="78" t="s">
        <v>238</v>
      </c>
      <c r="E959" s="78" t="s">
        <v>1481</v>
      </c>
    </row>
    <row r="960" spans="1:5" x14ac:dyDescent="0.3">
      <c r="A960" s="219"/>
      <c r="B960" s="78">
        <v>80</v>
      </c>
      <c r="C960" s="78" t="s">
        <v>614</v>
      </c>
      <c r="D960" s="78" t="s">
        <v>253</v>
      </c>
      <c r="E960" s="78" t="s">
        <v>1481</v>
      </c>
    </row>
    <row r="961" spans="1:5" x14ac:dyDescent="0.3">
      <c r="A961" s="219"/>
      <c r="B961" s="78">
        <v>82</v>
      </c>
      <c r="C961" s="78" t="s">
        <v>628</v>
      </c>
      <c r="D961" s="78" t="s">
        <v>274</v>
      </c>
      <c r="E961" s="78" t="s">
        <v>1481</v>
      </c>
    </row>
    <row r="962" spans="1:5" x14ac:dyDescent="0.3">
      <c r="A962" s="219"/>
      <c r="B962" s="78">
        <v>84</v>
      </c>
      <c r="C962" s="78" t="s">
        <v>644</v>
      </c>
      <c r="D962" s="78" t="s">
        <v>281</v>
      </c>
      <c r="E962" s="78" t="s">
        <v>1481</v>
      </c>
    </row>
    <row r="963" spans="1:5" x14ac:dyDescent="0.3">
      <c r="A963" s="219"/>
      <c r="B963" s="78">
        <v>85</v>
      </c>
      <c r="C963" s="78" t="s">
        <v>651</v>
      </c>
      <c r="D963" s="78" t="s">
        <v>350</v>
      </c>
      <c r="E963" s="78" t="s">
        <v>1481</v>
      </c>
    </row>
    <row r="964" spans="1:5" x14ac:dyDescent="0.3">
      <c r="A964" s="219"/>
      <c r="B964" s="78">
        <v>86</v>
      </c>
      <c r="C964" s="78" t="s">
        <v>659</v>
      </c>
      <c r="D964" s="78" t="s">
        <v>356</v>
      </c>
      <c r="E964" s="78" t="s">
        <v>1481</v>
      </c>
    </row>
    <row r="965" spans="1:5" x14ac:dyDescent="0.3">
      <c r="A965" s="219"/>
      <c r="B965" s="78">
        <v>88</v>
      </c>
      <c r="C965" s="78" t="s">
        <v>671</v>
      </c>
      <c r="D965" s="78" t="s">
        <v>29</v>
      </c>
      <c r="E965" s="78" t="s">
        <v>1481</v>
      </c>
    </row>
    <row r="966" spans="1:5" x14ac:dyDescent="0.3">
      <c r="A966" s="219"/>
      <c r="B966" s="78">
        <v>89</v>
      </c>
      <c r="C966" s="78" t="s">
        <v>678</v>
      </c>
      <c r="D966" s="78" t="s">
        <v>41</v>
      </c>
      <c r="E966" s="78" t="s">
        <v>1481</v>
      </c>
    </row>
    <row r="967" spans="1:5" x14ac:dyDescent="0.3">
      <c r="A967" s="219"/>
      <c r="B967" s="78">
        <v>91</v>
      </c>
      <c r="C967" s="78" t="s">
        <v>692</v>
      </c>
      <c r="D967" s="78" t="s">
        <v>52</v>
      </c>
      <c r="E967" s="78" t="s">
        <v>1481</v>
      </c>
    </row>
    <row r="968" spans="1:5" x14ac:dyDescent="0.3">
      <c r="A968" s="219"/>
      <c r="B968" s="78">
        <v>93</v>
      </c>
      <c r="C968" s="78" t="s">
        <v>706</v>
      </c>
      <c r="D968" s="78" t="s">
        <v>94</v>
      </c>
      <c r="E968" s="78" t="s">
        <v>1481</v>
      </c>
    </row>
    <row r="969" spans="1:5" x14ac:dyDescent="0.3">
      <c r="A969" s="219"/>
      <c r="B969" s="78">
        <v>99</v>
      </c>
      <c r="C969" s="78" t="s">
        <v>744</v>
      </c>
      <c r="D969" s="78" t="s">
        <v>748</v>
      </c>
      <c r="E969" s="78" t="s">
        <v>1481</v>
      </c>
    </row>
    <row r="970" spans="1:5" x14ac:dyDescent="0.3">
      <c r="A970" s="219"/>
      <c r="B970" s="78">
        <v>101</v>
      </c>
      <c r="C970" s="78" t="s">
        <v>756</v>
      </c>
      <c r="D970" s="78" t="s">
        <v>759</v>
      </c>
      <c r="E970" s="78" t="s">
        <v>1481</v>
      </c>
    </row>
    <row r="971" spans="1:5" x14ac:dyDescent="0.3">
      <c r="A971" s="219"/>
      <c r="B971" s="78">
        <v>103</v>
      </c>
      <c r="C971" s="78" t="s">
        <v>767</v>
      </c>
      <c r="D971" s="78" t="s">
        <v>770</v>
      </c>
      <c r="E971" s="78" t="s">
        <v>1481</v>
      </c>
    </row>
    <row r="972" spans="1:5" x14ac:dyDescent="0.3">
      <c r="A972" s="219"/>
      <c r="B972" s="78">
        <v>111</v>
      </c>
      <c r="C972" s="78" t="s">
        <v>793</v>
      </c>
      <c r="D972" s="78" t="s">
        <v>29</v>
      </c>
      <c r="E972" s="78" t="s">
        <v>1481</v>
      </c>
    </row>
    <row r="973" spans="1:5" x14ac:dyDescent="0.3">
      <c r="A973" s="219"/>
      <c r="B973" s="78">
        <v>115</v>
      </c>
      <c r="C973" s="78" t="s">
        <v>816</v>
      </c>
      <c r="D973" s="78" t="s">
        <v>187</v>
      </c>
      <c r="E973" s="78" t="s">
        <v>1481</v>
      </c>
    </row>
    <row r="974" spans="1:5" x14ac:dyDescent="0.3">
      <c r="A974" s="219"/>
      <c r="B974" s="78">
        <v>118</v>
      </c>
      <c r="C974" s="78" t="s">
        <v>835</v>
      </c>
      <c r="D974" s="78" t="s">
        <v>572</v>
      </c>
      <c r="E974" s="78" t="s">
        <v>1481</v>
      </c>
    </row>
    <row r="975" spans="1:5" x14ac:dyDescent="0.3">
      <c r="A975" s="219"/>
      <c r="B975" s="78">
        <v>122</v>
      </c>
      <c r="C975" s="78" t="s">
        <v>862</v>
      </c>
      <c r="D975" s="78" t="s">
        <v>592</v>
      </c>
      <c r="E975" s="78" t="s">
        <v>1481</v>
      </c>
    </row>
    <row r="976" spans="1:5" x14ac:dyDescent="0.3">
      <c r="A976" s="219"/>
      <c r="B976" s="78">
        <v>131</v>
      </c>
      <c r="C976" s="78" t="s">
        <v>908</v>
      </c>
      <c r="D976" s="78" t="s">
        <v>911</v>
      </c>
      <c r="E976" s="78" t="s">
        <v>1481</v>
      </c>
    </row>
    <row r="977" spans="1:5" x14ac:dyDescent="0.3">
      <c r="A977" s="219"/>
      <c r="B977" s="78">
        <v>132</v>
      </c>
      <c r="C977" s="78" t="s">
        <v>915</v>
      </c>
      <c r="D977" s="78" t="s">
        <v>510</v>
      </c>
      <c r="E977" s="78" t="s">
        <v>1481</v>
      </c>
    </row>
    <row r="978" spans="1:5" x14ac:dyDescent="0.3">
      <c r="A978" s="219"/>
      <c r="B978" s="78">
        <v>134</v>
      </c>
      <c r="C978" s="78" t="s">
        <v>927</v>
      </c>
      <c r="D978" s="78" t="s">
        <v>29</v>
      </c>
      <c r="E978" s="78" t="s">
        <v>1481</v>
      </c>
    </row>
    <row r="979" spans="1:5" x14ac:dyDescent="0.3">
      <c r="A979" s="219"/>
      <c r="B979" s="78">
        <v>136</v>
      </c>
      <c r="C979" s="78" t="s">
        <v>939</v>
      </c>
      <c r="D979" s="78" t="s">
        <v>187</v>
      </c>
      <c r="E979" s="78" t="s">
        <v>1481</v>
      </c>
    </row>
    <row r="980" spans="1:5" x14ac:dyDescent="0.3">
      <c r="A980" s="219"/>
      <c r="B980" s="78">
        <v>138</v>
      </c>
      <c r="C980" s="78" t="s">
        <v>953</v>
      </c>
      <c r="D980" s="78" t="s">
        <v>365</v>
      </c>
      <c r="E980" s="78" t="s">
        <v>1481</v>
      </c>
    </row>
    <row r="981" spans="1:5" x14ac:dyDescent="0.3">
      <c r="A981" s="219"/>
      <c r="B981" s="78">
        <v>139</v>
      </c>
      <c r="C981" s="78" t="s">
        <v>959</v>
      </c>
      <c r="D981" s="78" t="s">
        <v>572</v>
      </c>
      <c r="E981" s="78" t="s">
        <v>1481</v>
      </c>
    </row>
    <row r="982" spans="1:5" x14ac:dyDescent="0.3">
      <c r="A982" s="219"/>
      <c r="B982" s="78">
        <v>142</v>
      </c>
      <c r="C982" s="78" t="s">
        <v>975</v>
      </c>
      <c r="D982" s="78" t="s">
        <v>592</v>
      </c>
      <c r="E982" s="78" t="s">
        <v>1481</v>
      </c>
    </row>
    <row r="983" spans="1:5" x14ac:dyDescent="0.3">
      <c r="A983" s="219"/>
      <c r="B983" s="78">
        <v>144</v>
      </c>
      <c r="C983" s="78" t="s">
        <v>987</v>
      </c>
      <c r="D983" s="78" t="s">
        <v>372</v>
      </c>
      <c r="E983" s="78" t="s">
        <v>1481</v>
      </c>
    </row>
    <row r="984" spans="1:5" x14ac:dyDescent="0.3">
      <c r="A984" s="219"/>
      <c r="B984" s="78">
        <v>153</v>
      </c>
      <c r="C984" s="78" t="s">
        <v>1017</v>
      </c>
      <c r="D984" s="78" t="s">
        <v>538</v>
      </c>
      <c r="E984" s="78" t="s">
        <v>1481</v>
      </c>
    </row>
    <row r="985" spans="1:5" x14ac:dyDescent="0.3">
      <c r="A985" s="219"/>
      <c r="B985" s="78">
        <v>154</v>
      </c>
      <c r="C985" s="78" t="s">
        <v>1022</v>
      </c>
      <c r="D985" s="78" t="s">
        <v>549</v>
      </c>
      <c r="E985" s="78" t="s">
        <v>1481</v>
      </c>
    </row>
    <row r="986" spans="1:5" x14ac:dyDescent="0.3">
      <c r="A986" s="219"/>
      <c r="B986" s="78">
        <v>156</v>
      </c>
      <c r="C986" s="78" t="s">
        <v>1033</v>
      </c>
      <c r="D986" s="78" t="s">
        <v>566</v>
      </c>
      <c r="E986" s="78" t="s">
        <v>1481</v>
      </c>
    </row>
    <row r="987" spans="1:5" x14ac:dyDescent="0.3">
      <c r="A987" s="219"/>
      <c r="B987" s="78">
        <v>157</v>
      </c>
      <c r="C987" s="78" t="s">
        <v>1038</v>
      </c>
      <c r="D987" s="78" t="s">
        <v>748</v>
      </c>
      <c r="E987" s="78" t="s">
        <v>1481</v>
      </c>
    </row>
    <row r="988" spans="1:5" x14ac:dyDescent="0.3">
      <c r="A988" s="219"/>
      <c r="B988" s="78">
        <v>158</v>
      </c>
      <c r="C988" s="78" t="s">
        <v>1043</v>
      </c>
      <c r="D988" s="78" t="s">
        <v>759</v>
      </c>
      <c r="E988" s="78" t="s">
        <v>1481</v>
      </c>
    </row>
    <row r="989" spans="1:5" x14ac:dyDescent="0.3">
      <c r="A989" s="219"/>
      <c r="B989" s="78">
        <v>164</v>
      </c>
      <c r="C989" s="78" t="s">
        <v>1075</v>
      </c>
      <c r="D989" s="78" t="s">
        <v>770</v>
      </c>
      <c r="E989" s="78" t="s">
        <v>1481</v>
      </c>
    </row>
    <row r="990" spans="1:5" x14ac:dyDescent="0.3">
      <c r="A990" s="219"/>
      <c r="B990" s="90"/>
      <c r="C990" s="78" t="s">
        <v>1157</v>
      </c>
      <c r="D990" s="78" t="s">
        <v>29</v>
      </c>
      <c r="E990" s="78" t="s">
        <v>1481</v>
      </c>
    </row>
    <row r="991" spans="1:5" x14ac:dyDescent="0.3">
      <c r="A991" s="219"/>
      <c r="B991" s="90"/>
      <c r="C991" s="78" t="s">
        <v>1161</v>
      </c>
      <c r="D991" s="78" t="s">
        <v>41</v>
      </c>
      <c r="E991" s="78" t="s">
        <v>1481</v>
      </c>
    </row>
    <row r="992" spans="1:5" x14ac:dyDescent="0.3">
      <c r="A992" s="219"/>
      <c r="B992" s="90"/>
      <c r="C992" s="78" t="s">
        <v>1165</v>
      </c>
      <c r="D992" s="78" t="s">
        <v>52</v>
      </c>
      <c r="E992" s="78" t="s">
        <v>1481</v>
      </c>
    </row>
    <row r="993" spans="1:5" x14ac:dyDescent="0.3">
      <c r="A993" s="219"/>
      <c r="B993" s="90"/>
      <c r="C993" s="78" t="s">
        <v>1169</v>
      </c>
      <c r="D993" s="78" t="s">
        <v>94</v>
      </c>
      <c r="E993" s="78" t="s">
        <v>1481</v>
      </c>
    </row>
    <row r="994" spans="1:5" x14ac:dyDescent="0.3">
      <c r="A994" s="219"/>
      <c r="B994" s="90"/>
      <c r="C994" s="78" t="s">
        <v>1173</v>
      </c>
      <c r="D994" s="78" t="s">
        <v>748</v>
      </c>
      <c r="E994" s="78" t="s">
        <v>1481</v>
      </c>
    </row>
    <row r="995" spans="1:5" x14ac:dyDescent="0.3">
      <c r="A995" s="219"/>
      <c r="B995" s="90"/>
      <c r="C995" s="78" t="s">
        <v>1177</v>
      </c>
      <c r="D995" s="78" t="s">
        <v>759</v>
      </c>
      <c r="E995" s="78" t="s">
        <v>1481</v>
      </c>
    </row>
    <row r="996" spans="1:5" x14ac:dyDescent="0.3">
      <c r="A996" s="219"/>
      <c r="B996" s="90"/>
      <c r="C996" s="78" t="s">
        <v>1181</v>
      </c>
      <c r="D996" s="78" t="s">
        <v>770</v>
      </c>
      <c r="E996" s="78" t="s">
        <v>1481</v>
      </c>
    </row>
    <row r="997" spans="1:5" x14ac:dyDescent="0.3">
      <c r="A997" s="219"/>
      <c r="B997" s="90"/>
      <c r="C997" s="78" t="s">
        <v>1185</v>
      </c>
      <c r="D997" s="78" t="s">
        <v>911</v>
      </c>
      <c r="E997" s="78" t="s">
        <v>1481</v>
      </c>
    </row>
    <row r="998" spans="1:5" x14ac:dyDescent="0.3">
      <c r="A998" s="219"/>
      <c r="B998" s="90"/>
      <c r="C998" s="78" t="s">
        <v>1189</v>
      </c>
      <c r="D998" s="78" t="s">
        <v>187</v>
      </c>
      <c r="E998" s="78" t="s">
        <v>1481</v>
      </c>
    </row>
    <row r="999" spans="1:5" x14ac:dyDescent="0.3">
      <c r="A999" s="219"/>
      <c r="B999" s="90"/>
      <c r="C999" s="78" t="s">
        <v>1193</v>
      </c>
      <c r="D999" s="78" t="s">
        <v>510</v>
      </c>
      <c r="E999" s="78" t="s">
        <v>1481</v>
      </c>
    </row>
    <row r="1000" spans="1:5" x14ac:dyDescent="0.3">
      <c r="A1000" s="219"/>
      <c r="B1000" s="90"/>
      <c r="C1000" s="78" t="s">
        <v>1197</v>
      </c>
      <c r="D1000" s="78" t="s">
        <v>238</v>
      </c>
      <c r="E1000" s="78" t="s">
        <v>1481</v>
      </c>
    </row>
    <row r="1001" spans="1:5" x14ac:dyDescent="0.3">
      <c r="A1001" s="219"/>
      <c r="B1001" s="90"/>
      <c r="C1001" s="78" t="s">
        <v>1201</v>
      </c>
      <c r="D1001" s="78" t="s">
        <v>253</v>
      </c>
      <c r="E1001" s="78" t="s">
        <v>1481</v>
      </c>
    </row>
    <row r="1002" spans="1:5" x14ac:dyDescent="0.3">
      <c r="A1002" s="219"/>
      <c r="B1002" s="90"/>
      <c r="C1002" s="78" t="s">
        <v>1205</v>
      </c>
      <c r="D1002" s="78" t="s">
        <v>274</v>
      </c>
      <c r="E1002" s="78" t="s">
        <v>1481</v>
      </c>
    </row>
    <row r="1003" spans="1:5" x14ac:dyDescent="0.3">
      <c r="A1003" s="219"/>
      <c r="B1003" s="90"/>
      <c r="C1003" s="78" t="s">
        <v>1209</v>
      </c>
      <c r="D1003" s="78" t="s">
        <v>281</v>
      </c>
      <c r="E1003" s="78" t="s">
        <v>1481</v>
      </c>
    </row>
    <row r="1004" spans="1:5" x14ac:dyDescent="0.3">
      <c r="A1004" s="219"/>
      <c r="B1004" s="90"/>
      <c r="C1004" s="78" t="s">
        <v>1213</v>
      </c>
      <c r="D1004" s="78" t="s">
        <v>350</v>
      </c>
      <c r="E1004" s="78" t="s">
        <v>1481</v>
      </c>
    </row>
    <row r="1005" spans="1:5" x14ac:dyDescent="0.3">
      <c r="A1005" s="219"/>
      <c r="B1005" s="90"/>
      <c r="C1005" s="78" t="s">
        <v>1217</v>
      </c>
      <c r="D1005" s="78" t="s">
        <v>356</v>
      </c>
      <c r="E1005" s="78" t="s">
        <v>1481</v>
      </c>
    </row>
    <row r="1006" spans="1:5" x14ac:dyDescent="0.3">
      <c r="A1006" s="219"/>
      <c r="B1006" s="90"/>
      <c r="C1006" s="78" t="s">
        <v>1221</v>
      </c>
      <c r="D1006" s="78" t="s">
        <v>365</v>
      </c>
      <c r="E1006" s="78" t="s">
        <v>1481</v>
      </c>
    </row>
    <row r="1007" spans="1:5" x14ac:dyDescent="0.3">
      <c r="A1007" s="219"/>
      <c r="B1007" s="90"/>
      <c r="C1007" s="78" t="s">
        <v>1225</v>
      </c>
      <c r="D1007" s="78" t="s">
        <v>372</v>
      </c>
      <c r="E1007" s="78" t="s">
        <v>1481</v>
      </c>
    </row>
    <row r="1008" spans="1:5" x14ac:dyDescent="0.3">
      <c r="A1008" s="219"/>
      <c r="B1008" s="90"/>
      <c r="C1008" s="78" t="s">
        <v>1229</v>
      </c>
      <c r="D1008" s="78" t="s">
        <v>520</v>
      </c>
      <c r="E1008" s="78" t="s">
        <v>1481</v>
      </c>
    </row>
    <row r="1009" spans="1:5" x14ac:dyDescent="0.3">
      <c r="A1009" s="219"/>
      <c r="B1009" s="90"/>
      <c r="C1009" s="78" t="s">
        <v>1233</v>
      </c>
      <c r="D1009" s="78" t="s">
        <v>538</v>
      </c>
      <c r="E1009" s="78" t="s">
        <v>1481</v>
      </c>
    </row>
    <row r="1010" spans="1:5" x14ac:dyDescent="0.3">
      <c r="A1010" s="219"/>
      <c r="B1010" s="90"/>
      <c r="C1010" s="78" t="s">
        <v>1237</v>
      </c>
      <c r="D1010" s="78" t="s">
        <v>549</v>
      </c>
      <c r="E1010" s="78" t="s">
        <v>1481</v>
      </c>
    </row>
    <row r="1011" spans="1:5" x14ac:dyDescent="0.3">
      <c r="A1011" s="219"/>
      <c r="B1011" s="90"/>
      <c r="C1011" s="78" t="s">
        <v>1241</v>
      </c>
      <c r="D1011" s="78" t="s">
        <v>566</v>
      </c>
      <c r="E1011" s="78" t="s">
        <v>1481</v>
      </c>
    </row>
    <row r="1012" spans="1:5" x14ac:dyDescent="0.3">
      <c r="A1012" s="219"/>
      <c r="B1012" s="90"/>
      <c r="C1012" s="78" t="s">
        <v>1245</v>
      </c>
      <c r="D1012" s="78" t="s">
        <v>572</v>
      </c>
      <c r="E1012" s="78" t="s">
        <v>1481</v>
      </c>
    </row>
    <row r="1013" spans="1:5" x14ac:dyDescent="0.3">
      <c r="A1013" s="219"/>
      <c r="B1013" s="90"/>
      <c r="C1013" s="78" t="s">
        <v>1249</v>
      </c>
      <c r="D1013" s="78" t="s">
        <v>592</v>
      </c>
      <c r="E1013" s="78" t="s">
        <v>1481</v>
      </c>
    </row>
    <row r="1014" spans="1:5" x14ac:dyDescent="0.3">
      <c r="A1014" s="219"/>
      <c r="B1014" s="90"/>
      <c r="C1014" s="78" t="s">
        <v>1346</v>
      </c>
      <c r="D1014" s="78" t="s">
        <v>356</v>
      </c>
      <c r="E1014" s="78" t="s">
        <v>1481</v>
      </c>
    </row>
    <row r="1015" spans="1:5" x14ac:dyDescent="0.3">
      <c r="A1015" s="219"/>
      <c r="B1015" s="90"/>
      <c r="C1015" s="78" t="s">
        <v>1350</v>
      </c>
      <c r="D1015" s="78" t="s">
        <v>365</v>
      </c>
      <c r="E1015" s="78" t="s">
        <v>1481</v>
      </c>
    </row>
    <row r="1016" spans="1:5" x14ac:dyDescent="0.3">
      <c r="A1016" s="219"/>
      <c r="B1016" s="90"/>
      <c r="C1016" s="78" t="s">
        <v>1354</v>
      </c>
      <c r="D1016" s="78" t="s">
        <v>372</v>
      </c>
      <c r="E1016" s="78" t="s">
        <v>1481</v>
      </c>
    </row>
    <row r="1017" spans="1:5" x14ac:dyDescent="0.3">
      <c r="A1017" s="219"/>
      <c r="B1017" s="90"/>
      <c r="C1017" s="78" t="s">
        <v>1359</v>
      </c>
      <c r="D1017" s="78" t="s">
        <v>520</v>
      </c>
      <c r="E1017" s="78" t="s">
        <v>1481</v>
      </c>
    </row>
    <row r="1018" spans="1:5" x14ac:dyDescent="0.3">
      <c r="A1018" s="219"/>
      <c r="B1018" s="90"/>
      <c r="C1018" s="78" t="s">
        <v>1364</v>
      </c>
      <c r="D1018" s="78" t="s">
        <v>538</v>
      </c>
      <c r="E1018" s="78" t="s">
        <v>1481</v>
      </c>
    </row>
    <row r="1019" spans="1:5" x14ac:dyDescent="0.3">
      <c r="A1019" s="219"/>
      <c r="B1019" s="90"/>
      <c r="C1019" s="78" t="s">
        <v>1369</v>
      </c>
      <c r="D1019" s="78" t="s">
        <v>549</v>
      </c>
      <c r="E1019" s="78" t="s">
        <v>1481</v>
      </c>
    </row>
    <row r="1020" spans="1:5" x14ac:dyDescent="0.3">
      <c r="A1020" s="219"/>
      <c r="B1020" s="90"/>
      <c r="C1020" s="78" t="s">
        <v>1374</v>
      </c>
      <c r="D1020" s="78" t="s">
        <v>566</v>
      </c>
      <c r="E1020" s="78" t="s">
        <v>1481</v>
      </c>
    </row>
    <row r="1021" spans="1:5" x14ac:dyDescent="0.3">
      <c r="A1021" s="219"/>
      <c r="B1021" s="90"/>
      <c r="C1021" s="78" t="s">
        <v>1379</v>
      </c>
      <c r="D1021" s="78" t="s">
        <v>572</v>
      </c>
      <c r="E1021" s="78" t="s">
        <v>1481</v>
      </c>
    </row>
    <row r="1022" spans="1:5" x14ac:dyDescent="0.3">
      <c r="A1022" s="219"/>
      <c r="B1022" s="90"/>
      <c r="C1022" s="78" t="s">
        <v>1384</v>
      </c>
      <c r="D1022" s="78" t="s">
        <v>592</v>
      </c>
      <c r="E1022" s="78" t="s">
        <v>1481</v>
      </c>
    </row>
    <row r="1026" spans="1:5" x14ac:dyDescent="0.3">
      <c r="A1026" s="267" t="s">
        <v>2657</v>
      </c>
      <c r="B1026" s="134" t="s">
        <v>3</v>
      </c>
      <c r="C1026" s="134" t="s">
        <v>4</v>
      </c>
      <c r="D1026" s="134" t="s">
        <v>1545</v>
      </c>
      <c r="E1026" s="134"/>
    </row>
    <row r="1027" spans="1:5" x14ac:dyDescent="0.3">
      <c r="A1027" s="218">
        <v>20</v>
      </c>
      <c r="B1027" s="78">
        <v>31</v>
      </c>
      <c r="C1027" s="78" t="s">
        <v>258</v>
      </c>
      <c r="D1027" s="78" t="s">
        <v>261</v>
      </c>
      <c r="E1027" s="78" t="s">
        <v>1481</v>
      </c>
    </row>
    <row r="1028" spans="1:5" x14ac:dyDescent="0.3">
      <c r="A1028" s="218">
        <v>23</v>
      </c>
      <c r="B1028" s="78">
        <v>36</v>
      </c>
      <c r="C1028" s="78" t="s">
        <v>308</v>
      </c>
      <c r="D1028" s="78" t="s">
        <v>311</v>
      </c>
      <c r="E1028" s="78" t="s">
        <v>1481</v>
      </c>
    </row>
    <row r="1029" spans="1:5" x14ac:dyDescent="0.3">
      <c r="A1029" s="219"/>
      <c r="B1029" s="78">
        <v>40</v>
      </c>
      <c r="C1029" s="78" t="s">
        <v>327</v>
      </c>
      <c r="D1029" s="78" t="s">
        <v>330</v>
      </c>
      <c r="E1029" s="78" t="s">
        <v>1481</v>
      </c>
    </row>
    <row r="1030" spans="1:5" x14ac:dyDescent="0.3">
      <c r="A1030" s="219"/>
      <c r="B1030" s="78">
        <v>41</v>
      </c>
      <c r="C1030" s="78" t="s">
        <v>337</v>
      </c>
      <c r="D1030" s="78" t="s">
        <v>340</v>
      </c>
      <c r="E1030" s="78" t="s">
        <v>1481</v>
      </c>
    </row>
    <row r="1031" spans="1:5" x14ac:dyDescent="0.3">
      <c r="A1031" s="218">
        <v>26</v>
      </c>
      <c r="B1031" s="78">
        <v>46</v>
      </c>
      <c r="C1031" s="78" t="s">
        <v>377</v>
      </c>
      <c r="D1031" s="78" t="s">
        <v>382</v>
      </c>
      <c r="E1031" s="78" t="s">
        <v>1481</v>
      </c>
    </row>
    <row r="1032" spans="1:5" x14ac:dyDescent="0.3">
      <c r="A1032" s="218">
        <v>69</v>
      </c>
      <c r="B1032" s="78">
        <v>119</v>
      </c>
      <c r="C1032" s="78" t="s">
        <v>842</v>
      </c>
      <c r="D1032" s="78" t="s">
        <v>261</v>
      </c>
      <c r="E1032" s="78" t="s">
        <v>1481</v>
      </c>
    </row>
    <row r="1033" spans="1:5" x14ac:dyDescent="0.3">
      <c r="A1033" s="218">
        <v>71</v>
      </c>
      <c r="B1033" s="78">
        <v>121</v>
      </c>
      <c r="C1033" s="78" t="s">
        <v>855</v>
      </c>
      <c r="D1033" s="78" t="s">
        <v>311</v>
      </c>
      <c r="E1033" s="78" t="s">
        <v>1481</v>
      </c>
    </row>
    <row r="1034" spans="1:5" x14ac:dyDescent="0.3">
      <c r="A1034" s="218">
        <v>72</v>
      </c>
      <c r="B1034" s="78">
        <v>123</v>
      </c>
      <c r="C1034" s="78" t="s">
        <v>870</v>
      </c>
      <c r="D1034" s="78" t="s">
        <v>330</v>
      </c>
      <c r="E1034" s="78" t="s">
        <v>1481</v>
      </c>
    </row>
    <row r="1035" spans="1:5" x14ac:dyDescent="0.3">
      <c r="A1035" s="218">
        <v>73</v>
      </c>
      <c r="B1035" s="78">
        <v>124</v>
      </c>
      <c r="C1035" s="78" t="s">
        <v>876</v>
      </c>
      <c r="D1035" s="78" t="s">
        <v>340</v>
      </c>
      <c r="E1035" s="78" t="s">
        <v>1481</v>
      </c>
    </row>
    <row r="1036" spans="1:5" x14ac:dyDescent="0.3">
      <c r="A1036" s="218">
        <v>83</v>
      </c>
      <c r="B1036" s="78">
        <v>145</v>
      </c>
      <c r="C1036" s="78" t="s">
        <v>992</v>
      </c>
      <c r="D1036" s="78" t="s">
        <v>261</v>
      </c>
      <c r="E1036" s="78" t="s">
        <v>1481</v>
      </c>
    </row>
    <row r="1037" spans="1:5" x14ac:dyDescent="0.3">
      <c r="A1037" s="218">
        <v>88</v>
      </c>
      <c r="B1037" s="78">
        <v>152</v>
      </c>
      <c r="C1037" s="78" t="s">
        <v>1012</v>
      </c>
      <c r="D1037" s="78" t="s">
        <v>382</v>
      </c>
      <c r="E1037" s="78" t="s">
        <v>1481</v>
      </c>
    </row>
    <row r="1038" spans="1:5" x14ac:dyDescent="0.3">
      <c r="A1038" s="219"/>
      <c r="B1038" s="78">
        <v>131</v>
      </c>
      <c r="C1038" s="78" t="s">
        <v>908</v>
      </c>
      <c r="D1038" s="78" t="s">
        <v>330</v>
      </c>
      <c r="E1038" s="78" t="s">
        <v>1481</v>
      </c>
    </row>
    <row r="1039" spans="1:5" x14ac:dyDescent="0.3">
      <c r="A1039" s="219"/>
      <c r="B1039" s="78">
        <v>132</v>
      </c>
      <c r="C1039" s="78" t="s">
        <v>915</v>
      </c>
      <c r="D1039" s="78" t="s">
        <v>311</v>
      </c>
      <c r="E1039" s="78" t="s">
        <v>1481</v>
      </c>
    </row>
    <row r="1040" spans="1:5" x14ac:dyDescent="0.3">
      <c r="A1040" s="219"/>
      <c r="B1040" s="78">
        <v>134</v>
      </c>
      <c r="C1040" s="78" t="s">
        <v>927</v>
      </c>
      <c r="D1040" s="78" t="s">
        <v>340</v>
      </c>
      <c r="E1040" s="78" t="s">
        <v>1481</v>
      </c>
    </row>
    <row r="1041" spans="1:5" x14ac:dyDescent="0.3">
      <c r="A1041" s="219"/>
      <c r="B1041" s="78">
        <v>136</v>
      </c>
      <c r="C1041" s="78" t="s">
        <v>939</v>
      </c>
      <c r="D1041" s="78" t="s">
        <v>942</v>
      </c>
      <c r="E1041" s="78" t="s">
        <v>1481</v>
      </c>
    </row>
    <row r="1042" spans="1:5" x14ac:dyDescent="0.3">
      <c r="A1042" s="219"/>
      <c r="B1042" s="78">
        <v>138</v>
      </c>
      <c r="C1042" s="78" t="s">
        <v>953</v>
      </c>
      <c r="D1042" s="78" t="s">
        <v>956</v>
      </c>
      <c r="E1042" s="78" t="s">
        <v>1481</v>
      </c>
    </row>
    <row r="1046" spans="1:5" x14ac:dyDescent="0.3">
      <c r="A1046" s="267" t="s">
        <v>2657</v>
      </c>
      <c r="B1046" s="134" t="s">
        <v>3</v>
      </c>
      <c r="C1046" s="134" t="s">
        <v>4</v>
      </c>
      <c r="D1046" s="134" t="s">
        <v>1795</v>
      </c>
      <c r="E1046" s="134"/>
    </row>
    <row r="1047" spans="1:5" x14ac:dyDescent="0.3">
      <c r="A1047" s="219"/>
      <c r="B1047" s="78">
        <v>26</v>
      </c>
      <c r="C1047" s="78" t="s">
        <v>214</v>
      </c>
      <c r="D1047" s="78" t="s">
        <v>219</v>
      </c>
      <c r="E1047" s="78" t="s">
        <v>1513</v>
      </c>
    </row>
    <row r="1048" spans="1:5" x14ac:dyDescent="0.3">
      <c r="A1048" s="218">
        <v>18</v>
      </c>
      <c r="B1048" s="78">
        <v>27</v>
      </c>
      <c r="C1048" s="78" t="s">
        <v>222</v>
      </c>
      <c r="D1048" s="78" t="s">
        <v>225</v>
      </c>
      <c r="E1048" s="78" t="s">
        <v>1492</v>
      </c>
    </row>
    <row r="1049" spans="1:5" x14ac:dyDescent="0.3">
      <c r="A1049" s="218">
        <v>47</v>
      </c>
      <c r="B1049" s="78">
        <v>74</v>
      </c>
      <c r="C1049" s="78" t="s">
        <v>576</v>
      </c>
      <c r="D1049" s="78" t="s">
        <v>225</v>
      </c>
      <c r="E1049" s="78" t="s">
        <v>1492</v>
      </c>
    </row>
    <row r="1050" spans="1:5" x14ac:dyDescent="0.3">
      <c r="A1050" s="218">
        <v>48</v>
      </c>
      <c r="B1050" s="78">
        <v>79</v>
      </c>
      <c r="C1050" s="78" t="s">
        <v>603</v>
      </c>
      <c r="D1050" s="78" t="s">
        <v>219</v>
      </c>
      <c r="E1050" s="78" t="s">
        <v>1513</v>
      </c>
    </row>
    <row r="1051" spans="1:5" x14ac:dyDescent="0.3">
      <c r="A1051" s="219"/>
      <c r="B1051" s="78">
        <v>101</v>
      </c>
      <c r="C1051" s="78" t="s">
        <v>756</v>
      </c>
      <c r="D1051" s="78" t="s">
        <v>225</v>
      </c>
      <c r="E1051" s="78" t="s">
        <v>1492</v>
      </c>
    </row>
    <row r="1052" spans="1:5" x14ac:dyDescent="0.3">
      <c r="A1052" s="219"/>
      <c r="B1052" s="78">
        <v>103</v>
      </c>
      <c r="C1052" s="78" t="s">
        <v>767</v>
      </c>
      <c r="D1052" s="78" t="s">
        <v>219</v>
      </c>
      <c r="E1052" s="78" t="s">
        <v>1513</v>
      </c>
    </row>
    <row r="1053" spans="1:5" x14ac:dyDescent="0.3">
      <c r="A1053" s="219"/>
      <c r="B1053" s="90"/>
      <c r="C1053" s="78" t="s">
        <v>1149</v>
      </c>
      <c r="D1053" s="78" t="s">
        <v>225</v>
      </c>
      <c r="E1053" s="78" t="s">
        <v>1492</v>
      </c>
    </row>
    <row r="1054" spans="1:5" x14ac:dyDescent="0.3">
      <c r="A1054" s="219"/>
      <c r="B1054" s="90"/>
      <c r="C1054" s="78" t="s">
        <v>1153</v>
      </c>
      <c r="D1054" s="78" t="s">
        <v>219</v>
      </c>
      <c r="E1054" s="78" t="s">
        <v>1513</v>
      </c>
    </row>
    <row r="1055" spans="1:5" x14ac:dyDescent="0.3">
      <c r="A1055" s="219"/>
      <c r="B1055" s="90"/>
      <c r="C1055" s="78" t="s">
        <v>1318</v>
      </c>
      <c r="D1055" s="78" t="s">
        <v>225</v>
      </c>
      <c r="E1055" s="78" t="s">
        <v>1492</v>
      </c>
    </row>
    <row r="1056" spans="1:5" x14ac:dyDescent="0.3">
      <c r="A1056" s="219"/>
      <c r="B1056" s="90"/>
      <c r="C1056" s="78" t="s">
        <v>1322</v>
      </c>
      <c r="D1056" s="78" t="s">
        <v>219</v>
      </c>
      <c r="E1056" s="78" t="s">
        <v>1513</v>
      </c>
    </row>
    <row r="1060" spans="1:5" x14ac:dyDescent="0.3">
      <c r="A1060" s="267" t="s">
        <v>2657</v>
      </c>
      <c r="B1060" s="134" t="s">
        <v>3</v>
      </c>
      <c r="C1060" s="134" t="s">
        <v>4</v>
      </c>
      <c r="D1060" s="134" t="s">
        <v>2004</v>
      </c>
      <c r="E1060" s="134"/>
    </row>
    <row r="1061" spans="1:5" x14ac:dyDescent="0.3">
      <c r="A1061" s="218">
        <v>19</v>
      </c>
      <c r="B1061" s="78">
        <v>29</v>
      </c>
      <c r="C1061" s="78" t="s">
        <v>240</v>
      </c>
      <c r="D1061" s="78" t="s">
        <v>243</v>
      </c>
      <c r="E1061" s="78" t="s">
        <v>1492</v>
      </c>
    </row>
    <row r="1062" spans="1:5" x14ac:dyDescent="0.3">
      <c r="A1062" s="218">
        <v>20</v>
      </c>
      <c r="B1062" s="78">
        <v>31</v>
      </c>
      <c r="C1062" s="78" t="s">
        <v>258</v>
      </c>
      <c r="D1062" s="78" t="s">
        <v>266</v>
      </c>
      <c r="E1062" s="78" t="s">
        <v>1513</v>
      </c>
    </row>
    <row r="1063" spans="1:5" x14ac:dyDescent="0.3">
      <c r="A1063" s="218">
        <v>51</v>
      </c>
      <c r="B1063" s="78">
        <v>90</v>
      </c>
      <c r="C1063" s="78" t="s">
        <v>684</v>
      </c>
      <c r="D1063" s="78" t="s">
        <v>266</v>
      </c>
      <c r="E1063" s="78" t="s">
        <v>1513</v>
      </c>
    </row>
    <row r="1064" spans="1:5" x14ac:dyDescent="0.3">
      <c r="A1064" s="218">
        <v>52</v>
      </c>
      <c r="B1064" s="78">
        <v>92</v>
      </c>
      <c r="C1064" s="78" t="s">
        <v>698</v>
      </c>
      <c r="D1064" s="78" t="s">
        <v>243</v>
      </c>
      <c r="E1064" s="78" t="s">
        <v>1492</v>
      </c>
    </row>
    <row r="1065" spans="1:5" x14ac:dyDescent="0.3">
      <c r="A1065" s="219"/>
      <c r="B1065" s="78">
        <v>91</v>
      </c>
      <c r="C1065" s="78" t="s">
        <v>692</v>
      </c>
      <c r="D1065" s="78" t="s">
        <v>266</v>
      </c>
      <c r="E1065" s="78" t="s">
        <v>1513</v>
      </c>
    </row>
    <row r="1066" spans="1:5" x14ac:dyDescent="0.3">
      <c r="A1066" s="219"/>
      <c r="B1066" s="78">
        <v>93</v>
      </c>
      <c r="C1066" s="78" t="s">
        <v>706</v>
      </c>
      <c r="D1066" s="78" t="s">
        <v>243</v>
      </c>
      <c r="E1066" s="78" t="s">
        <v>1492</v>
      </c>
    </row>
    <row r="1067" spans="1:5" x14ac:dyDescent="0.3">
      <c r="A1067" s="219"/>
      <c r="B1067" s="90"/>
      <c r="C1067" s="78" t="s">
        <v>1173</v>
      </c>
      <c r="D1067" s="78" t="s">
        <v>243</v>
      </c>
      <c r="E1067" s="78" t="s">
        <v>1492</v>
      </c>
    </row>
    <row r="1068" spans="1:5" x14ac:dyDescent="0.3">
      <c r="A1068" s="219"/>
      <c r="B1068" s="90"/>
      <c r="C1068" s="78" t="s">
        <v>1177</v>
      </c>
      <c r="D1068" s="78" t="s">
        <v>266</v>
      </c>
      <c r="E1068" s="78" t="s">
        <v>1513</v>
      </c>
    </row>
    <row r="1069" spans="1:5" x14ac:dyDescent="0.3">
      <c r="A1069" s="219"/>
      <c r="B1069" s="90"/>
      <c r="C1069" s="78" t="s">
        <v>1338</v>
      </c>
      <c r="D1069" s="78" t="s">
        <v>243</v>
      </c>
      <c r="E1069" s="78" t="s">
        <v>1492</v>
      </c>
    </row>
    <row r="1070" spans="1:5" x14ac:dyDescent="0.3">
      <c r="A1070" s="219"/>
      <c r="B1070" s="90"/>
      <c r="C1070" s="78" t="s">
        <v>1342</v>
      </c>
      <c r="D1070" s="78" t="s">
        <v>266</v>
      </c>
      <c r="E1070" s="78" t="s">
        <v>1513</v>
      </c>
    </row>
    <row r="1074" spans="1:5" x14ac:dyDescent="0.3">
      <c r="A1074" s="267" t="s">
        <v>2657</v>
      </c>
      <c r="B1074" s="134" t="s">
        <v>3</v>
      </c>
      <c r="C1074" s="134" t="s">
        <v>4</v>
      </c>
      <c r="D1074" s="134" t="s">
        <v>1515</v>
      </c>
      <c r="E1074" s="134"/>
    </row>
    <row r="1075" spans="1:5" x14ac:dyDescent="0.3">
      <c r="A1075" s="218">
        <v>2</v>
      </c>
      <c r="B1075" s="78">
        <v>5</v>
      </c>
      <c r="C1075" s="78" t="s">
        <v>72</v>
      </c>
      <c r="D1075" s="78" t="s">
        <v>78</v>
      </c>
      <c r="E1075" s="78" t="s">
        <v>1492</v>
      </c>
    </row>
    <row r="1076" spans="1:5" x14ac:dyDescent="0.3">
      <c r="A1076" s="218">
        <v>73</v>
      </c>
      <c r="B1076" s="78">
        <v>124</v>
      </c>
      <c r="C1076" s="78" t="s">
        <v>876</v>
      </c>
      <c r="D1076" s="78" t="s">
        <v>1551</v>
      </c>
      <c r="E1076" s="78" t="s">
        <v>1513</v>
      </c>
    </row>
    <row r="1077" spans="1:5" x14ac:dyDescent="0.3">
      <c r="A1077" s="218">
        <v>78</v>
      </c>
      <c r="B1077" s="78">
        <v>135</v>
      </c>
      <c r="C1077" s="78" t="s">
        <v>932</v>
      </c>
      <c r="D1077" s="78" t="s">
        <v>1532</v>
      </c>
      <c r="E1077" s="78" t="s">
        <v>1513</v>
      </c>
    </row>
    <row r="1078" spans="1:5" x14ac:dyDescent="0.3">
      <c r="A1078" s="218">
        <v>79</v>
      </c>
      <c r="B1078" s="78">
        <v>137</v>
      </c>
      <c r="C1078" s="78" t="s">
        <v>945</v>
      </c>
      <c r="D1078" s="78" t="s">
        <v>1514</v>
      </c>
      <c r="E1078" s="78" t="s">
        <v>1513</v>
      </c>
    </row>
    <row r="1079" spans="1:5" x14ac:dyDescent="0.3">
      <c r="A1079" s="218">
        <v>90</v>
      </c>
      <c r="B1079" s="78">
        <v>159</v>
      </c>
      <c r="C1079" s="78" t="s">
        <v>1048</v>
      </c>
      <c r="D1079" s="78" t="s">
        <v>1052</v>
      </c>
      <c r="E1079" s="78" t="s">
        <v>1492</v>
      </c>
    </row>
    <row r="1080" spans="1:5" x14ac:dyDescent="0.3">
      <c r="A1080" s="218">
        <v>96</v>
      </c>
      <c r="B1080" s="78">
        <v>166</v>
      </c>
      <c r="C1080" s="78" t="s">
        <v>1087</v>
      </c>
      <c r="D1080" s="78" t="s">
        <v>1091</v>
      </c>
      <c r="E1080" s="78" t="s">
        <v>1513</v>
      </c>
    </row>
    <row r="1081" spans="1:5" x14ac:dyDescent="0.3">
      <c r="A1081" s="219"/>
      <c r="B1081" s="90"/>
      <c r="C1081" s="78" t="s">
        <v>1149</v>
      </c>
      <c r="D1081" s="78" t="s">
        <v>1052</v>
      </c>
      <c r="E1081" s="78" t="s">
        <v>1492</v>
      </c>
    </row>
    <row r="1082" spans="1:5" x14ac:dyDescent="0.3">
      <c r="A1082" s="219"/>
      <c r="B1082" s="90"/>
      <c r="C1082" s="78" t="s">
        <v>1153</v>
      </c>
      <c r="D1082" s="78" t="s">
        <v>78</v>
      </c>
      <c r="E1082" s="78" t="s">
        <v>1492</v>
      </c>
    </row>
    <row r="1086" spans="1:5" x14ac:dyDescent="0.3">
      <c r="A1086" s="267" t="s">
        <v>2657</v>
      </c>
      <c r="B1086" s="134" t="s">
        <v>3</v>
      </c>
      <c r="C1086" s="134" t="s">
        <v>4</v>
      </c>
      <c r="D1086" s="134" t="s">
        <v>1632</v>
      </c>
      <c r="E1086" s="134"/>
    </row>
    <row r="1087" spans="1:5" x14ac:dyDescent="0.3">
      <c r="A1087" s="218">
        <v>74</v>
      </c>
      <c r="B1087" s="78">
        <v>126</v>
      </c>
      <c r="C1087" s="78" t="s">
        <v>888</v>
      </c>
      <c r="D1087" s="78" t="s">
        <v>1848</v>
      </c>
      <c r="E1087" s="78" t="s">
        <v>1513</v>
      </c>
    </row>
    <row r="1088" spans="1:5" x14ac:dyDescent="0.3">
      <c r="A1088" s="218">
        <v>75</v>
      </c>
      <c r="B1088" s="78">
        <v>129</v>
      </c>
      <c r="C1088" s="78" t="s">
        <v>897</v>
      </c>
      <c r="D1088" s="78" t="s">
        <v>1841</v>
      </c>
      <c r="E1088" s="78" t="s">
        <v>1513</v>
      </c>
    </row>
    <row r="1089" spans="1:5" x14ac:dyDescent="0.3">
      <c r="A1089" s="218">
        <v>76</v>
      </c>
      <c r="B1089" s="78">
        <v>130</v>
      </c>
      <c r="C1089" s="78" t="s">
        <v>903</v>
      </c>
      <c r="D1089" s="78" t="s">
        <v>1834</v>
      </c>
      <c r="E1089" s="78" t="s">
        <v>1513</v>
      </c>
    </row>
    <row r="1090" spans="1:5" x14ac:dyDescent="0.3">
      <c r="A1090" s="218">
        <v>77</v>
      </c>
      <c r="B1090" s="78">
        <v>133</v>
      </c>
      <c r="C1090" s="78" t="s">
        <v>921</v>
      </c>
      <c r="D1090" s="78" t="s">
        <v>1825</v>
      </c>
      <c r="E1090" s="78" t="s">
        <v>1513</v>
      </c>
    </row>
    <row r="1091" spans="1:5" x14ac:dyDescent="0.3">
      <c r="A1091" s="218">
        <v>95</v>
      </c>
      <c r="B1091" s="78">
        <v>165</v>
      </c>
      <c r="C1091" s="78" t="s">
        <v>1080</v>
      </c>
      <c r="D1091" s="78" t="s">
        <v>1084</v>
      </c>
      <c r="E1091" s="78" t="s">
        <v>1492</v>
      </c>
    </row>
    <row r="1092" spans="1:5" x14ac:dyDescent="0.3">
      <c r="A1092" s="218">
        <v>99</v>
      </c>
      <c r="B1092" s="78">
        <v>171</v>
      </c>
      <c r="C1092" s="78" t="s">
        <v>1106</v>
      </c>
      <c r="D1092" s="78" t="s">
        <v>1109</v>
      </c>
      <c r="E1092" s="78" t="s">
        <v>1492</v>
      </c>
    </row>
    <row r="1093" spans="1:5" x14ac:dyDescent="0.3">
      <c r="A1093" s="219"/>
      <c r="B1093" s="90"/>
      <c r="C1093" s="78" t="s">
        <v>1302</v>
      </c>
      <c r="D1093" s="78" t="s">
        <v>1109</v>
      </c>
      <c r="E1093" s="78" t="s">
        <v>1492</v>
      </c>
    </row>
    <row r="1094" spans="1:5" x14ac:dyDescent="0.3">
      <c r="A1094" s="219"/>
      <c r="B1094" s="90"/>
      <c r="C1094" s="78" t="s">
        <v>1306</v>
      </c>
      <c r="D1094" s="78" t="s">
        <v>1084</v>
      </c>
      <c r="E1094" s="78" t="s">
        <v>1492</v>
      </c>
    </row>
    <row r="1098" spans="1:5" x14ac:dyDescent="0.3">
      <c r="A1098" s="267" t="s">
        <v>2657</v>
      </c>
      <c r="B1098" s="134" t="s">
        <v>3</v>
      </c>
      <c r="C1098" s="134" t="s">
        <v>4</v>
      </c>
      <c r="D1098" s="134" t="s">
        <v>1543</v>
      </c>
      <c r="E1098" s="134"/>
    </row>
    <row r="1099" spans="1:5" x14ac:dyDescent="0.3">
      <c r="A1099" s="218">
        <v>1</v>
      </c>
      <c r="B1099" s="78">
        <v>4</v>
      </c>
      <c r="C1099" s="78" t="s">
        <v>57</v>
      </c>
      <c r="D1099" s="78" t="s">
        <v>2361</v>
      </c>
      <c r="E1099" s="78" t="s">
        <v>1481</v>
      </c>
    </row>
    <row r="1100" spans="1:5" x14ac:dyDescent="0.3">
      <c r="A1100" s="218">
        <v>2</v>
      </c>
      <c r="B1100" s="78">
        <v>5</v>
      </c>
      <c r="C1100" s="78" t="s">
        <v>72</v>
      </c>
      <c r="D1100" s="78" t="s">
        <v>2362</v>
      </c>
      <c r="E1100" s="78" t="s">
        <v>1481</v>
      </c>
    </row>
    <row r="1101" spans="1:5" x14ac:dyDescent="0.3">
      <c r="A1101" s="218">
        <v>72</v>
      </c>
      <c r="B1101" s="78">
        <v>123</v>
      </c>
      <c r="C1101" s="78" t="s">
        <v>870</v>
      </c>
      <c r="D1101" s="78" t="s">
        <v>2361</v>
      </c>
      <c r="E1101" s="78" t="s">
        <v>1481</v>
      </c>
    </row>
    <row r="1102" spans="1:5" x14ac:dyDescent="0.3">
      <c r="A1102" s="218">
        <v>73</v>
      </c>
      <c r="B1102" s="78">
        <v>124</v>
      </c>
      <c r="C1102" s="78" t="s">
        <v>876</v>
      </c>
      <c r="D1102" s="78" t="s">
        <v>2362</v>
      </c>
      <c r="E1102" s="78" t="s">
        <v>1481</v>
      </c>
    </row>
    <row r="1103" spans="1:5" x14ac:dyDescent="0.3">
      <c r="A1103" s="219"/>
      <c r="B1103" s="90"/>
      <c r="C1103" s="78" t="s">
        <v>1213</v>
      </c>
      <c r="D1103" s="78" t="s">
        <v>2362</v>
      </c>
      <c r="E1103" s="78" t="s">
        <v>1481</v>
      </c>
    </row>
    <row r="1104" spans="1:5" x14ac:dyDescent="0.3">
      <c r="A1104" s="219"/>
      <c r="B1104" s="90"/>
      <c r="C1104" s="78" t="s">
        <v>1217</v>
      </c>
      <c r="D1104" s="78" t="s">
        <v>2361</v>
      </c>
      <c r="E1104" s="78" t="s">
        <v>1481</v>
      </c>
    </row>
    <row r="1108" spans="1:5" x14ac:dyDescent="0.3">
      <c r="A1108" s="267" t="s">
        <v>2657</v>
      </c>
      <c r="B1108" s="134" t="s">
        <v>3</v>
      </c>
      <c r="C1108" s="134" t="s">
        <v>4</v>
      </c>
      <c r="D1108" s="134" t="s">
        <v>2363</v>
      </c>
      <c r="E1108" s="134"/>
    </row>
    <row r="1112" spans="1:5" x14ac:dyDescent="0.3">
      <c r="A1112" s="267" t="s">
        <v>2657</v>
      </c>
      <c r="B1112" s="134" t="s">
        <v>3</v>
      </c>
      <c r="C1112" s="134" t="s">
        <v>4</v>
      </c>
      <c r="D1112" s="134" t="s">
        <v>1739</v>
      </c>
      <c r="E1112" s="134"/>
    </row>
    <row r="1113" spans="1:5" x14ac:dyDescent="0.3">
      <c r="A1113" s="219"/>
      <c r="B1113" s="78">
        <v>14</v>
      </c>
      <c r="C1113" s="78" t="s">
        <v>175</v>
      </c>
      <c r="D1113" s="78" t="s">
        <v>178</v>
      </c>
      <c r="E1113" s="78" t="s">
        <v>1492</v>
      </c>
    </row>
    <row r="1114" spans="1:5" x14ac:dyDescent="0.3">
      <c r="A1114" s="219"/>
      <c r="B1114" s="78">
        <v>15</v>
      </c>
      <c r="C1114" s="78" t="s">
        <v>182</v>
      </c>
      <c r="D1114" s="78" t="s">
        <v>1743</v>
      </c>
      <c r="E1114" s="78" t="s">
        <v>1513</v>
      </c>
    </row>
    <row r="1118" spans="1:5" x14ac:dyDescent="0.3">
      <c r="A1118" s="267" t="s">
        <v>2657</v>
      </c>
      <c r="B1118" s="134" t="s">
        <v>3</v>
      </c>
      <c r="C1118" s="134" t="s">
        <v>4</v>
      </c>
      <c r="D1118" s="134" t="s">
        <v>1480</v>
      </c>
      <c r="E1118" s="134"/>
    </row>
    <row r="1119" spans="1:5" x14ac:dyDescent="0.3">
      <c r="A1119" s="218">
        <v>1</v>
      </c>
      <c r="B1119" s="78">
        <v>4</v>
      </c>
      <c r="C1119" s="78" t="s">
        <v>57</v>
      </c>
      <c r="D1119" s="78" t="s">
        <v>2364</v>
      </c>
      <c r="E1119" s="78" t="s">
        <v>1481</v>
      </c>
    </row>
    <row r="1120" spans="1:5" x14ac:dyDescent="0.3">
      <c r="A1120" s="218">
        <v>2</v>
      </c>
      <c r="B1120" s="78">
        <v>5</v>
      </c>
      <c r="C1120" s="78" t="s">
        <v>72</v>
      </c>
      <c r="D1120" s="78" t="s">
        <v>2365</v>
      </c>
      <c r="E1120" s="78" t="s">
        <v>1481</v>
      </c>
    </row>
    <row r="1121" spans="1:5" x14ac:dyDescent="0.3">
      <c r="A1121" s="218">
        <v>3</v>
      </c>
      <c r="B1121" s="78">
        <v>7</v>
      </c>
      <c r="C1121" s="78" t="s">
        <v>99</v>
      </c>
      <c r="D1121" s="78" t="s">
        <v>2366</v>
      </c>
      <c r="E1121" s="78" t="s">
        <v>1481</v>
      </c>
    </row>
    <row r="1122" spans="1:5" x14ac:dyDescent="0.3">
      <c r="A1122" s="218">
        <v>4</v>
      </c>
      <c r="B1122" s="78">
        <v>8</v>
      </c>
      <c r="C1122" s="78" t="s">
        <v>111</v>
      </c>
      <c r="D1122" s="78" t="s">
        <v>2367</v>
      </c>
      <c r="E1122" s="78" t="s">
        <v>1481</v>
      </c>
    </row>
    <row r="1123" spans="1:5" x14ac:dyDescent="0.3">
      <c r="A1123" s="218">
        <v>5</v>
      </c>
      <c r="B1123" s="78">
        <v>9</v>
      </c>
      <c r="C1123" s="78" t="s">
        <v>123</v>
      </c>
      <c r="D1123" s="78" t="s">
        <v>2368</v>
      </c>
      <c r="E1123" s="78" t="s">
        <v>1481</v>
      </c>
    </row>
    <row r="1124" spans="1:5" x14ac:dyDescent="0.3">
      <c r="A1124" s="218">
        <v>6</v>
      </c>
      <c r="B1124" s="78">
        <v>10</v>
      </c>
      <c r="C1124" s="78" t="s">
        <v>135</v>
      </c>
      <c r="D1124" s="78" t="s">
        <v>2369</v>
      </c>
      <c r="E1124" s="78" t="s">
        <v>1481</v>
      </c>
    </row>
    <row r="1125" spans="1:5" x14ac:dyDescent="0.3">
      <c r="A1125" s="218">
        <v>7</v>
      </c>
      <c r="B1125" s="78">
        <v>11</v>
      </c>
      <c r="C1125" s="78" t="s">
        <v>147</v>
      </c>
      <c r="D1125" s="78" t="s">
        <v>2370</v>
      </c>
      <c r="E1125" s="78" t="s">
        <v>1481</v>
      </c>
    </row>
    <row r="1126" spans="1:5" x14ac:dyDescent="0.3">
      <c r="A1126" s="219"/>
      <c r="B1126" s="78">
        <v>12</v>
      </c>
      <c r="C1126" s="78" t="s">
        <v>154</v>
      </c>
      <c r="D1126" s="78" t="s">
        <v>2371</v>
      </c>
      <c r="E1126" s="78" t="s">
        <v>1481</v>
      </c>
    </row>
    <row r="1127" spans="1:5" x14ac:dyDescent="0.3">
      <c r="A1127" s="219"/>
      <c r="B1127" s="78">
        <v>13</v>
      </c>
      <c r="C1127" s="78" t="s">
        <v>163</v>
      </c>
      <c r="D1127" s="78" t="s">
        <v>2372</v>
      </c>
      <c r="E1127" s="78" t="s">
        <v>1481</v>
      </c>
    </row>
    <row r="1128" spans="1:5" x14ac:dyDescent="0.3">
      <c r="A1128" s="219"/>
      <c r="B1128" s="78">
        <v>26</v>
      </c>
      <c r="C1128" s="78" t="s">
        <v>214</v>
      </c>
      <c r="D1128" s="78" t="s">
        <v>2373</v>
      </c>
      <c r="E1128" s="78" t="s">
        <v>1481</v>
      </c>
    </row>
    <row r="1129" spans="1:5" x14ac:dyDescent="0.3">
      <c r="A1129" s="218">
        <v>18</v>
      </c>
      <c r="B1129" s="78">
        <v>27</v>
      </c>
      <c r="C1129" s="78" t="s">
        <v>222</v>
      </c>
      <c r="D1129" s="78" t="s">
        <v>2374</v>
      </c>
      <c r="E1129" s="78" t="s">
        <v>1481</v>
      </c>
    </row>
    <row r="1130" spans="1:5" x14ac:dyDescent="0.3">
      <c r="A1130" s="218">
        <v>19</v>
      </c>
      <c r="B1130" s="78">
        <v>29</v>
      </c>
      <c r="C1130" s="78" t="s">
        <v>240</v>
      </c>
      <c r="D1130" s="78" t="s">
        <v>2375</v>
      </c>
      <c r="E1130" s="78" t="s">
        <v>1481</v>
      </c>
    </row>
    <row r="1131" spans="1:5" x14ac:dyDescent="0.3">
      <c r="A1131" s="218">
        <v>20</v>
      </c>
      <c r="B1131" s="78">
        <v>31</v>
      </c>
      <c r="C1131" s="78" t="s">
        <v>258</v>
      </c>
      <c r="D1131" s="78" t="s">
        <v>2376</v>
      </c>
      <c r="E1131" s="78" t="s">
        <v>1481</v>
      </c>
    </row>
    <row r="1132" spans="1:5" x14ac:dyDescent="0.3">
      <c r="A1132" s="218">
        <v>21</v>
      </c>
      <c r="B1132" s="78">
        <v>34</v>
      </c>
      <c r="C1132" s="78" t="s">
        <v>285</v>
      </c>
      <c r="D1132" s="78" t="s">
        <v>287</v>
      </c>
      <c r="E1132" s="78" t="s">
        <v>1481</v>
      </c>
    </row>
    <row r="1133" spans="1:5" x14ac:dyDescent="0.3">
      <c r="A1133" s="218">
        <v>22</v>
      </c>
      <c r="B1133" s="78">
        <v>35</v>
      </c>
      <c r="C1133" s="78" t="s">
        <v>294</v>
      </c>
      <c r="D1133" s="78" t="s">
        <v>2377</v>
      </c>
      <c r="E1133" s="78" t="s">
        <v>1481</v>
      </c>
    </row>
    <row r="1134" spans="1:5" x14ac:dyDescent="0.3">
      <c r="A1134" s="218">
        <v>23</v>
      </c>
      <c r="B1134" s="78">
        <v>36</v>
      </c>
      <c r="C1134" s="78" t="s">
        <v>308</v>
      </c>
      <c r="D1134" s="78" t="s">
        <v>2378</v>
      </c>
      <c r="E1134" s="78" t="s">
        <v>1481</v>
      </c>
    </row>
    <row r="1135" spans="1:5" x14ac:dyDescent="0.3">
      <c r="A1135" s="219"/>
      <c r="B1135" s="78">
        <v>40</v>
      </c>
      <c r="C1135" s="78" t="s">
        <v>327</v>
      </c>
      <c r="D1135" s="78" t="s">
        <v>2379</v>
      </c>
      <c r="E1135" s="78" t="s">
        <v>1481</v>
      </c>
    </row>
    <row r="1136" spans="1:5" x14ac:dyDescent="0.3">
      <c r="A1136" s="219"/>
      <c r="B1136" s="78">
        <v>41</v>
      </c>
      <c r="C1136" s="78" t="s">
        <v>337</v>
      </c>
      <c r="D1136" s="78" t="s">
        <v>2380</v>
      </c>
      <c r="E1136" s="78" t="s">
        <v>1481</v>
      </c>
    </row>
    <row r="1137" spans="1:5" x14ac:dyDescent="0.3">
      <c r="A1137" s="218">
        <v>26</v>
      </c>
      <c r="B1137" s="78">
        <v>46</v>
      </c>
      <c r="C1137" s="78" t="s">
        <v>377</v>
      </c>
      <c r="D1137" s="78" t="s">
        <v>2381</v>
      </c>
      <c r="E1137" s="78" t="s">
        <v>1481</v>
      </c>
    </row>
    <row r="1138" spans="1:5" x14ac:dyDescent="0.3">
      <c r="A1138" s="218">
        <v>27</v>
      </c>
      <c r="B1138" s="78">
        <v>47</v>
      </c>
      <c r="C1138" s="78" t="s">
        <v>388</v>
      </c>
      <c r="D1138" s="78" t="s">
        <v>2382</v>
      </c>
      <c r="E1138" s="78" t="s">
        <v>1481</v>
      </c>
    </row>
    <row r="1139" spans="1:5" x14ac:dyDescent="0.3">
      <c r="A1139" s="218">
        <v>28</v>
      </c>
      <c r="B1139" s="78">
        <v>48</v>
      </c>
      <c r="C1139" s="78" t="s">
        <v>395</v>
      </c>
      <c r="D1139" s="78" t="s">
        <v>2383</v>
      </c>
      <c r="E1139" s="78" t="s">
        <v>1481</v>
      </c>
    </row>
    <row r="1140" spans="1:5" x14ac:dyDescent="0.3">
      <c r="A1140" s="218">
        <v>29</v>
      </c>
      <c r="B1140" s="78">
        <v>49</v>
      </c>
      <c r="C1140" s="78" t="s">
        <v>402</v>
      </c>
      <c r="D1140" s="78" t="s">
        <v>2384</v>
      </c>
      <c r="E1140" s="78" t="s">
        <v>1481</v>
      </c>
    </row>
    <row r="1141" spans="1:5" x14ac:dyDescent="0.3">
      <c r="A1141" s="218">
        <v>30</v>
      </c>
      <c r="B1141" s="78">
        <v>50</v>
      </c>
      <c r="C1141" s="78" t="s">
        <v>408</v>
      </c>
      <c r="D1141" s="78" t="s">
        <v>2385</v>
      </c>
      <c r="E1141" s="78" t="s">
        <v>1481</v>
      </c>
    </row>
    <row r="1142" spans="1:5" x14ac:dyDescent="0.3">
      <c r="A1142" s="218">
        <v>31</v>
      </c>
      <c r="B1142" s="78">
        <v>51</v>
      </c>
      <c r="C1142" s="78" t="s">
        <v>418</v>
      </c>
      <c r="D1142" s="78" t="s">
        <v>2386</v>
      </c>
      <c r="E1142" s="78" t="s">
        <v>1481</v>
      </c>
    </row>
    <row r="1143" spans="1:5" x14ac:dyDescent="0.3">
      <c r="A1143" s="218">
        <v>32</v>
      </c>
      <c r="B1143" s="78">
        <v>52</v>
      </c>
      <c r="C1143" s="78" t="s">
        <v>427</v>
      </c>
      <c r="D1143" s="78" t="s">
        <v>2387</v>
      </c>
      <c r="E1143" s="78" t="s">
        <v>1481</v>
      </c>
    </row>
    <row r="1144" spans="1:5" x14ac:dyDescent="0.3">
      <c r="A1144" s="218">
        <v>33</v>
      </c>
      <c r="B1144" s="78">
        <v>53</v>
      </c>
      <c r="C1144" s="78" t="s">
        <v>436</v>
      </c>
      <c r="D1144" s="78" t="s">
        <v>2388</v>
      </c>
      <c r="E1144" s="78" t="s">
        <v>1481</v>
      </c>
    </row>
    <row r="1145" spans="1:5" x14ac:dyDescent="0.3">
      <c r="A1145" s="218">
        <v>34</v>
      </c>
      <c r="B1145" s="78">
        <v>54</v>
      </c>
      <c r="C1145" s="78" t="s">
        <v>443</v>
      </c>
      <c r="D1145" s="78" t="s">
        <v>2389</v>
      </c>
      <c r="E1145" s="78" t="s">
        <v>1481</v>
      </c>
    </row>
    <row r="1146" spans="1:5" x14ac:dyDescent="0.3">
      <c r="A1146" s="218">
        <v>35</v>
      </c>
      <c r="B1146" s="78">
        <v>55</v>
      </c>
      <c r="C1146" s="78" t="s">
        <v>451</v>
      </c>
      <c r="D1146" s="78" t="s">
        <v>2390</v>
      </c>
      <c r="E1146" s="78" t="s">
        <v>1481</v>
      </c>
    </row>
    <row r="1147" spans="1:5" x14ac:dyDescent="0.3">
      <c r="A1147" s="218">
        <v>36</v>
      </c>
      <c r="B1147" s="78">
        <v>56</v>
      </c>
      <c r="C1147" s="78" t="s">
        <v>458</v>
      </c>
      <c r="D1147" s="78" t="s">
        <v>2391</v>
      </c>
      <c r="E1147" s="78" t="s">
        <v>1481</v>
      </c>
    </row>
    <row r="1148" spans="1:5" x14ac:dyDescent="0.3">
      <c r="A1148" s="218">
        <v>39</v>
      </c>
      <c r="B1148" s="78">
        <v>61</v>
      </c>
      <c r="C1148" s="78" t="s">
        <v>469</v>
      </c>
      <c r="D1148" s="78" t="s">
        <v>2392</v>
      </c>
      <c r="E1148" s="78" t="s">
        <v>1481</v>
      </c>
    </row>
    <row r="1149" spans="1:5" x14ac:dyDescent="0.3">
      <c r="A1149" s="218">
        <v>40</v>
      </c>
      <c r="B1149" s="78">
        <v>62</v>
      </c>
      <c r="C1149" s="78" t="s">
        <v>476</v>
      </c>
      <c r="D1149" s="78" t="s">
        <v>2393</v>
      </c>
      <c r="E1149" s="78" t="s">
        <v>1481</v>
      </c>
    </row>
    <row r="1150" spans="1:5" x14ac:dyDescent="0.3">
      <c r="A1150" s="218">
        <v>41</v>
      </c>
      <c r="B1150" s="78">
        <v>63</v>
      </c>
      <c r="C1150" s="78" t="s">
        <v>481</v>
      </c>
      <c r="D1150" s="78" t="s">
        <v>2394</v>
      </c>
      <c r="E1150" s="78" t="s">
        <v>1481</v>
      </c>
    </row>
    <row r="1151" spans="1:5" x14ac:dyDescent="0.3">
      <c r="A1151" s="218">
        <v>42</v>
      </c>
      <c r="B1151" s="78">
        <v>64</v>
      </c>
      <c r="C1151" s="78" t="s">
        <v>490</v>
      </c>
      <c r="D1151" s="78" t="s">
        <v>2395</v>
      </c>
      <c r="E1151" s="78" t="s">
        <v>1481</v>
      </c>
    </row>
    <row r="1152" spans="1:5" x14ac:dyDescent="0.3">
      <c r="A1152" s="218">
        <v>43</v>
      </c>
      <c r="B1152" s="78">
        <v>65</v>
      </c>
      <c r="C1152" s="78" t="s">
        <v>498</v>
      </c>
      <c r="D1152" s="78" t="s">
        <v>500</v>
      </c>
      <c r="E1152" s="78" t="s">
        <v>1481</v>
      </c>
    </row>
    <row r="1153" spans="1:5" x14ac:dyDescent="0.3">
      <c r="A1153" s="218">
        <v>44</v>
      </c>
      <c r="B1153" s="78">
        <v>66</v>
      </c>
      <c r="C1153" s="78" t="s">
        <v>506</v>
      </c>
      <c r="D1153" s="78" t="s">
        <v>508</v>
      </c>
      <c r="E1153" s="78" t="s">
        <v>1481</v>
      </c>
    </row>
    <row r="1154" spans="1:5" x14ac:dyDescent="0.3">
      <c r="A1154" s="218">
        <v>45</v>
      </c>
      <c r="B1154" s="78">
        <v>68</v>
      </c>
      <c r="C1154" s="78" t="s">
        <v>524</v>
      </c>
      <c r="D1154" s="78" t="s">
        <v>2396</v>
      </c>
      <c r="E1154" s="78" t="s">
        <v>1481</v>
      </c>
    </row>
    <row r="1155" spans="1:5" x14ac:dyDescent="0.3">
      <c r="A1155" s="218">
        <v>46</v>
      </c>
      <c r="B1155" s="78">
        <v>71</v>
      </c>
      <c r="C1155" s="78" t="s">
        <v>551</v>
      </c>
      <c r="D1155" s="78" t="s">
        <v>2397</v>
      </c>
      <c r="E1155" s="78" t="s">
        <v>1481</v>
      </c>
    </row>
    <row r="1156" spans="1:5" x14ac:dyDescent="0.3">
      <c r="A1156" s="218">
        <v>47</v>
      </c>
      <c r="B1156" s="78">
        <v>74</v>
      </c>
      <c r="C1156" s="78" t="s">
        <v>576</v>
      </c>
      <c r="D1156" s="78" t="s">
        <v>2398</v>
      </c>
      <c r="E1156" s="78" t="s">
        <v>1481</v>
      </c>
    </row>
    <row r="1157" spans="1:5" x14ac:dyDescent="0.3">
      <c r="A1157" s="218">
        <v>48</v>
      </c>
      <c r="B1157" s="78">
        <v>79</v>
      </c>
      <c r="C1157" s="78" t="s">
        <v>603</v>
      </c>
      <c r="D1157" s="78" t="s">
        <v>2399</v>
      </c>
      <c r="E1157" s="78" t="s">
        <v>1481</v>
      </c>
    </row>
    <row r="1158" spans="1:5" x14ac:dyDescent="0.3">
      <c r="A1158" s="218">
        <v>49</v>
      </c>
      <c r="B1158" s="78">
        <v>81</v>
      </c>
      <c r="C1158" s="78" t="s">
        <v>620</v>
      </c>
      <c r="D1158" s="78" t="s">
        <v>2400</v>
      </c>
      <c r="E1158" s="78" t="s">
        <v>1481</v>
      </c>
    </row>
    <row r="1159" spans="1:5" x14ac:dyDescent="0.3">
      <c r="A1159" s="218">
        <v>50</v>
      </c>
      <c r="B1159" s="78">
        <v>83</v>
      </c>
      <c r="C1159" s="78" t="s">
        <v>635</v>
      </c>
      <c r="D1159" s="78" t="s">
        <v>2401</v>
      </c>
      <c r="E1159" s="78" t="s">
        <v>1481</v>
      </c>
    </row>
    <row r="1160" spans="1:5" x14ac:dyDescent="0.3">
      <c r="A1160" s="218">
        <v>51</v>
      </c>
      <c r="B1160" s="78">
        <v>90</v>
      </c>
      <c r="C1160" s="78" t="s">
        <v>684</v>
      </c>
      <c r="D1160" s="78" t="s">
        <v>2402</v>
      </c>
      <c r="E1160" s="78" t="s">
        <v>1481</v>
      </c>
    </row>
    <row r="1161" spans="1:5" x14ac:dyDescent="0.3">
      <c r="A1161" s="218">
        <v>52</v>
      </c>
      <c r="B1161" s="78">
        <v>92</v>
      </c>
      <c r="C1161" s="78" t="s">
        <v>698</v>
      </c>
      <c r="D1161" s="78" t="s">
        <v>2403</v>
      </c>
      <c r="E1161" s="78" t="s">
        <v>1481</v>
      </c>
    </row>
    <row r="1162" spans="1:5" x14ac:dyDescent="0.3">
      <c r="A1162" s="218">
        <v>53</v>
      </c>
      <c r="B1162" s="78">
        <v>94</v>
      </c>
      <c r="C1162" s="78" t="s">
        <v>712</v>
      </c>
      <c r="D1162" s="78" t="s">
        <v>2404</v>
      </c>
      <c r="E1162" s="78" t="s">
        <v>1481</v>
      </c>
    </row>
    <row r="1163" spans="1:5" x14ac:dyDescent="0.3">
      <c r="A1163" s="218">
        <v>54</v>
      </c>
      <c r="B1163" s="78">
        <v>95</v>
      </c>
      <c r="C1163" s="78" t="s">
        <v>719</v>
      </c>
      <c r="D1163" s="78" t="s">
        <v>2405</v>
      </c>
      <c r="E1163" s="78" t="s">
        <v>1481</v>
      </c>
    </row>
    <row r="1164" spans="1:5" x14ac:dyDescent="0.3">
      <c r="A1164" s="218">
        <v>55</v>
      </c>
      <c r="B1164" s="78">
        <v>97</v>
      </c>
      <c r="C1164" s="78" t="s">
        <v>732</v>
      </c>
      <c r="D1164" s="78" t="s">
        <v>2406</v>
      </c>
      <c r="E1164" s="78" t="s">
        <v>1481</v>
      </c>
    </row>
    <row r="1165" spans="1:5" x14ac:dyDescent="0.3">
      <c r="A1165" s="218">
        <v>56</v>
      </c>
      <c r="B1165" s="78">
        <v>98</v>
      </c>
      <c r="C1165" s="78" t="s">
        <v>738</v>
      </c>
      <c r="D1165" s="78" t="s">
        <v>2407</v>
      </c>
      <c r="E1165" s="78" t="s">
        <v>1481</v>
      </c>
    </row>
    <row r="1166" spans="1:5" x14ac:dyDescent="0.3">
      <c r="A1166" s="218">
        <v>57</v>
      </c>
      <c r="B1166" s="78">
        <v>100</v>
      </c>
      <c r="C1166" s="78" t="s">
        <v>751</v>
      </c>
      <c r="D1166" s="78" t="s">
        <v>2408</v>
      </c>
      <c r="E1166" s="78" t="s">
        <v>1481</v>
      </c>
    </row>
    <row r="1167" spans="1:5" x14ac:dyDescent="0.3">
      <c r="A1167" s="218">
        <v>58</v>
      </c>
      <c r="B1167" s="78">
        <v>102</v>
      </c>
      <c r="C1167" s="78" t="s">
        <v>762</v>
      </c>
      <c r="D1167" s="78" t="s">
        <v>2409</v>
      </c>
      <c r="E1167" s="78" t="s">
        <v>1481</v>
      </c>
    </row>
    <row r="1168" spans="1:5" x14ac:dyDescent="0.3">
      <c r="A1168" s="219"/>
      <c r="B1168" s="78">
        <v>104</v>
      </c>
      <c r="C1168" s="78" t="s">
        <v>774</v>
      </c>
      <c r="D1168" s="78" t="s">
        <v>776</v>
      </c>
      <c r="E1168" s="78" t="s">
        <v>1481</v>
      </c>
    </row>
    <row r="1169" spans="1:5" x14ac:dyDescent="0.3">
      <c r="A1169" s="219"/>
      <c r="B1169" s="78">
        <v>109</v>
      </c>
      <c r="C1169" s="78" t="s">
        <v>782</v>
      </c>
      <c r="D1169" s="78" t="s">
        <v>784</v>
      </c>
      <c r="E1169" s="78" t="s">
        <v>1481</v>
      </c>
    </row>
    <row r="1170" spans="1:5" x14ac:dyDescent="0.3">
      <c r="A1170" s="218">
        <v>63</v>
      </c>
      <c r="B1170" s="78">
        <v>110</v>
      </c>
      <c r="C1170" s="78" t="s">
        <v>787</v>
      </c>
      <c r="D1170" s="78" t="s">
        <v>2410</v>
      </c>
      <c r="E1170" s="78" t="s">
        <v>1481</v>
      </c>
    </row>
    <row r="1171" spans="1:5" x14ac:dyDescent="0.3">
      <c r="A1171" s="218">
        <v>64</v>
      </c>
      <c r="B1171" s="78">
        <v>112</v>
      </c>
      <c r="C1171" s="78" t="s">
        <v>800</v>
      </c>
      <c r="D1171" s="78" t="s">
        <v>2411</v>
      </c>
      <c r="E1171" s="78" t="s">
        <v>1481</v>
      </c>
    </row>
    <row r="1172" spans="1:5" x14ac:dyDescent="0.3">
      <c r="A1172" s="218">
        <v>65</v>
      </c>
      <c r="B1172" s="78">
        <v>113</v>
      </c>
      <c r="C1172" s="78" t="s">
        <v>805</v>
      </c>
      <c r="D1172" s="78" t="s">
        <v>2412</v>
      </c>
      <c r="E1172" s="78" t="s">
        <v>1481</v>
      </c>
    </row>
    <row r="1173" spans="1:5" x14ac:dyDescent="0.3">
      <c r="A1173" s="218">
        <v>66</v>
      </c>
      <c r="B1173" s="78">
        <v>114</v>
      </c>
      <c r="C1173" s="78" t="s">
        <v>810</v>
      </c>
      <c r="D1173" s="78" t="s">
        <v>2413</v>
      </c>
      <c r="E1173" s="78" t="s">
        <v>1481</v>
      </c>
    </row>
    <row r="1174" spans="1:5" x14ac:dyDescent="0.3">
      <c r="A1174" s="218">
        <v>67</v>
      </c>
      <c r="B1174" s="78">
        <v>116</v>
      </c>
      <c r="C1174" s="78" t="s">
        <v>823</v>
      </c>
      <c r="D1174" s="78" t="s">
        <v>2414</v>
      </c>
      <c r="E1174" s="78" t="s">
        <v>1481</v>
      </c>
    </row>
    <row r="1175" spans="1:5" x14ac:dyDescent="0.3">
      <c r="A1175" s="218">
        <v>68</v>
      </c>
      <c r="B1175" s="78">
        <v>117</v>
      </c>
      <c r="C1175" s="78" t="s">
        <v>829</v>
      </c>
      <c r="D1175" s="78" t="s">
        <v>2415</v>
      </c>
      <c r="E1175" s="78" t="s">
        <v>1481</v>
      </c>
    </row>
    <row r="1176" spans="1:5" x14ac:dyDescent="0.3">
      <c r="A1176" s="218">
        <v>69</v>
      </c>
      <c r="B1176" s="78">
        <v>119</v>
      </c>
      <c r="C1176" s="78" t="s">
        <v>842</v>
      </c>
      <c r="D1176" s="78" t="s">
        <v>2416</v>
      </c>
      <c r="E1176" s="78" t="s">
        <v>1481</v>
      </c>
    </row>
    <row r="1177" spans="1:5" x14ac:dyDescent="0.3">
      <c r="A1177" s="218">
        <v>70</v>
      </c>
      <c r="B1177" s="78">
        <v>120</v>
      </c>
      <c r="C1177" s="78" t="s">
        <v>848</v>
      </c>
      <c r="D1177" s="78" t="s">
        <v>2417</v>
      </c>
      <c r="E1177" s="78" t="s">
        <v>1481</v>
      </c>
    </row>
    <row r="1178" spans="1:5" x14ac:dyDescent="0.3">
      <c r="A1178" s="218">
        <v>71</v>
      </c>
      <c r="B1178" s="78">
        <v>121</v>
      </c>
      <c r="C1178" s="78" t="s">
        <v>855</v>
      </c>
      <c r="D1178" s="78" t="s">
        <v>2418</v>
      </c>
      <c r="E1178" s="78" t="s">
        <v>1481</v>
      </c>
    </row>
    <row r="1179" spans="1:5" x14ac:dyDescent="0.3">
      <c r="A1179" s="218">
        <v>72</v>
      </c>
      <c r="B1179" s="78">
        <v>123</v>
      </c>
      <c r="C1179" s="78" t="s">
        <v>870</v>
      </c>
      <c r="D1179" s="78" t="s">
        <v>2419</v>
      </c>
      <c r="E1179" s="78" t="s">
        <v>1481</v>
      </c>
    </row>
    <row r="1180" spans="1:5" x14ac:dyDescent="0.3">
      <c r="A1180" s="218">
        <v>73</v>
      </c>
      <c r="B1180" s="78">
        <v>124</v>
      </c>
      <c r="C1180" s="78" t="s">
        <v>876</v>
      </c>
      <c r="D1180" s="78" t="s">
        <v>2420</v>
      </c>
      <c r="E1180" s="78" t="s">
        <v>1481</v>
      </c>
    </row>
    <row r="1181" spans="1:5" x14ac:dyDescent="0.3">
      <c r="A1181" s="218">
        <v>74</v>
      </c>
      <c r="B1181" s="78">
        <v>126</v>
      </c>
      <c r="C1181" s="78" t="s">
        <v>888</v>
      </c>
      <c r="D1181" s="78" t="s">
        <v>2421</v>
      </c>
      <c r="E1181" s="78" t="s">
        <v>1481</v>
      </c>
    </row>
    <row r="1182" spans="1:5" x14ac:dyDescent="0.3">
      <c r="A1182" s="218">
        <v>75</v>
      </c>
      <c r="B1182" s="78">
        <v>129</v>
      </c>
      <c r="C1182" s="78" t="s">
        <v>897</v>
      </c>
      <c r="D1182" s="78" t="s">
        <v>2422</v>
      </c>
      <c r="E1182" s="78" t="s">
        <v>1481</v>
      </c>
    </row>
    <row r="1183" spans="1:5" x14ac:dyDescent="0.3">
      <c r="A1183" s="218">
        <v>76</v>
      </c>
      <c r="B1183" s="78">
        <v>130</v>
      </c>
      <c r="C1183" s="78" t="s">
        <v>903</v>
      </c>
      <c r="D1183" s="78" t="s">
        <v>2423</v>
      </c>
      <c r="E1183" s="78" t="s">
        <v>1481</v>
      </c>
    </row>
    <row r="1184" spans="1:5" x14ac:dyDescent="0.3">
      <c r="A1184" s="218">
        <v>77</v>
      </c>
      <c r="B1184" s="78">
        <v>133</v>
      </c>
      <c r="C1184" s="78" t="s">
        <v>921</v>
      </c>
      <c r="D1184" s="78" t="s">
        <v>2424</v>
      </c>
      <c r="E1184" s="78" t="s">
        <v>1481</v>
      </c>
    </row>
    <row r="1185" spans="1:5" x14ac:dyDescent="0.3">
      <c r="A1185" s="218">
        <v>78</v>
      </c>
      <c r="B1185" s="78">
        <v>135</v>
      </c>
      <c r="C1185" s="78" t="s">
        <v>932</v>
      </c>
      <c r="D1185" s="78" t="s">
        <v>2425</v>
      </c>
      <c r="E1185" s="78" t="s">
        <v>1481</v>
      </c>
    </row>
    <row r="1186" spans="1:5" x14ac:dyDescent="0.3">
      <c r="A1186" s="218">
        <v>79</v>
      </c>
      <c r="B1186" s="78">
        <v>137</v>
      </c>
      <c r="C1186" s="78" t="s">
        <v>945</v>
      </c>
      <c r="D1186" s="78" t="s">
        <v>2426</v>
      </c>
      <c r="E1186" s="78" t="s">
        <v>1481</v>
      </c>
    </row>
    <row r="1187" spans="1:5" x14ac:dyDescent="0.3">
      <c r="A1187" s="218">
        <v>80</v>
      </c>
      <c r="B1187" s="78">
        <v>140</v>
      </c>
      <c r="C1187" s="78" t="s">
        <v>964</v>
      </c>
      <c r="D1187" s="78" t="s">
        <v>2427</v>
      </c>
      <c r="E1187" s="78" t="s">
        <v>1481</v>
      </c>
    </row>
    <row r="1188" spans="1:5" x14ac:dyDescent="0.3">
      <c r="A1188" s="218">
        <v>81</v>
      </c>
      <c r="B1188" s="78">
        <v>141</v>
      </c>
      <c r="C1188" s="78" t="s">
        <v>970</v>
      </c>
      <c r="D1188" s="78" t="s">
        <v>2428</v>
      </c>
      <c r="E1188" s="78" t="s">
        <v>1481</v>
      </c>
    </row>
    <row r="1189" spans="1:5" x14ac:dyDescent="0.3">
      <c r="A1189" s="218">
        <v>82</v>
      </c>
      <c r="B1189" s="78">
        <v>143</v>
      </c>
      <c r="C1189" s="78" t="s">
        <v>980</v>
      </c>
      <c r="D1189" s="78" t="s">
        <v>2429</v>
      </c>
      <c r="E1189" s="78" t="s">
        <v>1481</v>
      </c>
    </row>
    <row r="1190" spans="1:5" x14ac:dyDescent="0.3">
      <c r="A1190" s="218">
        <v>83</v>
      </c>
      <c r="B1190" s="78">
        <v>145</v>
      </c>
      <c r="C1190" s="78" t="s">
        <v>992</v>
      </c>
      <c r="D1190" s="78" t="s">
        <v>2430</v>
      </c>
      <c r="E1190" s="78" t="s">
        <v>1481</v>
      </c>
    </row>
    <row r="1191" spans="1:5" x14ac:dyDescent="0.3">
      <c r="A1191" s="218">
        <v>84</v>
      </c>
      <c r="B1191" s="78">
        <v>146</v>
      </c>
      <c r="C1191" s="78" t="s">
        <v>998</v>
      </c>
      <c r="D1191" s="78" t="s">
        <v>2431</v>
      </c>
      <c r="E1191" s="78" t="s">
        <v>1481</v>
      </c>
    </row>
    <row r="1192" spans="1:5" x14ac:dyDescent="0.3">
      <c r="A1192" s="218">
        <v>85</v>
      </c>
      <c r="B1192" s="78">
        <v>147</v>
      </c>
      <c r="C1192" s="78" t="s">
        <v>1003</v>
      </c>
      <c r="D1192" s="78" t="s">
        <v>2432</v>
      </c>
      <c r="E1192" s="78" t="s">
        <v>1481</v>
      </c>
    </row>
    <row r="1193" spans="1:5" x14ac:dyDescent="0.3">
      <c r="A1193" s="218">
        <v>88</v>
      </c>
      <c r="B1193" s="78">
        <v>152</v>
      </c>
      <c r="C1193" s="78" t="s">
        <v>1012</v>
      </c>
      <c r="D1193" s="78" t="s">
        <v>2433</v>
      </c>
      <c r="E1193" s="78" t="s">
        <v>1481</v>
      </c>
    </row>
    <row r="1194" spans="1:5" x14ac:dyDescent="0.3">
      <c r="A1194" s="218">
        <v>89</v>
      </c>
      <c r="B1194" s="78">
        <v>155</v>
      </c>
      <c r="C1194" s="78" t="s">
        <v>1027</v>
      </c>
      <c r="D1194" s="78" t="s">
        <v>2434</v>
      </c>
      <c r="E1194" s="78" t="s">
        <v>1481</v>
      </c>
    </row>
    <row r="1195" spans="1:5" x14ac:dyDescent="0.3">
      <c r="A1195" s="218">
        <v>90</v>
      </c>
      <c r="B1195" s="78">
        <v>159</v>
      </c>
      <c r="C1195" s="78" t="s">
        <v>1048</v>
      </c>
      <c r="D1195" s="78" t="s">
        <v>2435</v>
      </c>
      <c r="E1195" s="78" t="s">
        <v>1481</v>
      </c>
    </row>
    <row r="1196" spans="1:5" x14ac:dyDescent="0.3">
      <c r="A1196" s="218">
        <v>91</v>
      </c>
      <c r="B1196" s="78">
        <v>160</v>
      </c>
      <c r="C1196" s="78" t="s">
        <v>1055</v>
      </c>
      <c r="D1196" s="78" t="s">
        <v>2436</v>
      </c>
      <c r="E1196" s="78" t="s">
        <v>1481</v>
      </c>
    </row>
    <row r="1197" spans="1:5" x14ac:dyDescent="0.3">
      <c r="A1197" s="218">
        <v>92</v>
      </c>
      <c r="B1197" s="78">
        <v>161</v>
      </c>
      <c r="C1197" s="78" t="s">
        <v>1060</v>
      </c>
      <c r="D1197" s="78" t="s">
        <v>2437</v>
      </c>
      <c r="E1197" s="78" t="s">
        <v>1481</v>
      </c>
    </row>
    <row r="1198" spans="1:5" x14ac:dyDescent="0.3">
      <c r="A1198" s="218">
        <v>93</v>
      </c>
      <c r="B1198" s="78">
        <v>162</v>
      </c>
      <c r="C1198" s="78" t="s">
        <v>1065</v>
      </c>
      <c r="D1198" s="78" t="s">
        <v>2438</v>
      </c>
      <c r="E1198" s="78" t="s">
        <v>1481</v>
      </c>
    </row>
    <row r="1199" spans="1:5" x14ac:dyDescent="0.3">
      <c r="A1199" s="218">
        <v>94</v>
      </c>
      <c r="B1199" s="78">
        <v>163</v>
      </c>
      <c r="C1199" s="78" t="s">
        <v>1070</v>
      </c>
      <c r="D1199" s="78" t="s">
        <v>2439</v>
      </c>
      <c r="E1199" s="78" t="s">
        <v>1481</v>
      </c>
    </row>
    <row r="1200" spans="1:5" x14ac:dyDescent="0.3">
      <c r="A1200" s="218">
        <v>95</v>
      </c>
      <c r="B1200" s="78">
        <v>165</v>
      </c>
      <c r="C1200" s="78" t="s">
        <v>1080</v>
      </c>
      <c r="D1200" s="78" t="s">
        <v>2440</v>
      </c>
      <c r="E1200" s="78" t="s">
        <v>1481</v>
      </c>
    </row>
    <row r="1201" spans="1:5" x14ac:dyDescent="0.3">
      <c r="A1201" s="218">
        <v>96</v>
      </c>
      <c r="B1201" s="78">
        <v>166</v>
      </c>
      <c r="C1201" s="78" t="s">
        <v>1087</v>
      </c>
      <c r="D1201" s="78" t="s">
        <v>2441</v>
      </c>
      <c r="E1201" s="78" t="s">
        <v>1481</v>
      </c>
    </row>
    <row r="1202" spans="1:5" x14ac:dyDescent="0.3">
      <c r="A1202" s="218">
        <v>97</v>
      </c>
      <c r="B1202" s="78">
        <v>167</v>
      </c>
      <c r="C1202" s="78" t="s">
        <v>1093</v>
      </c>
      <c r="D1202" s="78" t="s">
        <v>2442</v>
      </c>
      <c r="E1202" s="78" t="s">
        <v>1481</v>
      </c>
    </row>
    <row r="1203" spans="1:5" x14ac:dyDescent="0.3">
      <c r="A1203" s="218">
        <v>98</v>
      </c>
      <c r="B1203" s="78">
        <v>170</v>
      </c>
      <c r="C1203" s="78" t="s">
        <v>1100</v>
      </c>
      <c r="D1203" s="78" t="s">
        <v>2443</v>
      </c>
      <c r="E1203" s="78" t="s">
        <v>1481</v>
      </c>
    </row>
    <row r="1204" spans="1:5" x14ac:dyDescent="0.3">
      <c r="A1204" s="218">
        <v>99</v>
      </c>
      <c r="B1204" s="78">
        <v>171</v>
      </c>
      <c r="C1204" s="78" t="s">
        <v>1106</v>
      </c>
      <c r="D1204" s="78" t="s">
        <v>2444</v>
      </c>
      <c r="E1204" s="78" t="s">
        <v>1481</v>
      </c>
    </row>
    <row r="1205" spans="1:5" x14ac:dyDescent="0.3">
      <c r="A1205" s="218">
        <v>100</v>
      </c>
      <c r="B1205" s="78">
        <v>172</v>
      </c>
      <c r="C1205" s="78" t="s">
        <v>1112</v>
      </c>
      <c r="D1205" s="78" t="s">
        <v>2445</v>
      </c>
      <c r="E1205" s="78" t="s">
        <v>1481</v>
      </c>
    </row>
    <row r="1206" spans="1:5" x14ac:dyDescent="0.3">
      <c r="A1206" s="219"/>
      <c r="B1206" s="78">
        <v>1</v>
      </c>
      <c r="C1206" s="78" t="s">
        <v>22</v>
      </c>
      <c r="D1206" s="78" t="s">
        <v>2446</v>
      </c>
      <c r="E1206" s="78" t="s">
        <v>1481</v>
      </c>
    </row>
    <row r="1207" spans="1:5" x14ac:dyDescent="0.3">
      <c r="A1207" s="219"/>
      <c r="B1207" s="78">
        <v>2</v>
      </c>
      <c r="C1207" s="78" t="s">
        <v>36</v>
      </c>
      <c r="D1207" s="78" t="s">
        <v>2447</v>
      </c>
      <c r="E1207" s="78" t="s">
        <v>1481</v>
      </c>
    </row>
    <row r="1208" spans="1:5" x14ac:dyDescent="0.3">
      <c r="A1208" s="219"/>
      <c r="B1208" s="78">
        <v>3</v>
      </c>
      <c r="C1208" s="78" t="s">
        <v>47</v>
      </c>
      <c r="D1208" s="78" t="s">
        <v>2448</v>
      </c>
      <c r="E1208" s="78" t="s">
        <v>1481</v>
      </c>
    </row>
    <row r="1209" spans="1:5" x14ac:dyDescent="0.3">
      <c r="A1209" s="219"/>
      <c r="B1209" s="78">
        <v>6</v>
      </c>
      <c r="C1209" s="78" t="s">
        <v>87</v>
      </c>
      <c r="D1209" s="78" t="s">
        <v>2449</v>
      </c>
      <c r="E1209" s="78" t="s">
        <v>1481</v>
      </c>
    </row>
    <row r="1210" spans="1:5" x14ac:dyDescent="0.3">
      <c r="A1210" s="219"/>
      <c r="B1210" s="90"/>
      <c r="C1210" s="78" t="s">
        <v>1409</v>
      </c>
      <c r="D1210" s="78" t="s">
        <v>1411</v>
      </c>
      <c r="E1210" s="78" t="s">
        <v>1481</v>
      </c>
    </row>
    <row r="1211" spans="1:5" x14ac:dyDescent="0.3">
      <c r="A1211" s="219"/>
      <c r="B1211" s="90"/>
      <c r="C1211" s="78" t="s">
        <v>1413</v>
      </c>
      <c r="D1211" s="78" t="s">
        <v>1415</v>
      </c>
      <c r="E1211" s="78" t="s">
        <v>1481</v>
      </c>
    </row>
    <row r="1212" spans="1:5" x14ac:dyDescent="0.3">
      <c r="A1212" s="219"/>
      <c r="B1212" s="78">
        <v>14</v>
      </c>
      <c r="C1212" s="78" t="s">
        <v>175</v>
      </c>
      <c r="D1212" s="78" t="s">
        <v>177</v>
      </c>
      <c r="E1212" s="78" t="s">
        <v>1513</v>
      </c>
    </row>
    <row r="1213" spans="1:5" x14ac:dyDescent="0.3">
      <c r="A1213" s="219"/>
      <c r="B1213" s="78">
        <v>15</v>
      </c>
      <c r="C1213" s="78" t="s">
        <v>182</v>
      </c>
      <c r="D1213" s="78" t="s">
        <v>2450</v>
      </c>
      <c r="E1213" s="78" t="s">
        <v>1513</v>
      </c>
    </row>
    <row r="1214" spans="1:5" x14ac:dyDescent="0.3">
      <c r="A1214" s="219"/>
      <c r="B1214" s="90"/>
      <c r="C1214" s="78" t="s">
        <v>1417</v>
      </c>
      <c r="D1214" s="78" t="s">
        <v>1419</v>
      </c>
      <c r="E1214" s="78" t="s">
        <v>1481</v>
      </c>
    </row>
    <row r="1215" spans="1:5" x14ac:dyDescent="0.3">
      <c r="A1215" s="219"/>
      <c r="B1215" s="78">
        <v>28</v>
      </c>
      <c r="C1215" s="78" t="s">
        <v>232</v>
      </c>
      <c r="D1215" s="78" t="s">
        <v>234</v>
      </c>
      <c r="E1215" s="78" t="s">
        <v>1481</v>
      </c>
    </row>
    <row r="1216" spans="1:5" x14ac:dyDescent="0.3">
      <c r="A1216" s="219"/>
      <c r="B1216" s="78">
        <v>30</v>
      </c>
      <c r="C1216" s="78" t="s">
        <v>249</v>
      </c>
      <c r="D1216" s="78" t="s">
        <v>2451</v>
      </c>
      <c r="E1216" s="78" t="s">
        <v>1481</v>
      </c>
    </row>
    <row r="1217" spans="1:5" x14ac:dyDescent="0.3">
      <c r="A1217" s="219"/>
      <c r="B1217" s="78">
        <v>32</v>
      </c>
      <c r="C1217" s="78" t="s">
        <v>270</v>
      </c>
      <c r="D1217" s="78" t="s">
        <v>272</v>
      </c>
      <c r="E1217" s="78" t="s">
        <v>1481</v>
      </c>
    </row>
    <row r="1218" spans="1:5" x14ac:dyDescent="0.3">
      <c r="A1218" s="219"/>
      <c r="B1218" s="78">
        <v>33</v>
      </c>
      <c r="C1218" s="78" t="s">
        <v>276</v>
      </c>
      <c r="D1218" s="78" t="s">
        <v>2452</v>
      </c>
      <c r="E1218" s="78" t="s">
        <v>1481</v>
      </c>
    </row>
    <row r="1219" spans="1:5" x14ac:dyDescent="0.3">
      <c r="A1219" s="219"/>
      <c r="B1219" s="78">
        <v>39</v>
      </c>
      <c r="C1219" s="78" t="s">
        <v>321</v>
      </c>
      <c r="D1219" s="78" t="s">
        <v>323</v>
      </c>
      <c r="E1219" s="78" t="s">
        <v>1481</v>
      </c>
    </row>
    <row r="1220" spans="1:5" x14ac:dyDescent="0.3">
      <c r="A1220" s="219"/>
      <c r="B1220" s="78">
        <v>42</v>
      </c>
      <c r="C1220" s="78" t="s">
        <v>346</v>
      </c>
      <c r="D1220" s="78" t="s">
        <v>348</v>
      </c>
      <c r="E1220" s="78" t="s">
        <v>1481</v>
      </c>
    </row>
    <row r="1221" spans="1:5" x14ac:dyDescent="0.3">
      <c r="A1221" s="219"/>
      <c r="B1221" s="78">
        <v>43</v>
      </c>
      <c r="C1221" s="78" t="s">
        <v>353</v>
      </c>
      <c r="D1221" s="78" t="s">
        <v>355</v>
      </c>
      <c r="E1221" s="78" t="s">
        <v>1481</v>
      </c>
    </row>
    <row r="1222" spans="1:5" x14ac:dyDescent="0.3">
      <c r="A1222" s="219"/>
      <c r="B1222" s="78">
        <v>44</v>
      </c>
      <c r="C1222" s="78" t="s">
        <v>361</v>
      </c>
      <c r="D1222" s="78" t="s">
        <v>363</v>
      </c>
      <c r="E1222" s="78" t="s">
        <v>1481</v>
      </c>
    </row>
    <row r="1223" spans="1:5" x14ac:dyDescent="0.3">
      <c r="A1223" s="219"/>
      <c r="B1223" s="78">
        <v>45</v>
      </c>
      <c r="C1223" s="78" t="s">
        <v>368</v>
      </c>
      <c r="D1223" s="78" t="s">
        <v>2453</v>
      </c>
      <c r="E1223" s="78" t="s">
        <v>1481</v>
      </c>
    </row>
    <row r="1224" spans="1:5" x14ac:dyDescent="0.3">
      <c r="A1224" s="219"/>
      <c r="B1224" s="78">
        <v>67</v>
      </c>
      <c r="C1224" s="78" t="s">
        <v>515</v>
      </c>
      <c r="D1224" s="78" t="s">
        <v>2454</v>
      </c>
      <c r="E1224" s="78" t="s">
        <v>1481</v>
      </c>
    </row>
    <row r="1225" spans="1:5" x14ac:dyDescent="0.3">
      <c r="A1225" s="219"/>
      <c r="B1225" s="78">
        <v>69</v>
      </c>
      <c r="C1225" s="78" t="s">
        <v>533</v>
      </c>
      <c r="D1225" s="78" t="s">
        <v>2455</v>
      </c>
      <c r="E1225" s="78" t="s">
        <v>1481</v>
      </c>
    </row>
    <row r="1226" spans="1:5" x14ac:dyDescent="0.3">
      <c r="A1226" s="219"/>
      <c r="B1226" s="78">
        <v>70</v>
      </c>
      <c r="C1226" s="78" t="s">
        <v>544</v>
      </c>
      <c r="D1226" s="78" t="s">
        <v>2456</v>
      </c>
      <c r="E1226" s="78" t="s">
        <v>1481</v>
      </c>
    </row>
    <row r="1227" spans="1:5" x14ac:dyDescent="0.3">
      <c r="A1227" s="219"/>
      <c r="B1227" s="78">
        <v>72</v>
      </c>
      <c r="C1227" s="78" t="s">
        <v>561</v>
      </c>
      <c r="D1227" s="78" t="s">
        <v>2457</v>
      </c>
      <c r="E1227" s="78" t="s">
        <v>1481</v>
      </c>
    </row>
    <row r="1228" spans="1:5" x14ac:dyDescent="0.3">
      <c r="A1228" s="219"/>
      <c r="B1228" s="78">
        <v>73</v>
      </c>
      <c r="C1228" s="78" t="s">
        <v>568</v>
      </c>
      <c r="D1228" s="78" t="s">
        <v>2458</v>
      </c>
      <c r="E1228" s="78" t="s">
        <v>1481</v>
      </c>
    </row>
    <row r="1229" spans="1:5" x14ac:dyDescent="0.3">
      <c r="A1229" s="219"/>
      <c r="B1229" s="78">
        <v>75</v>
      </c>
      <c r="C1229" s="78" t="s">
        <v>588</v>
      </c>
      <c r="D1229" s="78" t="s">
        <v>590</v>
      </c>
      <c r="E1229" s="78" t="s">
        <v>1481</v>
      </c>
    </row>
    <row r="1230" spans="1:5" x14ac:dyDescent="0.3">
      <c r="A1230" s="219"/>
      <c r="B1230" s="78">
        <v>76</v>
      </c>
      <c r="C1230" s="78" t="s">
        <v>594</v>
      </c>
      <c r="D1230" s="78" t="s">
        <v>2459</v>
      </c>
      <c r="E1230" s="78" t="s">
        <v>1481</v>
      </c>
    </row>
    <row r="1231" spans="1:5" x14ac:dyDescent="0.3">
      <c r="A1231" s="219"/>
      <c r="B1231" s="78">
        <v>80</v>
      </c>
      <c r="C1231" s="78" t="s">
        <v>614</v>
      </c>
      <c r="D1231" s="78" t="s">
        <v>616</v>
      </c>
      <c r="E1231" s="78" t="s">
        <v>1481</v>
      </c>
    </row>
    <row r="1232" spans="1:5" x14ac:dyDescent="0.3">
      <c r="A1232" s="219"/>
      <c r="B1232" s="90"/>
      <c r="C1232" s="78" t="s">
        <v>1422</v>
      </c>
      <c r="D1232" s="78" t="s">
        <v>1424</v>
      </c>
      <c r="E1232" s="78" t="s">
        <v>1481</v>
      </c>
    </row>
    <row r="1233" spans="1:5" x14ac:dyDescent="0.3">
      <c r="A1233" s="219"/>
      <c r="B1233" s="90"/>
      <c r="C1233" s="78" t="s">
        <v>1426</v>
      </c>
      <c r="D1233" s="78" t="s">
        <v>2460</v>
      </c>
      <c r="E1233" s="78" t="s">
        <v>1481</v>
      </c>
    </row>
    <row r="1234" spans="1:5" x14ac:dyDescent="0.3">
      <c r="A1234" s="219"/>
      <c r="B1234" s="78">
        <v>82</v>
      </c>
      <c r="C1234" s="78" t="s">
        <v>628</v>
      </c>
      <c r="D1234" s="78" t="s">
        <v>630</v>
      </c>
      <c r="E1234" s="78" t="s">
        <v>1481</v>
      </c>
    </row>
    <row r="1235" spans="1:5" x14ac:dyDescent="0.3">
      <c r="A1235" s="219"/>
      <c r="B1235" s="78">
        <v>84</v>
      </c>
      <c r="C1235" s="78" t="s">
        <v>644</v>
      </c>
      <c r="D1235" s="78" t="s">
        <v>646</v>
      </c>
      <c r="E1235" s="78" t="s">
        <v>1481</v>
      </c>
    </row>
    <row r="1236" spans="1:5" x14ac:dyDescent="0.3">
      <c r="A1236" s="219"/>
      <c r="B1236" s="78">
        <v>85</v>
      </c>
      <c r="C1236" s="78" t="s">
        <v>651</v>
      </c>
      <c r="D1236" s="78" t="s">
        <v>2461</v>
      </c>
      <c r="E1236" s="78" t="s">
        <v>1481</v>
      </c>
    </row>
    <row r="1237" spans="1:5" x14ac:dyDescent="0.3">
      <c r="A1237" s="219"/>
      <c r="B1237" s="78">
        <v>86</v>
      </c>
      <c r="C1237" s="78" t="s">
        <v>659</v>
      </c>
      <c r="D1237" s="78" t="s">
        <v>2462</v>
      </c>
      <c r="E1237" s="78" t="s">
        <v>1481</v>
      </c>
    </row>
    <row r="1238" spans="1:5" x14ac:dyDescent="0.3">
      <c r="A1238" s="219"/>
      <c r="B1238" s="90"/>
      <c r="C1238" s="78" t="s">
        <v>1430</v>
      </c>
      <c r="D1238" s="78" t="s">
        <v>1432</v>
      </c>
      <c r="E1238" s="78" t="s">
        <v>1481</v>
      </c>
    </row>
    <row r="1239" spans="1:5" x14ac:dyDescent="0.3">
      <c r="A1239" s="219"/>
      <c r="B1239" s="78">
        <v>87</v>
      </c>
      <c r="C1239" s="78" t="s">
        <v>665</v>
      </c>
      <c r="D1239" s="78" t="s">
        <v>2463</v>
      </c>
      <c r="E1239" s="78" t="s">
        <v>1481</v>
      </c>
    </row>
    <row r="1240" spans="1:5" x14ac:dyDescent="0.3">
      <c r="A1240" s="219"/>
      <c r="B1240" s="78">
        <v>88</v>
      </c>
      <c r="C1240" s="78" t="s">
        <v>671</v>
      </c>
      <c r="D1240" s="78" t="s">
        <v>2464</v>
      </c>
      <c r="E1240" s="78" t="s">
        <v>1481</v>
      </c>
    </row>
    <row r="1241" spans="1:5" x14ac:dyDescent="0.3">
      <c r="A1241" s="219"/>
      <c r="B1241" s="78">
        <v>89</v>
      </c>
      <c r="C1241" s="78" t="s">
        <v>678</v>
      </c>
      <c r="D1241" s="78" t="s">
        <v>2465</v>
      </c>
      <c r="E1241" s="78" t="s">
        <v>1481</v>
      </c>
    </row>
    <row r="1242" spans="1:5" x14ac:dyDescent="0.3">
      <c r="A1242" s="219"/>
      <c r="B1242" s="78">
        <v>91</v>
      </c>
      <c r="C1242" s="78" t="s">
        <v>692</v>
      </c>
      <c r="D1242" s="78" t="s">
        <v>2466</v>
      </c>
      <c r="E1242" s="78" t="s">
        <v>1481</v>
      </c>
    </row>
    <row r="1243" spans="1:5" x14ac:dyDescent="0.3">
      <c r="A1243" s="219"/>
      <c r="B1243" s="78">
        <v>93</v>
      </c>
      <c r="C1243" s="78" t="s">
        <v>706</v>
      </c>
      <c r="D1243" s="78" t="s">
        <v>2467</v>
      </c>
      <c r="E1243" s="78" t="s">
        <v>1481</v>
      </c>
    </row>
    <row r="1244" spans="1:5" x14ac:dyDescent="0.3">
      <c r="A1244" s="219"/>
      <c r="B1244" s="78">
        <v>96</v>
      </c>
      <c r="C1244" s="78" t="s">
        <v>727</v>
      </c>
      <c r="D1244" s="78" t="s">
        <v>729</v>
      </c>
      <c r="E1244" s="78" t="s">
        <v>1481</v>
      </c>
    </row>
    <row r="1245" spans="1:5" x14ac:dyDescent="0.3">
      <c r="A1245" s="219"/>
      <c r="B1245" s="78">
        <v>99</v>
      </c>
      <c r="C1245" s="78" t="s">
        <v>744</v>
      </c>
      <c r="D1245" s="78" t="s">
        <v>2468</v>
      </c>
      <c r="E1245" s="78" t="s">
        <v>1481</v>
      </c>
    </row>
    <row r="1246" spans="1:5" x14ac:dyDescent="0.3">
      <c r="A1246" s="219"/>
      <c r="B1246" s="78">
        <v>101</v>
      </c>
      <c r="C1246" s="78" t="s">
        <v>756</v>
      </c>
      <c r="D1246" s="78" t="s">
        <v>758</v>
      </c>
      <c r="E1246" s="78" t="s">
        <v>1481</v>
      </c>
    </row>
    <row r="1247" spans="1:5" x14ac:dyDescent="0.3">
      <c r="A1247" s="219"/>
      <c r="B1247" s="78">
        <v>103</v>
      </c>
      <c r="C1247" s="78" t="s">
        <v>767</v>
      </c>
      <c r="D1247" s="78" t="s">
        <v>769</v>
      </c>
      <c r="E1247" s="78" t="s">
        <v>1481</v>
      </c>
    </row>
    <row r="1248" spans="1:5" x14ac:dyDescent="0.3">
      <c r="A1248" s="219"/>
      <c r="B1248" s="90"/>
      <c r="C1248" s="78" t="s">
        <v>1117</v>
      </c>
      <c r="D1248" s="78" t="s">
        <v>1119</v>
      </c>
      <c r="E1248" s="78" t="s">
        <v>1481</v>
      </c>
    </row>
    <row r="1249" spans="1:5" x14ac:dyDescent="0.3">
      <c r="A1249" s="219"/>
      <c r="B1249" s="90"/>
      <c r="C1249" s="78" t="s">
        <v>1121</v>
      </c>
      <c r="D1249" s="78" t="s">
        <v>1123</v>
      </c>
      <c r="E1249" s="78" t="s">
        <v>1481</v>
      </c>
    </row>
    <row r="1250" spans="1:5" x14ac:dyDescent="0.3">
      <c r="A1250" s="219"/>
      <c r="B1250" s="78">
        <v>111</v>
      </c>
      <c r="C1250" s="78" t="s">
        <v>793</v>
      </c>
      <c r="D1250" s="78" t="s">
        <v>2469</v>
      </c>
      <c r="E1250" s="78" t="s">
        <v>1481</v>
      </c>
    </row>
    <row r="1251" spans="1:5" x14ac:dyDescent="0.3">
      <c r="A1251" s="219"/>
      <c r="B1251" s="78">
        <v>115</v>
      </c>
      <c r="C1251" s="78" t="s">
        <v>816</v>
      </c>
      <c r="D1251" s="78" t="s">
        <v>2470</v>
      </c>
      <c r="E1251" s="78" t="s">
        <v>1481</v>
      </c>
    </row>
    <row r="1252" spans="1:5" x14ac:dyDescent="0.3">
      <c r="A1252" s="219"/>
      <c r="B1252" s="78">
        <v>118</v>
      </c>
      <c r="C1252" s="78" t="s">
        <v>835</v>
      </c>
      <c r="D1252" s="78" t="s">
        <v>2471</v>
      </c>
      <c r="E1252" s="78" t="s">
        <v>1481</v>
      </c>
    </row>
    <row r="1253" spans="1:5" x14ac:dyDescent="0.3">
      <c r="A1253" s="219"/>
      <c r="B1253" s="78">
        <v>122</v>
      </c>
      <c r="C1253" s="78" t="s">
        <v>862</v>
      </c>
      <c r="D1253" s="78" t="s">
        <v>2472</v>
      </c>
      <c r="E1253" s="78" t="s">
        <v>1481</v>
      </c>
    </row>
    <row r="1254" spans="1:5" x14ac:dyDescent="0.3">
      <c r="A1254" s="219"/>
      <c r="B1254" s="78">
        <v>125</v>
      </c>
      <c r="C1254" s="78" t="s">
        <v>881</v>
      </c>
      <c r="D1254" s="78" t="s">
        <v>2473</v>
      </c>
      <c r="E1254" s="78" t="s">
        <v>1481</v>
      </c>
    </row>
    <row r="1255" spans="1:5" x14ac:dyDescent="0.3">
      <c r="A1255" s="219"/>
      <c r="B1255" s="90"/>
      <c r="C1255" s="78" t="s">
        <v>1125</v>
      </c>
      <c r="D1255" s="78" t="s">
        <v>1127</v>
      </c>
      <c r="E1255" s="78" t="s">
        <v>1481</v>
      </c>
    </row>
    <row r="1256" spans="1:5" x14ac:dyDescent="0.3">
      <c r="A1256" s="219"/>
      <c r="B1256" s="78">
        <v>131</v>
      </c>
      <c r="C1256" s="78" t="s">
        <v>908</v>
      </c>
      <c r="D1256" s="78" t="s">
        <v>910</v>
      </c>
      <c r="E1256" s="78" t="s">
        <v>1481</v>
      </c>
    </row>
    <row r="1257" spans="1:5" x14ac:dyDescent="0.3">
      <c r="A1257" s="219"/>
      <c r="B1257" s="78">
        <v>132</v>
      </c>
      <c r="C1257" s="78" t="s">
        <v>915</v>
      </c>
      <c r="D1257" s="78" t="s">
        <v>2474</v>
      </c>
      <c r="E1257" s="78" t="s">
        <v>1481</v>
      </c>
    </row>
    <row r="1258" spans="1:5" x14ac:dyDescent="0.3">
      <c r="A1258" s="219"/>
      <c r="B1258" s="78">
        <v>134</v>
      </c>
      <c r="C1258" s="78" t="s">
        <v>927</v>
      </c>
      <c r="D1258" s="78" t="s">
        <v>2475</v>
      </c>
      <c r="E1258" s="78" t="s">
        <v>1481</v>
      </c>
    </row>
    <row r="1259" spans="1:5" x14ac:dyDescent="0.3">
      <c r="A1259" s="219"/>
      <c r="B1259" s="78">
        <v>136</v>
      </c>
      <c r="C1259" s="78" t="s">
        <v>939</v>
      </c>
      <c r="D1259" s="78" t="s">
        <v>941</v>
      </c>
      <c r="E1259" s="78" t="s">
        <v>1481</v>
      </c>
    </row>
    <row r="1260" spans="1:5" x14ac:dyDescent="0.3">
      <c r="A1260" s="219"/>
      <c r="B1260" s="78">
        <v>138</v>
      </c>
      <c r="C1260" s="78" t="s">
        <v>953</v>
      </c>
      <c r="D1260" s="78" t="s">
        <v>955</v>
      </c>
      <c r="E1260" s="78" t="s">
        <v>1481</v>
      </c>
    </row>
    <row r="1261" spans="1:5" x14ac:dyDescent="0.3">
      <c r="A1261" s="219"/>
      <c r="B1261" s="78">
        <v>139</v>
      </c>
      <c r="C1261" s="78" t="s">
        <v>959</v>
      </c>
      <c r="D1261" s="78" t="s">
        <v>961</v>
      </c>
      <c r="E1261" s="78" t="s">
        <v>1481</v>
      </c>
    </row>
    <row r="1262" spans="1:5" x14ac:dyDescent="0.3">
      <c r="A1262" s="219"/>
      <c r="B1262" s="78">
        <v>142</v>
      </c>
      <c r="C1262" s="78" t="s">
        <v>975</v>
      </c>
      <c r="D1262" s="78" t="s">
        <v>977</v>
      </c>
      <c r="E1262" s="78" t="s">
        <v>1481</v>
      </c>
    </row>
    <row r="1263" spans="1:5" x14ac:dyDescent="0.3">
      <c r="A1263" s="219"/>
      <c r="B1263" s="78">
        <v>144</v>
      </c>
      <c r="C1263" s="78" t="s">
        <v>987</v>
      </c>
      <c r="D1263" s="78" t="s">
        <v>989</v>
      </c>
      <c r="E1263" s="78" t="s">
        <v>1481</v>
      </c>
    </row>
    <row r="1264" spans="1:5" x14ac:dyDescent="0.3">
      <c r="A1264" s="219"/>
      <c r="B1264" s="90"/>
      <c r="C1264" s="78" t="s">
        <v>1129</v>
      </c>
      <c r="D1264" s="78" t="s">
        <v>1131</v>
      </c>
      <c r="E1264" s="78" t="s">
        <v>1481</v>
      </c>
    </row>
    <row r="1265" spans="1:5" x14ac:dyDescent="0.3">
      <c r="A1265" s="219"/>
      <c r="B1265" s="90"/>
      <c r="C1265" s="78" t="s">
        <v>1133</v>
      </c>
      <c r="D1265" s="78" t="s">
        <v>1135</v>
      </c>
      <c r="E1265" s="78" t="s">
        <v>1481</v>
      </c>
    </row>
    <row r="1266" spans="1:5" x14ac:dyDescent="0.3">
      <c r="A1266" s="219"/>
      <c r="B1266" s="78">
        <v>153</v>
      </c>
      <c r="C1266" s="78" t="s">
        <v>1017</v>
      </c>
      <c r="D1266" s="78" t="s">
        <v>1019</v>
      </c>
      <c r="E1266" s="78" t="s">
        <v>1481</v>
      </c>
    </row>
    <row r="1267" spans="1:5" x14ac:dyDescent="0.3">
      <c r="A1267" s="219"/>
      <c r="B1267" s="78">
        <v>154</v>
      </c>
      <c r="C1267" s="78" t="s">
        <v>1022</v>
      </c>
      <c r="D1267" s="78" t="s">
        <v>1024</v>
      </c>
      <c r="E1267" s="78" t="s">
        <v>1481</v>
      </c>
    </row>
    <row r="1268" spans="1:5" x14ac:dyDescent="0.3">
      <c r="A1268" s="219"/>
      <c r="B1268" s="78">
        <v>156</v>
      </c>
      <c r="C1268" s="78" t="s">
        <v>1033</v>
      </c>
      <c r="D1268" s="78" t="s">
        <v>1035</v>
      </c>
      <c r="E1268" s="78" t="s">
        <v>1481</v>
      </c>
    </row>
    <row r="1269" spans="1:5" x14ac:dyDescent="0.3">
      <c r="A1269" s="219"/>
      <c r="B1269" s="78">
        <v>157</v>
      </c>
      <c r="C1269" s="78" t="s">
        <v>1038</v>
      </c>
      <c r="D1269" s="78" t="s">
        <v>1040</v>
      </c>
      <c r="E1269" s="78" t="s">
        <v>1481</v>
      </c>
    </row>
    <row r="1270" spans="1:5" x14ac:dyDescent="0.3">
      <c r="A1270" s="219"/>
      <c r="B1270" s="78">
        <v>158</v>
      </c>
      <c r="C1270" s="78" t="s">
        <v>1043</v>
      </c>
      <c r="D1270" s="78" t="s">
        <v>1045</v>
      </c>
      <c r="E1270" s="78" t="s">
        <v>1481</v>
      </c>
    </row>
    <row r="1271" spans="1:5" x14ac:dyDescent="0.3">
      <c r="A1271" s="219"/>
      <c r="B1271" s="78">
        <v>164</v>
      </c>
      <c r="C1271" s="78" t="s">
        <v>1075</v>
      </c>
      <c r="D1271" s="78" t="s">
        <v>1077</v>
      </c>
      <c r="E1271" s="78" t="s">
        <v>1481</v>
      </c>
    </row>
    <row r="1272" spans="1:5" x14ac:dyDescent="0.3">
      <c r="A1272" s="219"/>
      <c r="B1272" s="90"/>
      <c r="C1272" s="78" t="s">
        <v>1137</v>
      </c>
      <c r="D1272" s="78" t="s">
        <v>1139</v>
      </c>
      <c r="E1272" s="78" t="s">
        <v>1481</v>
      </c>
    </row>
    <row r="1273" spans="1:5" x14ac:dyDescent="0.3">
      <c r="A1273" s="219"/>
      <c r="B1273" s="90"/>
      <c r="C1273" s="78" t="s">
        <v>1157</v>
      </c>
      <c r="D1273" s="78" t="s">
        <v>2476</v>
      </c>
      <c r="E1273" s="78" t="s">
        <v>1481</v>
      </c>
    </row>
    <row r="1274" spans="1:5" x14ac:dyDescent="0.3">
      <c r="A1274" s="219"/>
      <c r="B1274" s="90"/>
      <c r="C1274" s="78" t="s">
        <v>1141</v>
      </c>
      <c r="D1274" s="78" t="s">
        <v>1143</v>
      </c>
      <c r="E1274" s="78" t="s">
        <v>1481</v>
      </c>
    </row>
    <row r="1275" spans="1:5" x14ac:dyDescent="0.3">
      <c r="A1275" s="219"/>
      <c r="B1275" s="90"/>
      <c r="C1275" s="78" t="s">
        <v>1145</v>
      </c>
      <c r="D1275" s="78" t="s">
        <v>1147</v>
      </c>
      <c r="E1275" s="78" t="s">
        <v>1481</v>
      </c>
    </row>
    <row r="1276" spans="1:5" x14ac:dyDescent="0.3">
      <c r="A1276" s="219"/>
      <c r="B1276" s="90"/>
      <c r="C1276" s="78" t="s">
        <v>1149</v>
      </c>
      <c r="D1276" s="78" t="s">
        <v>1151</v>
      </c>
      <c r="E1276" s="78" t="s">
        <v>1481</v>
      </c>
    </row>
    <row r="1277" spans="1:5" x14ac:dyDescent="0.3">
      <c r="A1277" s="219"/>
      <c r="B1277" s="90"/>
      <c r="C1277" s="78" t="s">
        <v>1153</v>
      </c>
      <c r="D1277" s="78" t="s">
        <v>1155</v>
      </c>
      <c r="E1277" s="78" t="s">
        <v>1481</v>
      </c>
    </row>
    <row r="1278" spans="1:5" x14ac:dyDescent="0.3">
      <c r="A1278" s="219"/>
      <c r="B1278" s="90"/>
      <c r="C1278" s="78" t="s">
        <v>1161</v>
      </c>
      <c r="D1278" s="78" t="s">
        <v>2477</v>
      </c>
      <c r="E1278" s="78" t="s">
        <v>1481</v>
      </c>
    </row>
    <row r="1279" spans="1:5" x14ac:dyDescent="0.3">
      <c r="A1279" s="219"/>
      <c r="B1279" s="90"/>
      <c r="C1279" s="78" t="s">
        <v>1165</v>
      </c>
      <c r="D1279" s="78" t="s">
        <v>2478</v>
      </c>
      <c r="E1279" s="78" t="s">
        <v>1481</v>
      </c>
    </row>
    <row r="1280" spans="1:5" x14ac:dyDescent="0.3">
      <c r="A1280" s="219"/>
      <c r="B1280" s="90"/>
      <c r="C1280" s="78" t="s">
        <v>1169</v>
      </c>
      <c r="D1280" s="78" t="s">
        <v>2479</v>
      </c>
      <c r="E1280" s="78" t="s">
        <v>1481</v>
      </c>
    </row>
    <row r="1281" spans="1:5" x14ac:dyDescent="0.3">
      <c r="A1281" s="219"/>
      <c r="B1281" s="90"/>
      <c r="C1281" s="78" t="s">
        <v>1173</v>
      </c>
      <c r="D1281" s="78" t="s">
        <v>2480</v>
      </c>
      <c r="E1281" s="78" t="s">
        <v>1481</v>
      </c>
    </row>
    <row r="1282" spans="1:5" x14ac:dyDescent="0.3">
      <c r="A1282" s="219"/>
      <c r="B1282" s="90"/>
      <c r="C1282" s="78" t="s">
        <v>1177</v>
      </c>
      <c r="D1282" s="78" t="s">
        <v>2481</v>
      </c>
      <c r="E1282" s="78" t="s">
        <v>1481</v>
      </c>
    </row>
    <row r="1283" spans="1:5" x14ac:dyDescent="0.3">
      <c r="A1283" s="219"/>
      <c r="B1283" s="90"/>
      <c r="C1283" s="78" t="s">
        <v>1181</v>
      </c>
      <c r="D1283" s="78" t="s">
        <v>2482</v>
      </c>
      <c r="E1283" s="78" t="s">
        <v>1481</v>
      </c>
    </row>
    <row r="1284" spans="1:5" x14ac:dyDescent="0.3">
      <c r="A1284" s="219"/>
      <c r="B1284" s="90"/>
      <c r="C1284" s="78" t="s">
        <v>1185</v>
      </c>
      <c r="D1284" s="78" t="s">
        <v>2483</v>
      </c>
      <c r="E1284" s="78" t="s">
        <v>1481</v>
      </c>
    </row>
    <row r="1285" spans="1:5" x14ac:dyDescent="0.3">
      <c r="A1285" s="219"/>
      <c r="B1285" s="90"/>
      <c r="C1285" s="78" t="s">
        <v>1189</v>
      </c>
      <c r="D1285" s="78" t="s">
        <v>2484</v>
      </c>
      <c r="E1285" s="78" t="s">
        <v>1481</v>
      </c>
    </row>
    <row r="1286" spans="1:5" x14ac:dyDescent="0.3">
      <c r="A1286" s="219"/>
      <c r="B1286" s="90"/>
      <c r="C1286" s="78" t="s">
        <v>1193</v>
      </c>
      <c r="D1286" s="78" t="s">
        <v>2485</v>
      </c>
      <c r="E1286" s="78" t="s">
        <v>1481</v>
      </c>
    </row>
    <row r="1287" spans="1:5" x14ac:dyDescent="0.3">
      <c r="A1287" s="219"/>
      <c r="B1287" s="90"/>
      <c r="C1287" s="78" t="s">
        <v>1197</v>
      </c>
      <c r="D1287" s="78" t="s">
        <v>2486</v>
      </c>
      <c r="E1287" s="78" t="s">
        <v>1481</v>
      </c>
    </row>
    <row r="1288" spans="1:5" x14ac:dyDescent="0.3">
      <c r="A1288" s="219"/>
      <c r="B1288" s="90"/>
      <c r="C1288" s="78" t="s">
        <v>1201</v>
      </c>
      <c r="D1288" s="78" t="s">
        <v>2487</v>
      </c>
      <c r="E1288" s="78" t="s">
        <v>1481</v>
      </c>
    </row>
    <row r="1289" spans="1:5" x14ac:dyDescent="0.3">
      <c r="A1289" s="219"/>
      <c r="B1289" s="90"/>
      <c r="C1289" s="78" t="s">
        <v>1205</v>
      </c>
      <c r="D1289" s="78" t="s">
        <v>2488</v>
      </c>
      <c r="E1289" s="78" t="s">
        <v>1481</v>
      </c>
    </row>
    <row r="1290" spans="1:5" x14ac:dyDescent="0.3">
      <c r="A1290" s="219"/>
      <c r="B1290" s="90"/>
      <c r="C1290" s="78" t="s">
        <v>1209</v>
      </c>
      <c r="D1290" s="78" t="s">
        <v>2489</v>
      </c>
      <c r="E1290" s="78" t="s">
        <v>1481</v>
      </c>
    </row>
    <row r="1291" spans="1:5" x14ac:dyDescent="0.3">
      <c r="A1291" s="219"/>
      <c r="B1291" s="90"/>
      <c r="C1291" s="78" t="s">
        <v>1213</v>
      </c>
      <c r="D1291" s="78" t="s">
        <v>2490</v>
      </c>
      <c r="E1291" s="78" t="s">
        <v>1481</v>
      </c>
    </row>
    <row r="1292" spans="1:5" x14ac:dyDescent="0.3">
      <c r="A1292" s="219"/>
      <c r="B1292" s="90"/>
      <c r="C1292" s="78" t="s">
        <v>1217</v>
      </c>
      <c r="D1292" s="78" t="s">
        <v>2491</v>
      </c>
      <c r="E1292" s="78" t="s">
        <v>1481</v>
      </c>
    </row>
    <row r="1293" spans="1:5" x14ac:dyDescent="0.3">
      <c r="A1293" s="219"/>
      <c r="B1293" s="90"/>
      <c r="C1293" s="78" t="s">
        <v>1221</v>
      </c>
      <c r="D1293" s="78" t="s">
        <v>1223</v>
      </c>
      <c r="E1293" s="78" t="s">
        <v>1481</v>
      </c>
    </row>
    <row r="1294" spans="1:5" x14ac:dyDescent="0.3">
      <c r="A1294" s="219"/>
      <c r="B1294" s="90"/>
      <c r="C1294" s="78" t="s">
        <v>1225</v>
      </c>
      <c r="D1294" s="78" t="s">
        <v>1227</v>
      </c>
      <c r="E1294" s="78" t="s">
        <v>1481</v>
      </c>
    </row>
    <row r="1295" spans="1:5" x14ac:dyDescent="0.3">
      <c r="A1295" s="219"/>
      <c r="B1295" s="90"/>
      <c r="C1295" s="78" t="s">
        <v>1229</v>
      </c>
      <c r="D1295" s="78" t="s">
        <v>1231</v>
      </c>
      <c r="E1295" s="78" t="s">
        <v>1481</v>
      </c>
    </row>
    <row r="1296" spans="1:5" x14ac:dyDescent="0.3">
      <c r="A1296" s="219"/>
      <c r="B1296" s="90"/>
      <c r="C1296" s="78" t="s">
        <v>1233</v>
      </c>
      <c r="D1296" s="78" t="s">
        <v>1235</v>
      </c>
      <c r="E1296" s="78" t="s">
        <v>1481</v>
      </c>
    </row>
    <row r="1297" spans="1:5" x14ac:dyDescent="0.3">
      <c r="A1297" s="219"/>
      <c r="B1297" s="90"/>
      <c r="C1297" s="78" t="s">
        <v>1237</v>
      </c>
      <c r="D1297" s="78" t="s">
        <v>1239</v>
      </c>
      <c r="E1297" s="78" t="s">
        <v>1481</v>
      </c>
    </row>
    <row r="1298" spans="1:5" x14ac:dyDescent="0.3">
      <c r="A1298" s="219"/>
      <c r="B1298" s="90"/>
      <c r="C1298" s="78" t="s">
        <v>1241</v>
      </c>
      <c r="D1298" s="78" t="s">
        <v>1243</v>
      </c>
      <c r="E1298" s="78" t="s">
        <v>1481</v>
      </c>
    </row>
    <row r="1299" spans="1:5" x14ac:dyDescent="0.3">
      <c r="A1299" s="219"/>
      <c r="B1299" s="90"/>
      <c r="C1299" s="78" t="s">
        <v>1245</v>
      </c>
      <c r="D1299" s="78" t="s">
        <v>1247</v>
      </c>
      <c r="E1299" s="78" t="s">
        <v>1481</v>
      </c>
    </row>
    <row r="1300" spans="1:5" x14ac:dyDescent="0.3">
      <c r="A1300" s="219"/>
      <c r="B1300" s="90"/>
      <c r="C1300" s="78" t="s">
        <v>1249</v>
      </c>
      <c r="D1300" s="78" t="s">
        <v>1251</v>
      </c>
      <c r="E1300" s="78" t="s">
        <v>1481</v>
      </c>
    </row>
    <row r="1301" spans="1:5" x14ac:dyDescent="0.3">
      <c r="A1301" s="219"/>
      <c r="B1301" s="90"/>
      <c r="C1301" s="78" t="s">
        <v>1253</v>
      </c>
      <c r="D1301" s="78" t="s">
        <v>1255</v>
      </c>
      <c r="E1301" s="78" t="s">
        <v>1481</v>
      </c>
    </row>
    <row r="1302" spans="1:5" x14ac:dyDescent="0.3">
      <c r="A1302" s="219"/>
      <c r="B1302" s="90"/>
      <c r="C1302" s="78" t="s">
        <v>1257</v>
      </c>
      <c r="D1302" s="78" t="s">
        <v>1259</v>
      </c>
      <c r="E1302" s="78" t="s">
        <v>1481</v>
      </c>
    </row>
    <row r="1303" spans="1:5" x14ac:dyDescent="0.3">
      <c r="A1303" s="219"/>
      <c r="B1303" s="90"/>
      <c r="C1303" s="78" t="s">
        <v>1261</v>
      </c>
      <c r="D1303" s="78" t="s">
        <v>1263</v>
      </c>
      <c r="E1303" s="78" t="s">
        <v>1481</v>
      </c>
    </row>
    <row r="1304" spans="1:5" x14ac:dyDescent="0.3">
      <c r="A1304" s="219"/>
      <c r="B1304" s="90"/>
      <c r="C1304" s="78" t="s">
        <v>1265</v>
      </c>
      <c r="D1304" s="78" t="s">
        <v>1267</v>
      </c>
      <c r="E1304" s="78" t="s">
        <v>1481</v>
      </c>
    </row>
    <row r="1305" spans="1:5" x14ac:dyDescent="0.3">
      <c r="A1305" s="219"/>
      <c r="B1305" s="90"/>
      <c r="C1305" s="78" t="s">
        <v>1269</v>
      </c>
      <c r="D1305" s="78" t="s">
        <v>1271</v>
      </c>
      <c r="E1305" s="78" t="s">
        <v>1481</v>
      </c>
    </row>
    <row r="1306" spans="1:5" x14ac:dyDescent="0.3">
      <c r="A1306" s="219"/>
      <c r="B1306" s="90"/>
      <c r="C1306" s="78" t="s">
        <v>1274</v>
      </c>
      <c r="D1306" s="78" t="s">
        <v>1276</v>
      </c>
      <c r="E1306" s="78" t="s">
        <v>1481</v>
      </c>
    </row>
    <row r="1307" spans="1:5" x14ac:dyDescent="0.3">
      <c r="A1307" s="219"/>
      <c r="B1307" s="90"/>
      <c r="C1307" s="78" t="s">
        <v>1278</v>
      </c>
      <c r="D1307" s="78" t="s">
        <v>1280</v>
      </c>
      <c r="E1307" s="78" t="s">
        <v>1481</v>
      </c>
    </row>
    <row r="1308" spans="1:5" x14ac:dyDescent="0.3">
      <c r="A1308" s="219"/>
      <c r="B1308" s="90"/>
      <c r="C1308" s="78" t="s">
        <v>1282</v>
      </c>
      <c r="D1308" s="78" t="s">
        <v>1284</v>
      </c>
      <c r="E1308" s="78" t="s">
        <v>1481</v>
      </c>
    </row>
    <row r="1309" spans="1:5" x14ac:dyDescent="0.3">
      <c r="A1309" s="219"/>
      <c r="B1309" s="90"/>
      <c r="C1309" s="78" t="s">
        <v>1286</v>
      </c>
      <c r="D1309" s="78" t="s">
        <v>2492</v>
      </c>
      <c r="E1309" s="78" t="s">
        <v>1481</v>
      </c>
    </row>
    <row r="1310" spans="1:5" x14ac:dyDescent="0.3">
      <c r="A1310" s="219"/>
      <c r="B1310" s="90"/>
      <c r="C1310" s="78" t="s">
        <v>1290</v>
      </c>
      <c r="D1310" s="78" t="s">
        <v>2493</v>
      </c>
      <c r="E1310" s="78" t="s">
        <v>1481</v>
      </c>
    </row>
    <row r="1311" spans="1:5" x14ac:dyDescent="0.3">
      <c r="A1311" s="219"/>
      <c r="B1311" s="90"/>
      <c r="C1311" s="78" t="s">
        <v>1294</v>
      </c>
      <c r="D1311" s="78" t="s">
        <v>2494</v>
      </c>
      <c r="E1311" s="78" t="s">
        <v>1481</v>
      </c>
    </row>
    <row r="1312" spans="1:5" x14ac:dyDescent="0.3">
      <c r="A1312" s="219"/>
      <c r="B1312" s="90"/>
      <c r="C1312" s="78" t="s">
        <v>1298</v>
      </c>
      <c r="D1312" s="78" t="s">
        <v>2495</v>
      </c>
      <c r="E1312" s="78" t="s">
        <v>1481</v>
      </c>
    </row>
    <row r="1313" spans="1:5" x14ac:dyDescent="0.3">
      <c r="A1313" s="219"/>
      <c r="B1313" s="90"/>
      <c r="C1313" s="78" t="s">
        <v>1302</v>
      </c>
      <c r="D1313" s="78" t="s">
        <v>2496</v>
      </c>
      <c r="E1313" s="78" t="s">
        <v>1481</v>
      </c>
    </row>
    <row r="1314" spans="1:5" x14ac:dyDescent="0.3">
      <c r="A1314" s="219"/>
      <c r="B1314" s="90"/>
      <c r="C1314" s="78" t="s">
        <v>1306</v>
      </c>
      <c r="D1314" s="78" t="s">
        <v>2497</v>
      </c>
      <c r="E1314" s="78" t="s">
        <v>1481</v>
      </c>
    </row>
    <row r="1315" spans="1:5" x14ac:dyDescent="0.3">
      <c r="A1315" s="219"/>
      <c r="B1315" s="90"/>
      <c r="C1315" s="78" t="s">
        <v>1310</v>
      </c>
      <c r="D1315" s="78" t="s">
        <v>2498</v>
      </c>
      <c r="E1315" s="78" t="s">
        <v>1481</v>
      </c>
    </row>
    <row r="1316" spans="1:5" x14ac:dyDescent="0.3">
      <c r="A1316" s="219"/>
      <c r="B1316" s="90"/>
      <c r="C1316" s="78" t="s">
        <v>1314</v>
      </c>
      <c r="D1316" s="78" t="s">
        <v>2499</v>
      </c>
      <c r="E1316" s="78" t="s">
        <v>1481</v>
      </c>
    </row>
    <row r="1317" spans="1:5" x14ac:dyDescent="0.3">
      <c r="A1317" s="219"/>
      <c r="B1317" s="90"/>
      <c r="C1317" s="78" t="s">
        <v>1318</v>
      </c>
      <c r="D1317" s="78" t="s">
        <v>2500</v>
      </c>
      <c r="E1317" s="78" t="s">
        <v>1481</v>
      </c>
    </row>
    <row r="1318" spans="1:5" x14ac:dyDescent="0.3">
      <c r="A1318" s="219"/>
      <c r="B1318" s="90"/>
      <c r="C1318" s="78" t="s">
        <v>1322</v>
      </c>
      <c r="D1318" s="78" t="s">
        <v>2501</v>
      </c>
      <c r="E1318" s="78" t="s">
        <v>1481</v>
      </c>
    </row>
    <row r="1319" spans="1:5" x14ac:dyDescent="0.3">
      <c r="A1319" s="219"/>
      <c r="B1319" s="90"/>
      <c r="C1319" s="78" t="s">
        <v>1326</v>
      </c>
      <c r="D1319" s="78" t="s">
        <v>2502</v>
      </c>
      <c r="E1319" s="78" t="s">
        <v>1481</v>
      </c>
    </row>
    <row r="1320" spans="1:5" x14ac:dyDescent="0.3">
      <c r="A1320" s="219"/>
      <c r="B1320" s="90"/>
      <c r="C1320" s="78" t="s">
        <v>1330</v>
      </c>
      <c r="D1320" s="78" t="s">
        <v>2503</v>
      </c>
      <c r="E1320" s="78" t="s">
        <v>1481</v>
      </c>
    </row>
    <row r="1321" spans="1:5" x14ac:dyDescent="0.3">
      <c r="A1321" s="219"/>
      <c r="B1321" s="90"/>
      <c r="C1321" s="78" t="s">
        <v>1334</v>
      </c>
      <c r="D1321" s="78" t="s">
        <v>2504</v>
      </c>
      <c r="E1321" s="78" t="s">
        <v>1481</v>
      </c>
    </row>
    <row r="1322" spans="1:5" x14ac:dyDescent="0.3">
      <c r="A1322" s="219"/>
      <c r="B1322" s="90"/>
      <c r="C1322" s="78" t="s">
        <v>1338</v>
      </c>
      <c r="D1322" s="78" t="s">
        <v>2505</v>
      </c>
      <c r="E1322" s="78" t="s">
        <v>1481</v>
      </c>
    </row>
    <row r="1323" spans="1:5" x14ac:dyDescent="0.3">
      <c r="A1323" s="219"/>
      <c r="B1323" s="90"/>
      <c r="C1323" s="78" t="s">
        <v>1342</v>
      </c>
      <c r="D1323" s="78" t="s">
        <v>2506</v>
      </c>
      <c r="E1323" s="78" t="s">
        <v>1481</v>
      </c>
    </row>
    <row r="1324" spans="1:5" x14ac:dyDescent="0.3">
      <c r="A1324" s="219"/>
      <c r="B1324" s="90"/>
      <c r="C1324" s="78" t="s">
        <v>1346</v>
      </c>
      <c r="D1324" s="78" t="s">
        <v>2507</v>
      </c>
      <c r="E1324" s="78" t="s">
        <v>1481</v>
      </c>
    </row>
    <row r="1325" spans="1:5" x14ac:dyDescent="0.3">
      <c r="A1325" s="219"/>
      <c r="B1325" s="90"/>
      <c r="C1325" s="78" t="s">
        <v>1350</v>
      </c>
      <c r="D1325" s="78" t="s">
        <v>1352</v>
      </c>
      <c r="E1325" s="78" t="s">
        <v>1481</v>
      </c>
    </row>
    <row r="1326" spans="1:5" x14ac:dyDescent="0.3">
      <c r="A1326" s="219"/>
      <c r="B1326" s="90"/>
      <c r="C1326" s="78" t="s">
        <v>1354</v>
      </c>
      <c r="D1326" s="78" t="s">
        <v>1356</v>
      </c>
      <c r="E1326" s="78" t="s">
        <v>1481</v>
      </c>
    </row>
    <row r="1327" spans="1:5" x14ac:dyDescent="0.3">
      <c r="A1327" s="219"/>
      <c r="B1327" s="90"/>
      <c r="C1327" s="78" t="s">
        <v>1359</v>
      </c>
      <c r="D1327" s="78" t="s">
        <v>1361</v>
      </c>
      <c r="E1327" s="78" t="s">
        <v>1481</v>
      </c>
    </row>
    <row r="1328" spans="1:5" x14ac:dyDescent="0.3">
      <c r="A1328" s="219"/>
      <c r="B1328" s="90"/>
      <c r="C1328" s="78" t="s">
        <v>1364</v>
      </c>
      <c r="D1328" s="78" t="s">
        <v>1366</v>
      </c>
      <c r="E1328" s="78" t="s">
        <v>1481</v>
      </c>
    </row>
    <row r="1329" spans="1:5" x14ac:dyDescent="0.3">
      <c r="A1329" s="219"/>
      <c r="B1329" s="90"/>
      <c r="C1329" s="78" t="s">
        <v>1369</v>
      </c>
      <c r="D1329" s="78" t="s">
        <v>1371</v>
      </c>
      <c r="E1329" s="78" t="s">
        <v>1481</v>
      </c>
    </row>
    <row r="1330" spans="1:5" x14ac:dyDescent="0.3">
      <c r="A1330" s="219"/>
      <c r="B1330" s="90"/>
      <c r="C1330" s="78" t="s">
        <v>1374</v>
      </c>
      <c r="D1330" s="78" t="s">
        <v>1376</v>
      </c>
      <c r="E1330" s="78" t="s">
        <v>1481</v>
      </c>
    </row>
    <row r="1331" spans="1:5" x14ac:dyDescent="0.3">
      <c r="A1331" s="219"/>
      <c r="B1331" s="90"/>
      <c r="C1331" s="78" t="s">
        <v>1379</v>
      </c>
      <c r="D1331" s="78" t="s">
        <v>1381</v>
      </c>
      <c r="E1331" s="78" t="s">
        <v>1481</v>
      </c>
    </row>
    <row r="1332" spans="1:5" x14ac:dyDescent="0.3">
      <c r="A1332" s="219"/>
      <c r="B1332" s="90"/>
      <c r="C1332" s="78" t="s">
        <v>1384</v>
      </c>
      <c r="D1332" s="78" t="s">
        <v>1386</v>
      </c>
      <c r="E1332" s="78" t="s">
        <v>1481</v>
      </c>
    </row>
    <row r="1333" spans="1:5" x14ac:dyDescent="0.3">
      <c r="A1333" s="219"/>
      <c r="B1333" s="90"/>
      <c r="C1333" s="78" t="s">
        <v>1389</v>
      </c>
      <c r="D1333" s="78" t="s">
        <v>1391</v>
      </c>
      <c r="E1333" s="78" t="s">
        <v>1481</v>
      </c>
    </row>
    <row r="1334" spans="1:5" x14ac:dyDescent="0.3">
      <c r="A1334" s="219"/>
      <c r="B1334" s="90"/>
      <c r="C1334" s="78" t="s">
        <v>1394</v>
      </c>
      <c r="D1334" s="78" t="s">
        <v>1396</v>
      </c>
      <c r="E1334" s="78" t="s">
        <v>1481</v>
      </c>
    </row>
    <row r="1335" spans="1:5" x14ac:dyDescent="0.3">
      <c r="A1335" s="219"/>
      <c r="B1335" s="90"/>
      <c r="C1335" s="78" t="s">
        <v>1399</v>
      </c>
      <c r="D1335" s="78" t="s">
        <v>1401</v>
      </c>
      <c r="E1335" s="78" t="s">
        <v>1481</v>
      </c>
    </row>
    <row r="1336" spans="1:5" x14ac:dyDescent="0.3">
      <c r="A1336" s="219"/>
      <c r="B1336" s="90"/>
      <c r="C1336" s="78" t="s">
        <v>1404</v>
      </c>
      <c r="D1336" s="78" t="s">
        <v>1406</v>
      </c>
      <c r="E1336" s="78" t="s">
        <v>1481</v>
      </c>
    </row>
    <row r="1340" spans="1:5" x14ac:dyDescent="0.3">
      <c r="A1340" s="267" t="s">
        <v>2657</v>
      </c>
      <c r="B1340" s="134" t="s">
        <v>3</v>
      </c>
      <c r="C1340" s="134" t="s">
        <v>4</v>
      </c>
      <c r="D1340" s="134" t="s">
        <v>1534</v>
      </c>
      <c r="E1340" s="134"/>
    </row>
    <row r="1341" spans="1:5" x14ac:dyDescent="0.3">
      <c r="A1341" s="218">
        <v>1</v>
      </c>
      <c r="B1341" s="78">
        <v>4</v>
      </c>
      <c r="C1341" s="78" t="s">
        <v>57</v>
      </c>
      <c r="D1341" s="78" t="s">
        <v>2181</v>
      </c>
      <c r="E1341" s="78" t="s">
        <v>1513</v>
      </c>
    </row>
    <row r="1342" spans="1:5" x14ac:dyDescent="0.3">
      <c r="A1342" s="218">
        <v>4</v>
      </c>
      <c r="B1342" s="78">
        <v>8</v>
      </c>
      <c r="C1342" s="78" t="s">
        <v>111</v>
      </c>
      <c r="D1342" s="78" t="s">
        <v>2074</v>
      </c>
      <c r="E1342" s="78" t="s">
        <v>1513</v>
      </c>
    </row>
    <row r="1343" spans="1:5" x14ac:dyDescent="0.3">
      <c r="A1343" s="218">
        <v>5</v>
      </c>
      <c r="B1343" s="78">
        <v>9</v>
      </c>
      <c r="C1343" s="78" t="s">
        <v>123</v>
      </c>
      <c r="D1343" s="78" t="s">
        <v>2169</v>
      </c>
      <c r="E1343" s="78" t="s">
        <v>1513</v>
      </c>
    </row>
    <row r="1344" spans="1:5" x14ac:dyDescent="0.3">
      <c r="A1344" s="219"/>
      <c r="B1344" s="78">
        <v>12</v>
      </c>
      <c r="C1344" s="78" t="s">
        <v>154</v>
      </c>
      <c r="D1344" s="78" t="s">
        <v>2159</v>
      </c>
      <c r="E1344" s="78" t="s">
        <v>1513</v>
      </c>
    </row>
    <row r="1345" spans="1:5" x14ac:dyDescent="0.3">
      <c r="A1345" s="219"/>
      <c r="B1345" s="78">
        <v>26</v>
      </c>
      <c r="C1345" s="78" t="s">
        <v>214</v>
      </c>
      <c r="D1345" s="78" t="s">
        <v>218</v>
      </c>
      <c r="E1345" s="78" t="s">
        <v>1513</v>
      </c>
    </row>
    <row r="1346" spans="1:5" x14ac:dyDescent="0.3">
      <c r="A1346" s="219"/>
      <c r="B1346" s="78">
        <v>41</v>
      </c>
      <c r="C1346" s="78" t="s">
        <v>337</v>
      </c>
      <c r="D1346" s="78" t="s">
        <v>343</v>
      </c>
      <c r="E1346" s="78" t="s">
        <v>1513</v>
      </c>
    </row>
    <row r="1347" spans="1:5" x14ac:dyDescent="0.3">
      <c r="A1347" s="218">
        <v>48</v>
      </c>
      <c r="B1347" s="78">
        <v>79</v>
      </c>
      <c r="C1347" s="78" t="s">
        <v>603</v>
      </c>
      <c r="D1347" s="78" t="s">
        <v>610</v>
      </c>
      <c r="E1347" s="78" t="s">
        <v>1513</v>
      </c>
    </row>
    <row r="1348" spans="1:5" x14ac:dyDescent="0.3">
      <c r="A1348" s="218">
        <v>51</v>
      </c>
      <c r="B1348" s="78">
        <v>90</v>
      </c>
      <c r="C1348" s="78" t="s">
        <v>684</v>
      </c>
      <c r="D1348" s="78" t="s">
        <v>2008</v>
      </c>
      <c r="E1348" s="78" t="s">
        <v>1513</v>
      </c>
    </row>
    <row r="1349" spans="1:5" x14ac:dyDescent="0.3">
      <c r="A1349" s="218">
        <v>54</v>
      </c>
      <c r="B1349" s="78">
        <v>95</v>
      </c>
      <c r="C1349" s="78" t="s">
        <v>719</v>
      </c>
      <c r="D1349" s="78" t="s">
        <v>1777</v>
      </c>
      <c r="E1349" s="78" t="s">
        <v>1513</v>
      </c>
    </row>
    <row r="1350" spans="1:5" x14ac:dyDescent="0.3">
      <c r="A1350" s="218">
        <v>55</v>
      </c>
      <c r="B1350" s="78">
        <v>97</v>
      </c>
      <c r="C1350" s="78" t="s">
        <v>732</v>
      </c>
      <c r="D1350" s="78" t="s">
        <v>1999</v>
      </c>
      <c r="E1350" s="78" t="s">
        <v>1513</v>
      </c>
    </row>
    <row r="1351" spans="1:5" x14ac:dyDescent="0.3">
      <c r="A1351" s="218">
        <v>58</v>
      </c>
      <c r="B1351" s="78">
        <v>102</v>
      </c>
      <c r="C1351" s="78" t="s">
        <v>762</v>
      </c>
      <c r="D1351" s="78" t="s">
        <v>1596</v>
      </c>
      <c r="E1351" s="78" t="s">
        <v>1513</v>
      </c>
    </row>
    <row r="1352" spans="1:5" x14ac:dyDescent="0.3">
      <c r="A1352" s="218">
        <v>63</v>
      </c>
      <c r="B1352" s="78">
        <v>110</v>
      </c>
      <c r="C1352" s="78" t="s">
        <v>787</v>
      </c>
      <c r="D1352" s="78" t="s">
        <v>1895</v>
      </c>
      <c r="E1352" s="78" t="s">
        <v>1513</v>
      </c>
    </row>
    <row r="1353" spans="1:5" x14ac:dyDescent="0.3">
      <c r="A1353" s="218">
        <v>64</v>
      </c>
      <c r="B1353" s="78">
        <v>112</v>
      </c>
      <c r="C1353" s="78" t="s">
        <v>800</v>
      </c>
      <c r="D1353" s="78" t="s">
        <v>1889</v>
      </c>
      <c r="E1353" s="78" t="s">
        <v>1513</v>
      </c>
    </row>
    <row r="1354" spans="1:5" x14ac:dyDescent="0.3">
      <c r="A1354" s="218">
        <v>65</v>
      </c>
      <c r="B1354" s="78">
        <v>113</v>
      </c>
      <c r="C1354" s="78" t="s">
        <v>805</v>
      </c>
      <c r="D1354" s="78" t="s">
        <v>1884</v>
      </c>
      <c r="E1354" s="78" t="s">
        <v>1513</v>
      </c>
    </row>
    <row r="1355" spans="1:5" x14ac:dyDescent="0.3">
      <c r="A1355" s="218">
        <v>67</v>
      </c>
      <c r="B1355" s="78">
        <v>116</v>
      </c>
      <c r="C1355" s="78" t="s">
        <v>823</v>
      </c>
      <c r="D1355" s="78" t="s">
        <v>1869</v>
      </c>
      <c r="E1355" s="78" t="s">
        <v>1513</v>
      </c>
    </row>
    <row r="1356" spans="1:5" x14ac:dyDescent="0.3">
      <c r="A1356" s="218">
        <v>68</v>
      </c>
      <c r="B1356" s="78">
        <v>117</v>
      </c>
      <c r="C1356" s="78" t="s">
        <v>829</v>
      </c>
      <c r="D1356" s="78" t="s">
        <v>1859</v>
      </c>
      <c r="E1356" s="78" t="s">
        <v>1513</v>
      </c>
    </row>
    <row r="1357" spans="1:5" x14ac:dyDescent="0.3">
      <c r="A1357" s="218">
        <v>69</v>
      </c>
      <c r="B1357" s="78">
        <v>119</v>
      </c>
      <c r="C1357" s="78" t="s">
        <v>842</v>
      </c>
      <c r="D1357" s="78" t="s">
        <v>2090</v>
      </c>
      <c r="E1357" s="78" t="s">
        <v>1513</v>
      </c>
    </row>
    <row r="1358" spans="1:5" x14ac:dyDescent="0.3">
      <c r="A1358" s="218">
        <v>70</v>
      </c>
      <c r="B1358" s="78">
        <v>120</v>
      </c>
      <c r="C1358" s="78" t="s">
        <v>848</v>
      </c>
      <c r="D1358" s="78" t="s">
        <v>2085</v>
      </c>
      <c r="E1358" s="78" t="s">
        <v>1513</v>
      </c>
    </row>
    <row r="1359" spans="1:5" x14ac:dyDescent="0.3">
      <c r="A1359" s="218">
        <v>71</v>
      </c>
      <c r="B1359" s="78">
        <v>121</v>
      </c>
      <c r="C1359" s="78" t="s">
        <v>855</v>
      </c>
      <c r="D1359" s="78" t="s">
        <v>2078</v>
      </c>
      <c r="E1359" s="78" t="s">
        <v>1513</v>
      </c>
    </row>
    <row r="1360" spans="1:5" x14ac:dyDescent="0.3">
      <c r="A1360" s="218">
        <v>73</v>
      </c>
      <c r="B1360" s="78">
        <v>124</v>
      </c>
      <c r="C1360" s="78" t="s">
        <v>876</v>
      </c>
      <c r="D1360" s="78" t="s">
        <v>1550</v>
      </c>
      <c r="E1360" s="78" t="s">
        <v>1513</v>
      </c>
    </row>
    <row r="1361" spans="1:5" x14ac:dyDescent="0.3">
      <c r="A1361" s="218">
        <v>74</v>
      </c>
      <c r="B1361" s="78">
        <v>126</v>
      </c>
      <c r="C1361" s="78" t="s">
        <v>888</v>
      </c>
      <c r="D1361" s="78" t="s">
        <v>1850</v>
      </c>
      <c r="E1361" s="78" t="s">
        <v>1513</v>
      </c>
    </row>
    <row r="1362" spans="1:5" x14ac:dyDescent="0.3">
      <c r="A1362" s="218">
        <v>76</v>
      </c>
      <c r="B1362" s="78">
        <v>130</v>
      </c>
      <c r="C1362" s="78" t="s">
        <v>903</v>
      </c>
      <c r="D1362" s="78" t="s">
        <v>1836</v>
      </c>
      <c r="E1362" s="78" t="s">
        <v>1513</v>
      </c>
    </row>
    <row r="1363" spans="1:5" x14ac:dyDescent="0.3">
      <c r="A1363" s="218">
        <v>77</v>
      </c>
      <c r="B1363" s="78">
        <v>133</v>
      </c>
      <c r="C1363" s="78" t="s">
        <v>921</v>
      </c>
      <c r="D1363" s="78" t="s">
        <v>1827</v>
      </c>
      <c r="E1363" s="78" t="s">
        <v>1513</v>
      </c>
    </row>
    <row r="1364" spans="1:5" x14ac:dyDescent="0.3">
      <c r="A1364" s="218">
        <v>78</v>
      </c>
      <c r="B1364" s="78">
        <v>135</v>
      </c>
      <c r="C1364" s="78" t="s">
        <v>932</v>
      </c>
      <c r="D1364" s="78" t="s">
        <v>1533</v>
      </c>
      <c r="E1364" s="78" t="s">
        <v>1513</v>
      </c>
    </row>
    <row r="1365" spans="1:5" x14ac:dyDescent="0.3">
      <c r="A1365" s="218">
        <v>80</v>
      </c>
      <c r="B1365" s="78">
        <v>140</v>
      </c>
      <c r="C1365" s="78" t="s">
        <v>964</v>
      </c>
      <c r="D1365" s="78" t="s">
        <v>1990</v>
      </c>
      <c r="E1365" s="78" t="s">
        <v>1513</v>
      </c>
    </row>
    <row r="1366" spans="1:5" x14ac:dyDescent="0.3">
      <c r="A1366" s="218">
        <v>81</v>
      </c>
      <c r="B1366" s="78">
        <v>141</v>
      </c>
      <c r="C1366" s="78" t="s">
        <v>970</v>
      </c>
      <c r="D1366" s="78" t="s">
        <v>1983</v>
      </c>
      <c r="E1366" s="78" t="s">
        <v>1513</v>
      </c>
    </row>
    <row r="1367" spans="1:5" x14ac:dyDescent="0.3">
      <c r="A1367" s="218">
        <v>82</v>
      </c>
      <c r="B1367" s="78">
        <v>143</v>
      </c>
      <c r="C1367" s="78" t="s">
        <v>980</v>
      </c>
      <c r="D1367" s="78" t="s">
        <v>1700</v>
      </c>
      <c r="E1367" s="78" t="s">
        <v>1513</v>
      </c>
    </row>
    <row r="1368" spans="1:5" x14ac:dyDescent="0.3">
      <c r="A1368" s="218">
        <v>83</v>
      </c>
      <c r="B1368" s="78">
        <v>145</v>
      </c>
      <c r="C1368" s="78" t="s">
        <v>992</v>
      </c>
      <c r="D1368" s="78" t="s">
        <v>1689</v>
      </c>
      <c r="E1368" s="78" t="s">
        <v>1513</v>
      </c>
    </row>
    <row r="1369" spans="1:5" x14ac:dyDescent="0.3">
      <c r="A1369" s="218">
        <v>84</v>
      </c>
      <c r="B1369" s="78">
        <v>146</v>
      </c>
      <c r="C1369" s="78" t="s">
        <v>998</v>
      </c>
      <c r="D1369" s="78" t="s">
        <v>2162</v>
      </c>
      <c r="E1369" s="78" t="s">
        <v>1513</v>
      </c>
    </row>
    <row r="1370" spans="1:5" x14ac:dyDescent="0.3">
      <c r="A1370" s="218">
        <v>85</v>
      </c>
      <c r="B1370" s="78">
        <v>147</v>
      </c>
      <c r="C1370" s="78" t="s">
        <v>1003</v>
      </c>
      <c r="D1370" s="78" t="s">
        <v>2153</v>
      </c>
      <c r="E1370" s="78" t="s">
        <v>1513</v>
      </c>
    </row>
    <row r="1371" spans="1:5" x14ac:dyDescent="0.3">
      <c r="A1371" s="218">
        <v>89</v>
      </c>
      <c r="B1371" s="78">
        <v>155</v>
      </c>
      <c r="C1371" s="78" t="s">
        <v>1027</v>
      </c>
      <c r="D1371" s="78" t="s">
        <v>1671</v>
      </c>
      <c r="E1371" s="78" t="s">
        <v>1513</v>
      </c>
    </row>
    <row r="1372" spans="1:5" x14ac:dyDescent="0.3">
      <c r="A1372" s="218">
        <v>94</v>
      </c>
      <c r="B1372" s="78">
        <v>163</v>
      </c>
      <c r="C1372" s="78" t="s">
        <v>1070</v>
      </c>
      <c r="D1372" s="78" t="s">
        <v>2149</v>
      </c>
      <c r="E1372" s="78" t="s">
        <v>1513</v>
      </c>
    </row>
    <row r="1373" spans="1:5" x14ac:dyDescent="0.3">
      <c r="A1373" s="218">
        <v>99</v>
      </c>
      <c r="B1373" s="78">
        <v>171</v>
      </c>
      <c r="C1373" s="78" t="s">
        <v>1106</v>
      </c>
      <c r="D1373" s="78" t="s">
        <v>1633</v>
      </c>
      <c r="E1373" s="78" t="s">
        <v>1513</v>
      </c>
    </row>
    <row r="1374" spans="1:5" x14ac:dyDescent="0.3">
      <c r="A1374" s="218">
        <v>100</v>
      </c>
      <c r="B1374" s="78">
        <v>172</v>
      </c>
      <c r="C1374" s="78" t="s">
        <v>1112</v>
      </c>
      <c r="D1374" s="78" t="s">
        <v>1621</v>
      </c>
      <c r="E1374" s="78" t="s">
        <v>1513</v>
      </c>
    </row>
    <row r="1375" spans="1:5" x14ac:dyDescent="0.3">
      <c r="A1375" s="219"/>
      <c r="B1375" s="78">
        <v>3</v>
      </c>
      <c r="C1375" s="78" t="s">
        <v>47</v>
      </c>
      <c r="D1375" s="78" t="s">
        <v>1726</v>
      </c>
      <c r="E1375" s="78" t="s">
        <v>1513</v>
      </c>
    </row>
    <row r="1376" spans="1:5" x14ac:dyDescent="0.3">
      <c r="A1376" s="219"/>
      <c r="B1376" s="78">
        <v>15</v>
      </c>
      <c r="C1376" s="78" t="s">
        <v>182</v>
      </c>
      <c r="D1376" s="78" t="s">
        <v>1745</v>
      </c>
      <c r="E1376" s="78" t="s">
        <v>1513</v>
      </c>
    </row>
    <row r="1377" spans="1:5" x14ac:dyDescent="0.3">
      <c r="A1377" s="219"/>
      <c r="B1377" s="90"/>
      <c r="C1377" s="78" t="s">
        <v>1417</v>
      </c>
      <c r="D1377" s="78" t="s">
        <v>1420</v>
      </c>
      <c r="E1377" s="78" t="s">
        <v>1513</v>
      </c>
    </row>
    <row r="1378" spans="1:5" x14ac:dyDescent="0.3">
      <c r="A1378" s="219"/>
      <c r="B1378" s="78">
        <v>33</v>
      </c>
      <c r="C1378" s="78" t="s">
        <v>276</v>
      </c>
      <c r="D1378" s="78" t="s">
        <v>282</v>
      </c>
      <c r="E1378" s="78" t="s">
        <v>1513</v>
      </c>
    </row>
    <row r="1379" spans="1:5" x14ac:dyDescent="0.3">
      <c r="A1379" s="219"/>
      <c r="B1379" s="78">
        <v>43</v>
      </c>
      <c r="C1379" s="78" t="s">
        <v>353</v>
      </c>
      <c r="D1379" s="78" t="s">
        <v>358</v>
      </c>
      <c r="E1379" s="78" t="s">
        <v>1513</v>
      </c>
    </row>
    <row r="1380" spans="1:5" x14ac:dyDescent="0.3">
      <c r="A1380" s="219"/>
      <c r="B1380" s="78">
        <v>45</v>
      </c>
      <c r="C1380" s="78" t="s">
        <v>368</v>
      </c>
      <c r="D1380" s="78" t="s">
        <v>374</v>
      </c>
      <c r="E1380" s="78" t="s">
        <v>1513</v>
      </c>
    </row>
    <row r="1381" spans="1:5" x14ac:dyDescent="0.3">
      <c r="A1381" s="219"/>
      <c r="B1381" s="78">
        <v>69</v>
      </c>
      <c r="C1381" s="78" t="s">
        <v>533</v>
      </c>
      <c r="D1381" s="78" t="s">
        <v>540</v>
      </c>
      <c r="E1381" s="78" t="s">
        <v>1513</v>
      </c>
    </row>
    <row r="1382" spans="1:5" x14ac:dyDescent="0.3">
      <c r="A1382" s="219"/>
      <c r="B1382" s="78">
        <v>73</v>
      </c>
      <c r="C1382" s="78" t="s">
        <v>568</v>
      </c>
      <c r="D1382" s="78" t="s">
        <v>573</v>
      </c>
      <c r="E1382" s="78" t="s">
        <v>1513</v>
      </c>
    </row>
    <row r="1383" spans="1:5" x14ac:dyDescent="0.3">
      <c r="A1383" s="219"/>
      <c r="B1383" s="78">
        <v>76</v>
      </c>
      <c r="C1383" s="78" t="s">
        <v>594</v>
      </c>
      <c r="D1383" s="78" t="s">
        <v>599</v>
      </c>
      <c r="E1383" s="78" t="s">
        <v>1513</v>
      </c>
    </row>
    <row r="1384" spans="1:5" x14ac:dyDescent="0.3">
      <c r="A1384" s="219"/>
      <c r="B1384" s="78">
        <v>82</v>
      </c>
      <c r="C1384" s="78" t="s">
        <v>628</v>
      </c>
      <c r="D1384" s="78" t="s">
        <v>633</v>
      </c>
      <c r="E1384" s="78" t="s">
        <v>1513</v>
      </c>
    </row>
    <row r="1385" spans="1:5" x14ac:dyDescent="0.3">
      <c r="A1385" s="219"/>
      <c r="B1385" s="78">
        <v>85</v>
      </c>
      <c r="C1385" s="78" t="s">
        <v>651</v>
      </c>
      <c r="D1385" s="78" t="s">
        <v>655</v>
      </c>
      <c r="E1385" s="78" t="s">
        <v>1513</v>
      </c>
    </row>
    <row r="1386" spans="1:5" x14ac:dyDescent="0.3">
      <c r="A1386" s="219"/>
      <c r="B1386" s="78">
        <v>87</v>
      </c>
      <c r="C1386" s="78" t="s">
        <v>665</v>
      </c>
      <c r="D1386" s="78" t="s">
        <v>2049</v>
      </c>
      <c r="E1386" s="78" t="s">
        <v>1513</v>
      </c>
    </row>
    <row r="1387" spans="1:5" x14ac:dyDescent="0.3">
      <c r="A1387" s="219"/>
      <c r="B1387" s="78">
        <v>88</v>
      </c>
      <c r="C1387" s="78" t="s">
        <v>671</v>
      </c>
      <c r="D1387" s="78" t="s">
        <v>2054</v>
      </c>
      <c r="E1387" s="78" t="s">
        <v>1513</v>
      </c>
    </row>
    <row r="1388" spans="1:5" x14ac:dyDescent="0.3">
      <c r="A1388" s="219"/>
      <c r="B1388" s="78">
        <v>89</v>
      </c>
      <c r="C1388" s="78" t="s">
        <v>678</v>
      </c>
      <c r="D1388" s="78" t="s">
        <v>2058</v>
      </c>
      <c r="E1388" s="78" t="s">
        <v>1513</v>
      </c>
    </row>
    <row r="1389" spans="1:5" x14ac:dyDescent="0.3">
      <c r="A1389" s="219"/>
      <c r="B1389" s="78">
        <v>91</v>
      </c>
      <c r="C1389" s="78" t="s">
        <v>692</v>
      </c>
      <c r="D1389" s="78" t="s">
        <v>2062</v>
      </c>
      <c r="E1389" s="78" t="s">
        <v>1513</v>
      </c>
    </row>
    <row r="1390" spans="1:5" x14ac:dyDescent="0.3">
      <c r="A1390" s="219"/>
      <c r="B1390" s="78">
        <v>99</v>
      </c>
      <c r="C1390" s="78" t="s">
        <v>744</v>
      </c>
      <c r="D1390" s="78" t="s">
        <v>749</v>
      </c>
      <c r="E1390" s="78" t="s">
        <v>1513</v>
      </c>
    </row>
    <row r="1391" spans="1:5" x14ac:dyDescent="0.3">
      <c r="A1391" s="219"/>
      <c r="B1391" s="78">
        <v>103</v>
      </c>
      <c r="C1391" s="78" t="s">
        <v>767</v>
      </c>
      <c r="D1391" s="78" t="s">
        <v>2071</v>
      </c>
      <c r="E1391" s="78" t="s">
        <v>1513</v>
      </c>
    </row>
    <row r="1392" spans="1:5" x14ac:dyDescent="0.3">
      <c r="A1392" s="219"/>
      <c r="B1392" s="78">
        <v>111</v>
      </c>
      <c r="C1392" s="78" t="s">
        <v>793</v>
      </c>
      <c r="D1392" s="78" t="s">
        <v>2126</v>
      </c>
      <c r="E1392" s="78" t="s">
        <v>1513</v>
      </c>
    </row>
    <row r="1393" spans="1:5" x14ac:dyDescent="0.3">
      <c r="A1393" s="219"/>
      <c r="B1393" s="78">
        <v>122</v>
      </c>
      <c r="C1393" s="78" t="s">
        <v>862</v>
      </c>
      <c r="D1393" s="78" t="s">
        <v>2130</v>
      </c>
      <c r="E1393" s="78" t="s">
        <v>1513</v>
      </c>
    </row>
    <row r="1394" spans="1:5" x14ac:dyDescent="0.3">
      <c r="A1394" s="219"/>
      <c r="B1394" s="78">
        <v>132</v>
      </c>
      <c r="C1394" s="78" t="s">
        <v>915</v>
      </c>
      <c r="D1394" s="78" t="s">
        <v>2137</v>
      </c>
      <c r="E1394" s="78" t="s">
        <v>1513</v>
      </c>
    </row>
    <row r="1395" spans="1:5" x14ac:dyDescent="0.3">
      <c r="A1395" s="219"/>
      <c r="B1395" s="78">
        <v>136</v>
      </c>
      <c r="C1395" s="78" t="s">
        <v>939</v>
      </c>
      <c r="D1395" s="78" t="s">
        <v>2141</v>
      </c>
      <c r="E1395" s="78" t="s">
        <v>1513</v>
      </c>
    </row>
    <row r="1396" spans="1:5" x14ac:dyDescent="0.3">
      <c r="A1396" s="219"/>
      <c r="B1396" s="78">
        <v>139</v>
      </c>
      <c r="C1396" s="78" t="s">
        <v>959</v>
      </c>
      <c r="D1396" s="78" t="s">
        <v>2146</v>
      </c>
      <c r="E1396" s="78" t="s">
        <v>1513</v>
      </c>
    </row>
    <row r="1397" spans="1:5" x14ac:dyDescent="0.3">
      <c r="A1397" s="219"/>
      <c r="B1397" s="78">
        <v>144</v>
      </c>
      <c r="C1397" s="78" t="s">
        <v>987</v>
      </c>
      <c r="D1397" s="78" t="s">
        <v>2186</v>
      </c>
      <c r="E1397" s="78" t="s">
        <v>1513</v>
      </c>
    </row>
    <row r="1398" spans="1:5" x14ac:dyDescent="0.3">
      <c r="A1398" s="219"/>
      <c r="B1398" s="78">
        <v>153</v>
      </c>
      <c r="C1398" s="78" t="s">
        <v>1017</v>
      </c>
      <c r="D1398" s="78" t="s">
        <v>2190</v>
      </c>
      <c r="E1398" s="78" t="s">
        <v>1513</v>
      </c>
    </row>
    <row r="1399" spans="1:5" x14ac:dyDescent="0.3">
      <c r="A1399" s="219"/>
      <c r="B1399" s="78">
        <v>156</v>
      </c>
      <c r="C1399" s="78" t="s">
        <v>1033</v>
      </c>
      <c r="D1399" s="78" t="s">
        <v>2194</v>
      </c>
      <c r="E1399" s="78" t="s">
        <v>1513</v>
      </c>
    </row>
    <row r="1400" spans="1:5" x14ac:dyDescent="0.3">
      <c r="A1400" s="219"/>
      <c r="B1400" s="78">
        <v>158</v>
      </c>
      <c r="C1400" s="78" t="s">
        <v>1043</v>
      </c>
      <c r="D1400" s="78" t="s">
        <v>2199</v>
      </c>
      <c r="E1400" s="78" t="s">
        <v>1513</v>
      </c>
    </row>
    <row r="1404" spans="1:5" x14ac:dyDescent="0.3">
      <c r="A1404" s="267" t="s">
        <v>2657</v>
      </c>
      <c r="B1404" s="134" t="s">
        <v>3</v>
      </c>
      <c r="C1404" s="134" t="s">
        <v>4</v>
      </c>
      <c r="D1404" s="134" t="s">
        <v>1774</v>
      </c>
      <c r="E1404" s="134"/>
    </row>
    <row r="1405" spans="1:5" x14ac:dyDescent="0.3">
      <c r="A1405" s="218">
        <v>53</v>
      </c>
      <c r="B1405" s="78">
        <v>94</v>
      </c>
      <c r="C1405" s="78" t="s">
        <v>712</v>
      </c>
      <c r="D1405" s="78" t="s">
        <v>717</v>
      </c>
      <c r="E1405" s="78" t="s">
        <v>1513</v>
      </c>
    </row>
    <row r="1406" spans="1:5" x14ac:dyDescent="0.3">
      <c r="A1406" s="218">
        <v>54</v>
      </c>
      <c r="B1406" s="78">
        <v>95</v>
      </c>
      <c r="C1406" s="78" t="s">
        <v>719</v>
      </c>
      <c r="D1406" s="78" t="s">
        <v>724</v>
      </c>
      <c r="E1406" s="78" t="s">
        <v>1492</v>
      </c>
    </row>
    <row r="1407" spans="1:5" x14ac:dyDescent="0.3">
      <c r="A1407" s="219"/>
      <c r="B1407" s="90"/>
      <c r="C1407" s="78" t="s">
        <v>1422</v>
      </c>
      <c r="D1407" s="78" t="s">
        <v>724</v>
      </c>
      <c r="E1407" s="78" t="s">
        <v>1492</v>
      </c>
    </row>
    <row r="1408" spans="1:5" x14ac:dyDescent="0.3">
      <c r="A1408" s="219"/>
      <c r="B1408" s="90"/>
      <c r="C1408" s="78" t="s">
        <v>1426</v>
      </c>
      <c r="D1408" s="78" t="s">
        <v>717</v>
      </c>
      <c r="E1408" s="78" t="s">
        <v>1513</v>
      </c>
    </row>
    <row r="1409" spans="1:5" x14ac:dyDescent="0.3">
      <c r="A1409" s="219"/>
      <c r="B1409" s="78">
        <v>122</v>
      </c>
      <c r="C1409" s="78" t="s">
        <v>862</v>
      </c>
      <c r="D1409" s="78" t="s">
        <v>724</v>
      </c>
      <c r="E1409" s="78" t="s">
        <v>1492</v>
      </c>
    </row>
    <row r="1410" spans="1:5" x14ac:dyDescent="0.3">
      <c r="A1410" s="219"/>
      <c r="B1410" s="78">
        <v>125</v>
      </c>
      <c r="C1410" s="78" t="s">
        <v>881</v>
      </c>
      <c r="D1410" s="78" t="s">
        <v>717</v>
      </c>
      <c r="E1410" s="78" t="s">
        <v>1513</v>
      </c>
    </row>
    <row r="1411" spans="1:5" x14ac:dyDescent="0.3">
      <c r="A1411" s="219"/>
      <c r="B1411" s="90"/>
      <c r="C1411" s="78" t="s">
        <v>1201</v>
      </c>
      <c r="D1411" s="78" t="s">
        <v>717</v>
      </c>
      <c r="E1411" s="78" t="s">
        <v>1513</v>
      </c>
    </row>
    <row r="1412" spans="1:5" x14ac:dyDescent="0.3">
      <c r="A1412" s="219"/>
      <c r="B1412" s="90"/>
      <c r="C1412" s="78" t="s">
        <v>1233</v>
      </c>
      <c r="D1412" s="78" t="s">
        <v>724</v>
      </c>
      <c r="E1412" s="78" t="s">
        <v>1492</v>
      </c>
    </row>
    <row r="1416" spans="1:5" x14ac:dyDescent="0.3">
      <c r="A1416" s="267" t="s">
        <v>2657</v>
      </c>
      <c r="B1416" s="134" t="s">
        <v>3</v>
      </c>
      <c r="C1416" s="134" t="s">
        <v>4</v>
      </c>
      <c r="D1416" s="134" t="s">
        <v>1497</v>
      </c>
      <c r="E1416" s="134"/>
    </row>
    <row r="1417" spans="1:5" x14ac:dyDescent="0.3">
      <c r="A1417" s="218">
        <v>66</v>
      </c>
      <c r="B1417" s="78">
        <v>114</v>
      </c>
      <c r="C1417" s="78" t="s">
        <v>810</v>
      </c>
      <c r="D1417" s="78" t="s">
        <v>813</v>
      </c>
      <c r="E1417" s="78" t="s">
        <v>1492</v>
      </c>
    </row>
    <row r="1418" spans="1:5" x14ac:dyDescent="0.3">
      <c r="A1418" s="218">
        <v>67</v>
      </c>
      <c r="B1418" s="78">
        <v>116</v>
      </c>
      <c r="C1418" s="78" t="s">
        <v>823</v>
      </c>
      <c r="D1418" s="78" t="s">
        <v>826</v>
      </c>
      <c r="E1418" s="78" t="s">
        <v>1492</v>
      </c>
    </row>
    <row r="1419" spans="1:5" x14ac:dyDescent="0.3">
      <c r="A1419" s="218">
        <v>68</v>
      </c>
      <c r="B1419" s="78">
        <v>117</v>
      </c>
      <c r="C1419" s="78" t="s">
        <v>829</v>
      </c>
      <c r="D1419" s="78" t="s">
        <v>832</v>
      </c>
      <c r="E1419" s="78" t="s">
        <v>1492</v>
      </c>
    </row>
    <row r="1420" spans="1:5" x14ac:dyDescent="0.3">
      <c r="A1420" s="218">
        <v>69</v>
      </c>
      <c r="B1420" s="78">
        <v>119</v>
      </c>
      <c r="C1420" s="78" t="s">
        <v>842</v>
      </c>
      <c r="D1420" s="78" t="s">
        <v>845</v>
      </c>
      <c r="E1420" s="78" t="s">
        <v>1492</v>
      </c>
    </row>
    <row r="1421" spans="1:5" x14ac:dyDescent="0.3">
      <c r="A1421" s="218">
        <v>70</v>
      </c>
      <c r="B1421" s="78">
        <v>120</v>
      </c>
      <c r="C1421" s="78" t="s">
        <v>848</v>
      </c>
      <c r="D1421" s="78" t="s">
        <v>851</v>
      </c>
      <c r="E1421" s="78" t="s">
        <v>1492</v>
      </c>
    </row>
    <row r="1422" spans="1:5" x14ac:dyDescent="0.3">
      <c r="A1422" s="218">
        <v>71</v>
      </c>
      <c r="B1422" s="78">
        <v>121</v>
      </c>
      <c r="C1422" s="78" t="s">
        <v>855</v>
      </c>
      <c r="D1422" s="78" t="s">
        <v>858</v>
      </c>
      <c r="E1422" s="78" t="s">
        <v>1492</v>
      </c>
    </row>
    <row r="1423" spans="1:5" x14ac:dyDescent="0.3">
      <c r="A1423" s="218">
        <v>72</v>
      </c>
      <c r="B1423" s="78">
        <v>123</v>
      </c>
      <c r="C1423" s="78" t="s">
        <v>870</v>
      </c>
      <c r="D1423" s="78" t="s">
        <v>832</v>
      </c>
      <c r="E1423" s="78" t="s">
        <v>1492</v>
      </c>
    </row>
    <row r="1424" spans="1:5" x14ac:dyDescent="0.3">
      <c r="A1424" s="218">
        <v>73</v>
      </c>
      <c r="B1424" s="78">
        <v>124</v>
      </c>
      <c r="C1424" s="78" t="s">
        <v>876</v>
      </c>
      <c r="D1424" s="78" t="s">
        <v>826</v>
      </c>
      <c r="E1424" s="78" t="s">
        <v>1492</v>
      </c>
    </row>
    <row r="1425" spans="1:5" x14ac:dyDescent="0.3">
      <c r="A1425" s="218">
        <v>74</v>
      </c>
      <c r="B1425" s="78">
        <v>126</v>
      </c>
      <c r="C1425" s="78" t="s">
        <v>888</v>
      </c>
      <c r="D1425" s="78" t="s">
        <v>891</v>
      </c>
      <c r="E1425" s="78" t="s">
        <v>1492</v>
      </c>
    </row>
    <row r="1426" spans="1:5" x14ac:dyDescent="0.3">
      <c r="A1426" s="218">
        <v>75</v>
      </c>
      <c r="B1426" s="78">
        <v>129</v>
      </c>
      <c r="C1426" s="78" t="s">
        <v>897</v>
      </c>
      <c r="D1426" s="78" t="s">
        <v>900</v>
      </c>
      <c r="E1426" s="78" t="s">
        <v>1492</v>
      </c>
    </row>
    <row r="1427" spans="1:5" x14ac:dyDescent="0.3">
      <c r="A1427" s="218">
        <v>76</v>
      </c>
      <c r="B1427" s="78">
        <v>130</v>
      </c>
      <c r="C1427" s="78" t="s">
        <v>903</v>
      </c>
      <c r="D1427" s="78" t="s">
        <v>866</v>
      </c>
      <c r="E1427" s="78" t="s">
        <v>1492</v>
      </c>
    </row>
    <row r="1428" spans="1:5" x14ac:dyDescent="0.3">
      <c r="A1428" s="218">
        <v>77</v>
      </c>
      <c r="B1428" s="78">
        <v>133</v>
      </c>
      <c r="C1428" s="78" t="s">
        <v>921</v>
      </c>
      <c r="D1428" s="78" t="s">
        <v>885</v>
      </c>
      <c r="E1428" s="78" t="s">
        <v>1492</v>
      </c>
    </row>
    <row r="1429" spans="1:5" x14ac:dyDescent="0.3">
      <c r="A1429" s="218">
        <v>78</v>
      </c>
      <c r="B1429" s="78">
        <v>135</v>
      </c>
      <c r="C1429" s="78" t="s">
        <v>932</v>
      </c>
      <c r="D1429" s="78" t="s">
        <v>839</v>
      </c>
      <c r="E1429" s="78" t="s">
        <v>1492</v>
      </c>
    </row>
    <row r="1430" spans="1:5" x14ac:dyDescent="0.3">
      <c r="A1430" s="218">
        <v>79</v>
      </c>
      <c r="B1430" s="78">
        <v>137</v>
      </c>
      <c r="C1430" s="78" t="s">
        <v>945</v>
      </c>
      <c r="D1430" s="78" t="s">
        <v>820</v>
      </c>
      <c r="E1430" s="78" t="s">
        <v>1492</v>
      </c>
    </row>
    <row r="1431" spans="1:5" x14ac:dyDescent="0.3">
      <c r="A1431" s="218">
        <v>80</v>
      </c>
      <c r="B1431" s="78">
        <v>140</v>
      </c>
      <c r="C1431" s="78" t="s">
        <v>964</v>
      </c>
      <c r="D1431" s="78" t="s">
        <v>845</v>
      </c>
      <c r="E1431" s="78" t="s">
        <v>1492</v>
      </c>
    </row>
    <row r="1432" spans="1:5" x14ac:dyDescent="0.3">
      <c r="A1432" s="218">
        <v>81</v>
      </c>
      <c r="B1432" s="78">
        <v>141</v>
      </c>
      <c r="C1432" s="78" t="s">
        <v>970</v>
      </c>
      <c r="D1432" s="78" t="s">
        <v>813</v>
      </c>
      <c r="E1432" s="78" t="s">
        <v>1492</v>
      </c>
    </row>
    <row r="1433" spans="1:5" x14ac:dyDescent="0.3">
      <c r="A1433" s="219"/>
      <c r="B1433" s="78">
        <v>115</v>
      </c>
      <c r="C1433" s="78" t="s">
        <v>816</v>
      </c>
      <c r="D1433" s="78" t="s">
        <v>820</v>
      </c>
      <c r="E1433" s="78" t="s">
        <v>1492</v>
      </c>
    </row>
    <row r="1434" spans="1:5" x14ac:dyDescent="0.3">
      <c r="A1434" s="219"/>
      <c r="B1434" s="78">
        <v>118</v>
      </c>
      <c r="C1434" s="78" t="s">
        <v>835</v>
      </c>
      <c r="D1434" s="78" t="s">
        <v>839</v>
      </c>
      <c r="E1434" s="78" t="s">
        <v>1492</v>
      </c>
    </row>
    <row r="1435" spans="1:5" x14ac:dyDescent="0.3">
      <c r="A1435" s="219"/>
      <c r="B1435" s="78">
        <v>122</v>
      </c>
      <c r="C1435" s="78" t="s">
        <v>862</v>
      </c>
      <c r="D1435" s="78" t="s">
        <v>866</v>
      </c>
      <c r="E1435" s="78" t="s">
        <v>1492</v>
      </c>
    </row>
    <row r="1436" spans="1:5" x14ac:dyDescent="0.3">
      <c r="A1436" s="219"/>
      <c r="B1436" s="78">
        <v>125</v>
      </c>
      <c r="C1436" s="78" t="s">
        <v>881</v>
      </c>
      <c r="D1436" s="78" t="s">
        <v>885</v>
      </c>
      <c r="E1436" s="78" t="s">
        <v>1492</v>
      </c>
    </row>
    <row r="1437" spans="1:5" x14ac:dyDescent="0.3">
      <c r="A1437" s="219"/>
      <c r="B1437" s="78">
        <v>131</v>
      </c>
      <c r="C1437" s="78" t="s">
        <v>908</v>
      </c>
      <c r="D1437" s="78" t="s">
        <v>851</v>
      </c>
      <c r="E1437" s="78" t="s">
        <v>1492</v>
      </c>
    </row>
    <row r="1438" spans="1:5" x14ac:dyDescent="0.3">
      <c r="A1438" s="219"/>
      <c r="B1438" s="78">
        <v>132</v>
      </c>
      <c r="C1438" s="78" t="s">
        <v>915</v>
      </c>
      <c r="D1438" s="78" t="s">
        <v>858</v>
      </c>
      <c r="E1438" s="78" t="s">
        <v>1492</v>
      </c>
    </row>
    <row r="1439" spans="1:5" x14ac:dyDescent="0.3">
      <c r="A1439" s="219"/>
      <c r="B1439" s="78">
        <v>134</v>
      </c>
      <c r="C1439" s="78" t="s">
        <v>927</v>
      </c>
      <c r="D1439" s="78" t="s">
        <v>832</v>
      </c>
      <c r="E1439" s="78" t="s">
        <v>1492</v>
      </c>
    </row>
    <row r="1440" spans="1:5" x14ac:dyDescent="0.3">
      <c r="A1440" s="219"/>
      <c r="B1440" s="78">
        <v>136</v>
      </c>
      <c r="C1440" s="78" t="s">
        <v>939</v>
      </c>
      <c r="D1440" s="78" t="s">
        <v>826</v>
      </c>
      <c r="E1440" s="78" t="s">
        <v>1492</v>
      </c>
    </row>
    <row r="1441" spans="1:5" x14ac:dyDescent="0.3">
      <c r="A1441" s="219"/>
      <c r="B1441" s="78">
        <v>138</v>
      </c>
      <c r="C1441" s="78" t="s">
        <v>953</v>
      </c>
      <c r="D1441" s="78" t="s">
        <v>891</v>
      </c>
      <c r="E1441" s="78" t="s">
        <v>1492</v>
      </c>
    </row>
    <row r="1442" spans="1:5" x14ac:dyDescent="0.3">
      <c r="A1442" s="219"/>
      <c r="B1442" s="78">
        <v>139</v>
      </c>
      <c r="C1442" s="78" t="s">
        <v>959</v>
      </c>
      <c r="D1442" s="78" t="s">
        <v>900</v>
      </c>
      <c r="E1442" s="78" t="s">
        <v>1492</v>
      </c>
    </row>
    <row r="1446" spans="1:5" x14ac:dyDescent="0.3">
      <c r="A1446" s="267" t="s">
        <v>2657</v>
      </c>
      <c r="B1446" s="134" t="s">
        <v>3</v>
      </c>
      <c r="C1446" s="134" t="s">
        <v>4</v>
      </c>
      <c r="D1446" s="134" t="s">
        <v>1773</v>
      </c>
      <c r="E1446" s="134"/>
    </row>
    <row r="1447" spans="1:5" x14ac:dyDescent="0.3">
      <c r="A1447" s="218">
        <v>45</v>
      </c>
      <c r="B1447" s="78">
        <v>68</v>
      </c>
      <c r="C1447" s="78" t="s">
        <v>524</v>
      </c>
      <c r="D1447" s="78" t="s">
        <v>529</v>
      </c>
      <c r="E1447" s="78" t="s">
        <v>1492</v>
      </c>
    </row>
    <row r="1448" spans="1:5" x14ac:dyDescent="0.3">
      <c r="A1448" s="218">
        <v>46</v>
      </c>
      <c r="B1448" s="78">
        <v>71</v>
      </c>
      <c r="C1448" s="78" t="s">
        <v>551</v>
      </c>
      <c r="D1448" s="78" t="s">
        <v>556</v>
      </c>
      <c r="E1448" s="78" t="s">
        <v>1492</v>
      </c>
    </row>
    <row r="1449" spans="1:5" x14ac:dyDescent="0.3">
      <c r="A1449" s="218">
        <v>47</v>
      </c>
      <c r="B1449" s="78">
        <v>74</v>
      </c>
      <c r="C1449" s="78" t="s">
        <v>576</v>
      </c>
      <c r="D1449" s="78" t="s">
        <v>583</v>
      </c>
      <c r="E1449" s="78" t="s">
        <v>1492</v>
      </c>
    </row>
    <row r="1450" spans="1:5" x14ac:dyDescent="0.3">
      <c r="A1450" s="218">
        <v>48</v>
      </c>
      <c r="B1450" s="78">
        <v>79</v>
      </c>
      <c r="C1450" s="78" t="s">
        <v>603</v>
      </c>
      <c r="D1450" s="78" t="s">
        <v>607</v>
      </c>
      <c r="E1450" s="78" t="s">
        <v>1492</v>
      </c>
    </row>
    <row r="1451" spans="1:5" x14ac:dyDescent="0.3">
      <c r="A1451" s="218">
        <v>49</v>
      </c>
      <c r="B1451" s="78">
        <v>81</v>
      </c>
      <c r="C1451" s="78" t="s">
        <v>620</v>
      </c>
      <c r="D1451" s="78" t="s">
        <v>624</v>
      </c>
      <c r="E1451" s="78" t="s">
        <v>1492</v>
      </c>
    </row>
    <row r="1452" spans="1:5" x14ac:dyDescent="0.3">
      <c r="A1452" s="218">
        <v>50</v>
      </c>
      <c r="B1452" s="78">
        <v>83</v>
      </c>
      <c r="C1452" s="78" t="s">
        <v>635</v>
      </c>
      <c r="D1452" s="78" t="s">
        <v>639</v>
      </c>
      <c r="E1452" s="78" t="s">
        <v>1492</v>
      </c>
    </row>
    <row r="1453" spans="1:5" x14ac:dyDescent="0.3">
      <c r="A1453" s="218">
        <v>51</v>
      </c>
      <c r="B1453" s="78">
        <v>90</v>
      </c>
      <c r="C1453" s="78" t="s">
        <v>684</v>
      </c>
      <c r="D1453" s="78" t="s">
        <v>617</v>
      </c>
      <c r="E1453" s="78" t="s">
        <v>1492</v>
      </c>
    </row>
    <row r="1454" spans="1:5" x14ac:dyDescent="0.3">
      <c r="A1454" s="218">
        <v>52</v>
      </c>
      <c r="B1454" s="78">
        <v>92</v>
      </c>
      <c r="C1454" s="78" t="s">
        <v>698</v>
      </c>
      <c r="D1454" s="78" t="s">
        <v>598</v>
      </c>
      <c r="E1454" s="78" t="s">
        <v>1492</v>
      </c>
    </row>
    <row r="1455" spans="1:5" x14ac:dyDescent="0.3">
      <c r="A1455" s="218">
        <v>53</v>
      </c>
      <c r="B1455" s="78">
        <v>94</v>
      </c>
      <c r="C1455" s="78" t="s">
        <v>712</v>
      </c>
      <c r="D1455" s="78" t="s">
        <v>662</v>
      </c>
      <c r="E1455" s="78" t="s">
        <v>1492</v>
      </c>
    </row>
    <row r="1456" spans="1:5" x14ac:dyDescent="0.3">
      <c r="A1456" s="218">
        <v>54</v>
      </c>
      <c r="B1456" s="78">
        <v>95</v>
      </c>
      <c r="C1456" s="78" t="s">
        <v>719</v>
      </c>
      <c r="D1456" s="78" t="s">
        <v>654</v>
      </c>
      <c r="E1456" s="78" t="s">
        <v>1492</v>
      </c>
    </row>
    <row r="1457" spans="1:5" x14ac:dyDescent="0.3">
      <c r="A1457" s="218">
        <v>55</v>
      </c>
      <c r="B1457" s="78">
        <v>97</v>
      </c>
      <c r="C1457" s="78" t="s">
        <v>732</v>
      </c>
      <c r="D1457" s="78" t="s">
        <v>648</v>
      </c>
      <c r="E1457" s="78" t="s">
        <v>1492</v>
      </c>
    </row>
    <row r="1458" spans="1:5" x14ac:dyDescent="0.3">
      <c r="A1458" s="218">
        <v>56</v>
      </c>
      <c r="B1458" s="78">
        <v>98</v>
      </c>
      <c r="C1458" s="78" t="s">
        <v>738</v>
      </c>
      <c r="D1458" s="78" t="s">
        <v>631</v>
      </c>
      <c r="E1458" s="78" t="s">
        <v>1492</v>
      </c>
    </row>
    <row r="1459" spans="1:5" x14ac:dyDescent="0.3">
      <c r="A1459" s="219"/>
      <c r="B1459" s="78">
        <v>76</v>
      </c>
      <c r="C1459" s="78" t="s">
        <v>594</v>
      </c>
      <c r="D1459" s="78" t="s">
        <v>598</v>
      </c>
      <c r="E1459" s="78" t="s">
        <v>1492</v>
      </c>
    </row>
    <row r="1460" spans="1:5" x14ac:dyDescent="0.3">
      <c r="A1460" s="219"/>
      <c r="B1460" s="78">
        <v>80</v>
      </c>
      <c r="C1460" s="78" t="s">
        <v>614</v>
      </c>
      <c r="D1460" s="78" t="s">
        <v>617</v>
      </c>
      <c r="E1460" s="78" t="s">
        <v>1492</v>
      </c>
    </row>
    <row r="1461" spans="1:5" x14ac:dyDescent="0.3">
      <c r="A1461" s="219"/>
      <c r="B1461" s="78">
        <v>82</v>
      </c>
      <c r="C1461" s="78" t="s">
        <v>628</v>
      </c>
      <c r="D1461" s="78" t="s">
        <v>631</v>
      </c>
      <c r="E1461" s="78" t="s">
        <v>1492</v>
      </c>
    </row>
    <row r="1462" spans="1:5" x14ac:dyDescent="0.3">
      <c r="A1462" s="219"/>
      <c r="B1462" s="78">
        <v>84</v>
      </c>
      <c r="C1462" s="78" t="s">
        <v>644</v>
      </c>
      <c r="D1462" s="78" t="s">
        <v>648</v>
      </c>
      <c r="E1462" s="78" t="s">
        <v>1492</v>
      </c>
    </row>
    <row r="1463" spans="1:5" x14ac:dyDescent="0.3">
      <c r="A1463" s="219"/>
      <c r="B1463" s="78">
        <v>85</v>
      </c>
      <c r="C1463" s="78" t="s">
        <v>651</v>
      </c>
      <c r="D1463" s="78" t="s">
        <v>654</v>
      </c>
      <c r="E1463" s="78" t="s">
        <v>1492</v>
      </c>
    </row>
    <row r="1464" spans="1:5" x14ac:dyDescent="0.3">
      <c r="A1464" s="219"/>
      <c r="B1464" s="78">
        <v>86</v>
      </c>
      <c r="C1464" s="78" t="s">
        <v>659</v>
      </c>
      <c r="D1464" s="78" t="s">
        <v>662</v>
      </c>
      <c r="E1464" s="78" t="s">
        <v>1492</v>
      </c>
    </row>
    <row r="1465" spans="1:5" x14ac:dyDescent="0.3">
      <c r="A1465" s="219"/>
      <c r="B1465" s="78">
        <v>87</v>
      </c>
      <c r="C1465" s="78" t="s">
        <v>665</v>
      </c>
      <c r="D1465" s="78" t="s">
        <v>529</v>
      </c>
      <c r="E1465" s="78" t="s">
        <v>1492</v>
      </c>
    </row>
    <row r="1466" spans="1:5" x14ac:dyDescent="0.3">
      <c r="A1466" s="219"/>
      <c r="B1466" s="78">
        <v>88</v>
      </c>
      <c r="C1466" s="78" t="s">
        <v>671</v>
      </c>
      <c r="D1466" s="78" t="s">
        <v>556</v>
      </c>
      <c r="E1466" s="78" t="s">
        <v>1492</v>
      </c>
    </row>
    <row r="1467" spans="1:5" x14ac:dyDescent="0.3">
      <c r="A1467" s="219"/>
      <c r="B1467" s="78">
        <v>89</v>
      </c>
      <c r="C1467" s="78" t="s">
        <v>678</v>
      </c>
      <c r="D1467" s="78" t="s">
        <v>583</v>
      </c>
      <c r="E1467" s="78" t="s">
        <v>1492</v>
      </c>
    </row>
    <row r="1468" spans="1:5" x14ac:dyDescent="0.3">
      <c r="A1468" s="219"/>
      <c r="B1468" s="78">
        <v>91</v>
      </c>
      <c r="C1468" s="78" t="s">
        <v>692</v>
      </c>
      <c r="D1468" s="78" t="s">
        <v>639</v>
      </c>
      <c r="E1468" s="78" t="s">
        <v>1492</v>
      </c>
    </row>
    <row r="1469" spans="1:5" x14ac:dyDescent="0.3">
      <c r="A1469" s="219"/>
      <c r="B1469" s="78">
        <v>93</v>
      </c>
      <c r="C1469" s="78" t="s">
        <v>706</v>
      </c>
      <c r="D1469" s="78" t="s">
        <v>607</v>
      </c>
      <c r="E1469" s="78" t="s">
        <v>1492</v>
      </c>
    </row>
    <row r="1470" spans="1:5" x14ac:dyDescent="0.3">
      <c r="A1470" s="219"/>
      <c r="B1470" s="78">
        <v>96</v>
      </c>
      <c r="C1470" s="78" t="s">
        <v>727</v>
      </c>
      <c r="D1470" s="78" t="s">
        <v>624</v>
      </c>
      <c r="E1470" s="78" t="s">
        <v>1492</v>
      </c>
    </row>
    <row r="1474" spans="1:5" x14ac:dyDescent="0.3">
      <c r="A1474" s="267" t="s">
        <v>2657</v>
      </c>
      <c r="B1474" s="134" t="s">
        <v>3</v>
      </c>
      <c r="C1474" s="134" t="s">
        <v>4</v>
      </c>
      <c r="D1474" s="134" t="s">
        <v>1525</v>
      </c>
      <c r="E1474" s="134"/>
    </row>
    <row r="1475" spans="1:5" x14ac:dyDescent="0.3">
      <c r="A1475" s="218">
        <v>29</v>
      </c>
      <c r="B1475" s="78">
        <v>49</v>
      </c>
      <c r="C1475" s="78" t="s">
        <v>402</v>
      </c>
      <c r="D1475" s="78" t="s">
        <v>236</v>
      </c>
      <c r="E1475" s="78" t="s">
        <v>1481</v>
      </c>
    </row>
    <row r="1476" spans="1:5" x14ac:dyDescent="0.3">
      <c r="A1476" s="218">
        <v>30</v>
      </c>
      <c r="B1476" s="78">
        <v>50</v>
      </c>
      <c r="C1476" s="78" t="s">
        <v>408</v>
      </c>
      <c r="D1476" s="78" t="s">
        <v>256</v>
      </c>
      <c r="E1476" s="78" t="s">
        <v>1513</v>
      </c>
    </row>
    <row r="1477" spans="1:5" x14ac:dyDescent="0.3">
      <c r="A1477" s="218">
        <v>53</v>
      </c>
      <c r="B1477" s="78">
        <v>94</v>
      </c>
      <c r="C1477" s="78" t="s">
        <v>712</v>
      </c>
      <c r="D1477" s="78" t="s">
        <v>236</v>
      </c>
      <c r="E1477" s="78" t="s">
        <v>1481</v>
      </c>
    </row>
    <row r="1478" spans="1:5" x14ac:dyDescent="0.3">
      <c r="A1478" s="218">
        <v>54</v>
      </c>
      <c r="B1478" s="78">
        <v>95</v>
      </c>
      <c r="C1478" s="78" t="s">
        <v>719</v>
      </c>
      <c r="D1478" s="78" t="s">
        <v>256</v>
      </c>
      <c r="E1478" s="78" t="s">
        <v>1513</v>
      </c>
    </row>
    <row r="1479" spans="1:5" x14ac:dyDescent="0.3">
      <c r="A1479" s="218">
        <v>55</v>
      </c>
      <c r="B1479" s="78">
        <v>97</v>
      </c>
      <c r="C1479" s="78" t="s">
        <v>732</v>
      </c>
      <c r="D1479" s="78" t="s">
        <v>735</v>
      </c>
      <c r="E1479" s="78" t="s">
        <v>1492</v>
      </c>
    </row>
    <row r="1480" spans="1:5" x14ac:dyDescent="0.3">
      <c r="A1480" s="218">
        <v>56</v>
      </c>
      <c r="B1480" s="78">
        <v>98</v>
      </c>
      <c r="C1480" s="78" t="s">
        <v>738</v>
      </c>
      <c r="D1480" s="78" t="s">
        <v>742</v>
      </c>
      <c r="E1480" s="78" t="s">
        <v>1513</v>
      </c>
    </row>
    <row r="1481" spans="1:5" x14ac:dyDescent="0.3">
      <c r="A1481" s="218">
        <v>72</v>
      </c>
      <c r="B1481" s="78">
        <v>123</v>
      </c>
      <c r="C1481" s="78" t="s">
        <v>870</v>
      </c>
      <c r="D1481" s="78" t="s">
        <v>236</v>
      </c>
      <c r="E1481" s="78" t="s">
        <v>1481</v>
      </c>
    </row>
    <row r="1482" spans="1:5" x14ac:dyDescent="0.3">
      <c r="A1482" s="218">
        <v>73</v>
      </c>
      <c r="B1482" s="78">
        <v>124</v>
      </c>
      <c r="C1482" s="78" t="s">
        <v>876</v>
      </c>
      <c r="D1482" s="78" t="s">
        <v>256</v>
      </c>
      <c r="E1482" s="78" t="s">
        <v>1513</v>
      </c>
    </row>
    <row r="1483" spans="1:5" x14ac:dyDescent="0.3">
      <c r="A1483" s="218">
        <v>78</v>
      </c>
      <c r="B1483" s="78">
        <v>135</v>
      </c>
      <c r="C1483" s="78" t="s">
        <v>932</v>
      </c>
      <c r="D1483" s="78" t="s">
        <v>735</v>
      </c>
      <c r="E1483" s="78" t="s">
        <v>1492</v>
      </c>
    </row>
    <row r="1484" spans="1:5" x14ac:dyDescent="0.3">
      <c r="A1484" s="218">
        <v>79</v>
      </c>
      <c r="B1484" s="78">
        <v>137</v>
      </c>
      <c r="C1484" s="78" t="s">
        <v>945</v>
      </c>
      <c r="D1484" s="78" t="s">
        <v>742</v>
      </c>
      <c r="E1484" s="78" t="s">
        <v>1513</v>
      </c>
    </row>
    <row r="1485" spans="1:5" x14ac:dyDescent="0.3">
      <c r="A1485" s="219"/>
      <c r="B1485" s="78">
        <v>28</v>
      </c>
      <c r="C1485" s="78" t="s">
        <v>232</v>
      </c>
      <c r="D1485" s="78" t="s">
        <v>236</v>
      </c>
      <c r="E1485" s="78" t="s">
        <v>1481</v>
      </c>
    </row>
    <row r="1486" spans="1:5" x14ac:dyDescent="0.3">
      <c r="A1486" s="219"/>
      <c r="B1486" s="78">
        <v>30</v>
      </c>
      <c r="C1486" s="78" t="s">
        <v>249</v>
      </c>
      <c r="D1486" s="78" t="s">
        <v>256</v>
      </c>
      <c r="E1486" s="78" t="s">
        <v>1513</v>
      </c>
    </row>
    <row r="1490" spans="1:5" x14ac:dyDescent="0.3">
      <c r="A1490" s="267" t="s">
        <v>2657</v>
      </c>
      <c r="B1490" s="134" t="s">
        <v>3</v>
      </c>
      <c r="C1490" s="134" t="s">
        <v>4</v>
      </c>
      <c r="D1490" s="134" t="s">
        <v>1609</v>
      </c>
      <c r="E1490" s="134"/>
    </row>
    <row r="1491" spans="1:5" x14ac:dyDescent="0.3">
      <c r="A1491" s="218">
        <v>1</v>
      </c>
      <c r="B1491" s="78">
        <v>4</v>
      </c>
      <c r="C1491" s="78" t="s">
        <v>57</v>
      </c>
      <c r="D1491" s="78" t="s">
        <v>64</v>
      </c>
      <c r="E1491" s="78" t="s">
        <v>1492</v>
      </c>
    </row>
    <row r="1492" spans="1:5" x14ac:dyDescent="0.3">
      <c r="A1492" s="218">
        <v>2</v>
      </c>
      <c r="B1492" s="78">
        <v>5</v>
      </c>
      <c r="C1492" s="78" t="s">
        <v>72</v>
      </c>
      <c r="D1492" s="78" t="s">
        <v>84</v>
      </c>
      <c r="E1492" s="78" t="s">
        <v>1513</v>
      </c>
    </row>
    <row r="1493" spans="1:5" x14ac:dyDescent="0.3">
      <c r="A1493" s="219"/>
      <c r="B1493" s="78">
        <v>40</v>
      </c>
      <c r="C1493" s="78" t="s">
        <v>327</v>
      </c>
      <c r="D1493" s="78" t="s">
        <v>26</v>
      </c>
      <c r="E1493" s="78" t="s">
        <v>1481</v>
      </c>
    </row>
    <row r="1494" spans="1:5" x14ac:dyDescent="0.3">
      <c r="A1494" s="219"/>
      <c r="B1494" s="78">
        <v>41</v>
      </c>
      <c r="C1494" s="78" t="s">
        <v>337</v>
      </c>
      <c r="D1494" s="78" t="s">
        <v>44</v>
      </c>
      <c r="E1494" s="78" t="s">
        <v>1513</v>
      </c>
    </row>
    <row r="1495" spans="1:5" x14ac:dyDescent="0.3">
      <c r="A1495" s="218">
        <v>55</v>
      </c>
      <c r="B1495" s="78">
        <v>97</v>
      </c>
      <c r="C1495" s="78" t="s">
        <v>732</v>
      </c>
      <c r="D1495" s="78" t="s">
        <v>26</v>
      </c>
      <c r="E1495" s="78" t="s">
        <v>1481</v>
      </c>
    </row>
    <row r="1496" spans="1:5" x14ac:dyDescent="0.3">
      <c r="A1496" s="218">
        <v>56</v>
      </c>
      <c r="B1496" s="78">
        <v>98</v>
      </c>
      <c r="C1496" s="78" t="s">
        <v>738</v>
      </c>
      <c r="D1496" s="78" t="s">
        <v>44</v>
      </c>
      <c r="E1496" s="78" t="s">
        <v>1513</v>
      </c>
    </row>
    <row r="1497" spans="1:5" x14ac:dyDescent="0.3">
      <c r="A1497" s="218">
        <v>57</v>
      </c>
      <c r="B1497" s="78">
        <v>100</v>
      </c>
      <c r="C1497" s="78" t="s">
        <v>751</v>
      </c>
      <c r="D1497" s="78" t="s">
        <v>64</v>
      </c>
      <c r="E1497" s="78" t="s">
        <v>1492</v>
      </c>
    </row>
    <row r="1498" spans="1:5" x14ac:dyDescent="0.3">
      <c r="A1498" s="218">
        <v>58</v>
      </c>
      <c r="B1498" s="78">
        <v>102</v>
      </c>
      <c r="C1498" s="78" t="s">
        <v>762</v>
      </c>
      <c r="D1498" s="78" t="s">
        <v>84</v>
      </c>
      <c r="E1498" s="78" t="s">
        <v>1513</v>
      </c>
    </row>
    <row r="1499" spans="1:5" x14ac:dyDescent="0.3">
      <c r="A1499" s="218">
        <v>80</v>
      </c>
      <c r="B1499" s="78">
        <v>140</v>
      </c>
      <c r="C1499" s="78" t="s">
        <v>964</v>
      </c>
      <c r="D1499" s="78" t="s">
        <v>26</v>
      </c>
      <c r="E1499" s="78" t="s">
        <v>1481</v>
      </c>
    </row>
    <row r="1500" spans="1:5" x14ac:dyDescent="0.3">
      <c r="A1500" s="218">
        <v>81</v>
      </c>
      <c r="B1500" s="78">
        <v>141</v>
      </c>
      <c r="C1500" s="78" t="s">
        <v>970</v>
      </c>
      <c r="D1500" s="78" t="s">
        <v>44</v>
      </c>
      <c r="E1500" s="78" t="s">
        <v>1513</v>
      </c>
    </row>
    <row r="1501" spans="1:5" x14ac:dyDescent="0.3">
      <c r="A1501" s="218">
        <v>84</v>
      </c>
      <c r="B1501" s="78">
        <v>146</v>
      </c>
      <c r="C1501" s="78" t="s">
        <v>998</v>
      </c>
      <c r="D1501" s="78" t="s">
        <v>64</v>
      </c>
      <c r="E1501" s="78" t="s">
        <v>1492</v>
      </c>
    </row>
    <row r="1502" spans="1:5" x14ac:dyDescent="0.3">
      <c r="A1502" s="218">
        <v>85</v>
      </c>
      <c r="B1502" s="78">
        <v>147</v>
      </c>
      <c r="C1502" s="78" t="s">
        <v>1003</v>
      </c>
      <c r="D1502" s="78" t="s">
        <v>84</v>
      </c>
      <c r="E1502" s="78" t="s">
        <v>1513</v>
      </c>
    </row>
    <row r="1503" spans="1:5" x14ac:dyDescent="0.3">
      <c r="A1503" s="219"/>
      <c r="B1503" s="78">
        <v>1</v>
      </c>
      <c r="C1503" s="78" t="s">
        <v>22</v>
      </c>
      <c r="D1503" s="78" t="s">
        <v>26</v>
      </c>
      <c r="E1503" s="78" t="s">
        <v>1481</v>
      </c>
    </row>
    <row r="1504" spans="1:5" x14ac:dyDescent="0.3">
      <c r="A1504" s="219"/>
      <c r="B1504" s="78">
        <v>2</v>
      </c>
      <c r="C1504" s="78" t="s">
        <v>36</v>
      </c>
      <c r="D1504" s="78" t="s">
        <v>44</v>
      </c>
      <c r="E1504" s="78" t="s">
        <v>1513</v>
      </c>
    </row>
    <row r="1505" spans="1:5" x14ac:dyDescent="0.3">
      <c r="A1505" s="219"/>
      <c r="B1505" s="78">
        <v>67</v>
      </c>
      <c r="C1505" s="78" t="s">
        <v>515</v>
      </c>
      <c r="D1505" s="78" t="s">
        <v>26</v>
      </c>
      <c r="E1505" s="78" t="s">
        <v>1481</v>
      </c>
    </row>
    <row r="1506" spans="1:5" x14ac:dyDescent="0.3">
      <c r="A1506" s="219"/>
      <c r="B1506" s="78">
        <v>69</v>
      </c>
      <c r="C1506" s="78" t="s">
        <v>533</v>
      </c>
      <c r="D1506" s="78" t="s">
        <v>44</v>
      </c>
      <c r="E1506" s="78" t="s">
        <v>1513</v>
      </c>
    </row>
    <row r="1510" spans="1:5" x14ac:dyDescent="0.3">
      <c r="A1510" s="267" t="s">
        <v>2657</v>
      </c>
      <c r="B1510" s="134" t="s">
        <v>3</v>
      </c>
      <c r="C1510" s="134" t="s">
        <v>4</v>
      </c>
      <c r="D1510" s="134" t="s">
        <v>1628</v>
      </c>
      <c r="E1510" s="134"/>
    </row>
    <row r="1511" spans="1:5" x14ac:dyDescent="0.3">
      <c r="A1511" s="218">
        <v>18</v>
      </c>
      <c r="B1511" s="78">
        <v>27</v>
      </c>
      <c r="C1511" s="78" t="s">
        <v>222</v>
      </c>
      <c r="D1511" s="78" t="s">
        <v>226</v>
      </c>
      <c r="E1511" s="78" t="s">
        <v>1492</v>
      </c>
    </row>
    <row r="1512" spans="1:5" x14ac:dyDescent="0.3">
      <c r="A1512" s="218">
        <v>19</v>
      </c>
      <c r="B1512" s="78">
        <v>29</v>
      </c>
      <c r="C1512" s="78" t="s">
        <v>240</v>
      </c>
      <c r="D1512" s="78" t="s">
        <v>244</v>
      </c>
      <c r="E1512" s="78" t="s">
        <v>1481</v>
      </c>
    </row>
    <row r="1513" spans="1:5" x14ac:dyDescent="0.3">
      <c r="A1513" s="218">
        <v>20</v>
      </c>
      <c r="B1513" s="78">
        <v>31</v>
      </c>
      <c r="C1513" s="78" t="s">
        <v>258</v>
      </c>
      <c r="D1513" s="78" t="s">
        <v>268</v>
      </c>
      <c r="E1513" s="78" t="s">
        <v>1513</v>
      </c>
    </row>
    <row r="1514" spans="1:5" x14ac:dyDescent="0.3">
      <c r="A1514" s="218">
        <v>21</v>
      </c>
      <c r="B1514" s="78">
        <v>34</v>
      </c>
      <c r="C1514" s="78" t="s">
        <v>285</v>
      </c>
      <c r="D1514" s="78" t="s">
        <v>226</v>
      </c>
      <c r="E1514" s="78" t="s">
        <v>1492</v>
      </c>
    </row>
    <row r="1515" spans="1:5" x14ac:dyDescent="0.3">
      <c r="A1515" s="218">
        <v>22</v>
      </c>
      <c r="B1515" s="78">
        <v>35</v>
      </c>
      <c r="C1515" s="78" t="s">
        <v>294</v>
      </c>
      <c r="D1515" s="78" t="s">
        <v>305</v>
      </c>
      <c r="E1515" s="78" t="s">
        <v>1513</v>
      </c>
    </row>
    <row r="1516" spans="1:5" x14ac:dyDescent="0.3">
      <c r="A1516" s="218">
        <v>23</v>
      </c>
      <c r="B1516" s="78">
        <v>36</v>
      </c>
      <c r="C1516" s="78" t="s">
        <v>308</v>
      </c>
      <c r="D1516" s="78" t="s">
        <v>305</v>
      </c>
      <c r="E1516" s="78" t="s">
        <v>1513</v>
      </c>
    </row>
    <row r="1517" spans="1:5" x14ac:dyDescent="0.3">
      <c r="A1517" s="218">
        <v>31</v>
      </c>
      <c r="B1517" s="78">
        <v>51</v>
      </c>
      <c r="C1517" s="78" t="s">
        <v>418</v>
      </c>
      <c r="D1517" s="78" t="s">
        <v>244</v>
      </c>
      <c r="E1517" s="78" t="s">
        <v>1481</v>
      </c>
    </row>
    <row r="1518" spans="1:5" x14ac:dyDescent="0.3">
      <c r="A1518" s="218">
        <v>32</v>
      </c>
      <c r="B1518" s="78">
        <v>52</v>
      </c>
      <c r="C1518" s="78" t="s">
        <v>427</v>
      </c>
      <c r="D1518" s="78" t="s">
        <v>268</v>
      </c>
      <c r="E1518" s="78" t="s">
        <v>1513</v>
      </c>
    </row>
    <row r="1519" spans="1:5" x14ac:dyDescent="0.3">
      <c r="A1519" s="218">
        <v>34</v>
      </c>
      <c r="B1519" s="78">
        <v>54</v>
      </c>
      <c r="C1519" s="78" t="s">
        <v>443</v>
      </c>
      <c r="D1519" s="78" t="s">
        <v>226</v>
      </c>
      <c r="E1519" s="78" t="s">
        <v>1492</v>
      </c>
    </row>
    <row r="1520" spans="1:5" x14ac:dyDescent="0.3">
      <c r="A1520" s="218">
        <v>35</v>
      </c>
      <c r="B1520" s="78">
        <v>55</v>
      </c>
      <c r="C1520" s="78" t="s">
        <v>451</v>
      </c>
      <c r="D1520" s="78" t="s">
        <v>305</v>
      </c>
      <c r="E1520" s="78" t="s">
        <v>1513</v>
      </c>
    </row>
    <row r="1521" spans="1:5" x14ac:dyDescent="0.3">
      <c r="A1521" s="218">
        <v>44</v>
      </c>
      <c r="B1521" s="78">
        <v>66</v>
      </c>
      <c r="C1521" s="78" t="s">
        <v>506</v>
      </c>
      <c r="D1521" s="78" t="s">
        <v>268</v>
      </c>
      <c r="E1521" s="78" t="s">
        <v>1513</v>
      </c>
    </row>
    <row r="1522" spans="1:5" x14ac:dyDescent="0.3">
      <c r="A1522" s="218">
        <v>45</v>
      </c>
      <c r="B1522" s="78">
        <v>68</v>
      </c>
      <c r="C1522" s="78" t="s">
        <v>524</v>
      </c>
      <c r="D1522" s="78" t="s">
        <v>244</v>
      </c>
      <c r="E1522" s="78" t="s">
        <v>1481</v>
      </c>
    </row>
    <row r="1523" spans="1:5" x14ac:dyDescent="0.3">
      <c r="A1523" s="218">
        <v>99</v>
      </c>
      <c r="B1523" s="78">
        <v>171</v>
      </c>
      <c r="C1523" s="78" t="s">
        <v>1106</v>
      </c>
      <c r="D1523" s="78" t="s">
        <v>244</v>
      </c>
      <c r="E1523" s="78" t="s">
        <v>1481</v>
      </c>
    </row>
    <row r="1524" spans="1:5" x14ac:dyDescent="0.3">
      <c r="A1524" s="218">
        <v>100</v>
      </c>
      <c r="B1524" s="78">
        <v>172</v>
      </c>
      <c r="C1524" s="78" t="s">
        <v>1112</v>
      </c>
      <c r="D1524" s="78" t="s">
        <v>268</v>
      </c>
      <c r="E1524" s="78" t="s">
        <v>1513</v>
      </c>
    </row>
    <row r="1525" spans="1:5" x14ac:dyDescent="0.3">
      <c r="A1525" s="219"/>
      <c r="B1525" s="78">
        <v>32</v>
      </c>
      <c r="C1525" s="78" t="s">
        <v>270</v>
      </c>
      <c r="D1525" s="78" t="s">
        <v>244</v>
      </c>
      <c r="E1525" s="78" t="s">
        <v>1481</v>
      </c>
    </row>
    <row r="1526" spans="1:5" x14ac:dyDescent="0.3">
      <c r="A1526" s="219"/>
      <c r="B1526" s="78">
        <v>33</v>
      </c>
      <c r="C1526" s="78" t="s">
        <v>276</v>
      </c>
      <c r="D1526" s="78" t="s">
        <v>268</v>
      </c>
      <c r="E1526" s="78" t="s">
        <v>1513</v>
      </c>
    </row>
    <row r="1530" spans="1:5" x14ac:dyDescent="0.3">
      <c r="A1530" s="267" t="s">
        <v>2657</v>
      </c>
      <c r="B1530" s="134" t="s">
        <v>3</v>
      </c>
      <c r="C1530" s="134" t="s">
        <v>4</v>
      </c>
      <c r="D1530" s="134" t="s">
        <v>1605</v>
      </c>
      <c r="E1530" s="134"/>
    </row>
    <row r="1531" spans="1:5" x14ac:dyDescent="0.3">
      <c r="A1531" s="218">
        <v>1</v>
      </c>
      <c r="B1531" s="78">
        <v>4</v>
      </c>
      <c r="C1531" s="78" t="s">
        <v>57</v>
      </c>
      <c r="D1531" s="78" t="s">
        <v>61</v>
      </c>
      <c r="E1531" s="78" t="s">
        <v>1481</v>
      </c>
    </row>
    <row r="1532" spans="1:5" x14ac:dyDescent="0.3">
      <c r="A1532" s="218">
        <v>2</v>
      </c>
      <c r="B1532" s="78">
        <v>5</v>
      </c>
      <c r="C1532" s="78" t="s">
        <v>72</v>
      </c>
      <c r="D1532" s="78" t="s">
        <v>85</v>
      </c>
      <c r="E1532" s="78" t="s">
        <v>1513</v>
      </c>
    </row>
    <row r="1533" spans="1:5" x14ac:dyDescent="0.3">
      <c r="A1533" s="218">
        <v>57</v>
      </c>
      <c r="B1533" s="78">
        <v>100</v>
      </c>
      <c r="C1533" s="78" t="s">
        <v>751</v>
      </c>
      <c r="D1533" s="78" t="s">
        <v>61</v>
      </c>
      <c r="E1533" s="78" t="s">
        <v>1481</v>
      </c>
    </row>
    <row r="1534" spans="1:5" x14ac:dyDescent="0.3">
      <c r="A1534" s="218">
        <v>58</v>
      </c>
      <c r="B1534" s="78">
        <v>102</v>
      </c>
      <c r="C1534" s="78" t="s">
        <v>762</v>
      </c>
      <c r="D1534" s="78" t="s">
        <v>85</v>
      </c>
      <c r="E1534" s="78" t="s">
        <v>1513</v>
      </c>
    </row>
    <row r="1535" spans="1:5" x14ac:dyDescent="0.3">
      <c r="A1535" s="218">
        <v>70</v>
      </c>
      <c r="B1535" s="78">
        <v>120</v>
      </c>
      <c r="C1535" s="78" t="s">
        <v>848</v>
      </c>
      <c r="D1535" s="78" t="s">
        <v>85</v>
      </c>
      <c r="E1535" s="78" t="s">
        <v>1513</v>
      </c>
    </row>
    <row r="1536" spans="1:5" x14ac:dyDescent="0.3">
      <c r="A1536" s="218">
        <v>71</v>
      </c>
      <c r="B1536" s="78">
        <v>121</v>
      </c>
      <c r="C1536" s="78" t="s">
        <v>855</v>
      </c>
      <c r="D1536" s="78" t="s">
        <v>61</v>
      </c>
      <c r="E1536" s="78" t="s">
        <v>1481</v>
      </c>
    </row>
    <row r="1540" spans="1:5" x14ac:dyDescent="0.3">
      <c r="A1540" s="267" t="s">
        <v>2657</v>
      </c>
      <c r="B1540" s="134" t="s">
        <v>3</v>
      </c>
      <c r="C1540" s="134" t="s">
        <v>4</v>
      </c>
      <c r="D1540" s="134" t="s">
        <v>1708</v>
      </c>
      <c r="E1540" s="134"/>
    </row>
    <row r="1541" spans="1:5" x14ac:dyDescent="0.3">
      <c r="A1541" s="218">
        <v>5</v>
      </c>
      <c r="B1541" s="78">
        <v>9</v>
      </c>
      <c r="C1541" s="78" t="s">
        <v>123</v>
      </c>
      <c r="D1541" s="78" t="s">
        <v>126</v>
      </c>
      <c r="E1541" s="78" t="s">
        <v>1481</v>
      </c>
    </row>
    <row r="1542" spans="1:5" x14ac:dyDescent="0.3">
      <c r="A1542" s="218">
        <v>6</v>
      </c>
      <c r="B1542" s="78">
        <v>10</v>
      </c>
      <c r="C1542" s="78" t="s">
        <v>135</v>
      </c>
      <c r="D1542" s="78" t="s">
        <v>145</v>
      </c>
      <c r="E1542" s="78" t="s">
        <v>1513</v>
      </c>
    </row>
    <row r="1543" spans="1:5" x14ac:dyDescent="0.3">
      <c r="A1543" s="219"/>
      <c r="B1543" s="78">
        <v>104</v>
      </c>
      <c r="C1543" s="78" t="s">
        <v>774</v>
      </c>
      <c r="D1543" s="78" t="s">
        <v>145</v>
      </c>
      <c r="E1543" s="78" t="s">
        <v>1513</v>
      </c>
    </row>
    <row r="1544" spans="1:5" x14ac:dyDescent="0.3">
      <c r="A1544" s="219"/>
      <c r="B1544" s="78">
        <v>109</v>
      </c>
      <c r="C1544" s="78" t="s">
        <v>782</v>
      </c>
      <c r="D1544" s="78" t="s">
        <v>126</v>
      </c>
      <c r="E1544" s="78" t="s">
        <v>1481</v>
      </c>
    </row>
    <row r="1545" spans="1:5" x14ac:dyDescent="0.3">
      <c r="A1545" s="218">
        <v>63</v>
      </c>
      <c r="B1545" s="78">
        <v>110</v>
      </c>
      <c r="C1545" s="78" t="s">
        <v>787</v>
      </c>
      <c r="D1545" s="78" t="s">
        <v>145</v>
      </c>
      <c r="E1545" s="78" t="s">
        <v>1513</v>
      </c>
    </row>
    <row r="1546" spans="1:5" x14ac:dyDescent="0.3">
      <c r="A1546" s="218">
        <v>64</v>
      </c>
      <c r="B1546" s="78">
        <v>112</v>
      </c>
      <c r="C1546" s="78" t="s">
        <v>800</v>
      </c>
      <c r="D1546" s="78" t="s">
        <v>126</v>
      </c>
      <c r="E1546" s="78" t="s">
        <v>1481</v>
      </c>
    </row>
    <row r="1550" spans="1:5" x14ac:dyDescent="0.3">
      <c r="A1550" s="267" t="s">
        <v>2657</v>
      </c>
      <c r="B1550" s="134" t="s">
        <v>3</v>
      </c>
      <c r="C1550" s="134" t="s">
        <v>4</v>
      </c>
      <c r="D1550" s="134" t="s">
        <v>1933</v>
      </c>
      <c r="E1550" s="134"/>
    </row>
    <row r="1551" spans="1:5" x14ac:dyDescent="0.3">
      <c r="A1551" s="218">
        <v>3</v>
      </c>
      <c r="B1551" s="78">
        <v>7</v>
      </c>
      <c r="C1551" s="78" t="s">
        <v>99</v>
      </c>
      <c r="D1551" s="78" t="s">
        <v>102</v>
      </c>
      <c r="E1551" s="78" t="s">
        <v>1481</v>
      </c>
    </row>
    <row r="1552" spans="1:5" x14ac:dyDescent="0.3">
      <c r="A1552" s="218">
        <v>4</v>
      </c>
      <c r="B1552" s="78">
        <v>8</v>
      </c>
      <c r="C1552" s="78" t="s">
        <v>111</v>
      </c>
      <c r="D1552" s="78" t="s">
        <v>120</v>
      </c>
      <c r="E1552" s="78" t="s">
        <v>1513</v>
      </c>
    </row>
    <row r="1553" spans="1:5" x14ac:dyDescent="0.3">
      <c r="A1553" s="219"/>
      <c r="B1553" s="78">
        <v>26</v>
      </c>
      <c r="C1553" s="78" t="s">
        <v>214</v>
      </c>
      <c r="D1553" s="78" t="s">
        <v>102</v>
      </c>
      <c r="E1553" s="78" t="s">
        <v>1481</v>
      </c>
    </row>
    <row r="1554" spans="1:5" x14ac:dyDescent="0.3">
      <c r="A1554" s="218">
        <v>18</v>
      </c>
      <c r="B1554" s="78">
        <v>27</v>
      </c>
      <c r="C1554" s="78" t="s">
        <v>222</v>
      </c>
      <c r="D1554" s="78" t="s">
        <v>120</v>
      </c>
      <c r="E1554" s="78" t="s">
        <v>1513</v>
      </c>
    </row>
    <row r="1555" spans="1:5" x14ac:dyDescent="0.3">
      <c r="A1555" s="219"/>
      <c r="B1555" s="78">
        <v>75</v>
      </c>
      <c r="C1555" s="78" t="s">
        <v>588</v>
      </c>
      <c r="D1555" s="78" t="s">
        <v>102</v>
      </c>
      <c r="E1555" s="78" t="s">
        <v>1481</v>
      </c>
    </row>
    <row r="1556" spans="1:5" x14ac:dyDescent="0.3">
      <c r="A1556" s="219"/>
      <c r="B1556" s="78">
        <v>76</v>
      </c>
      <c r="C1556" s="78" t="s">
        <v>594</v>
      </c>
      <c r="D1556" s="78" t="s">
        <v>120</v>
      </c>
      <c r="E1556" s="78" t="s">
        <v>1513</v>
      </c>
    </row>
    <row r="1557" spans="1:5" x14ac:dyDescent="0.3">
      <c r="A1557" s="219"/>
      <c r="B1557" s="90"/>
      <c r="C1557" s="78" t="s">
        <v>1157</v>
      </c>
      <c r="D1557" s="78" t="s">
        <v>102</v>
      </c>
      <c r="E1557" s="78" t="s">
        <v>1481</v>
      </c>
    </row>
    <row r="1558" spans="1:5" x14ac:dyDescent="0.3">
      <c r="A1558" s="219"/>
      <c r="B1558" s="90"/>
      <c r="C1558" s="78" t="s">
        <v>1161</v>
      </c>
      <c r="D1558" s="78" t="s">
        <v>120</v>
      </c>
      <c r="E1558" s="78" t="s">
        <v>1513</v>
      </c>
    </row>
    <row r="1562" spans="1:5" x14ac:dyDescent="0.3">
      <c r="A1562" s="267" t="s">
        <v>2657</v>
      </c>
      <c r="B1562" s="134" t="s">
        <v>3</v>
      </c>
      <c r="C1562" s="134" t="s">
        <v>4</v>
      </c>
      <c r="D1562" s="134" t="s">
        <v>1694</v>
      </c>
      <c r="E1562" s="134"/>
    </row>
    <row r="1563" spans="1:5" x14ac:dyDescent="0.3">
      <c r="A1563" s="218">
        <v>41</v>
      </c>
      <c r="B1563" s="78">
        <v>63</v>
      </c>
      <c r="C1563" s="78" t="s">
        <v>481</v>
      </c>
      <c r="D1563" s="78" t="s">
        <v>485</v>
      </c>
      <c r="E1563" s="78" t="s">
        <v>1481</v>
      </c>
    </row>
    <row r="1564" spans="1:5" x14ac:dyDescent="0.3">
      <c r="A1564" s="218">
        <v>42</v>
      </c>
      <c r="B1564" s="78">
        <v>64</v>
      </c>
      <c r="C1564" s="78" t="s">
        <v>490</v>
      </c>
      <c r="D1564" s="78" t="s">
        <v>496</v>
      </c>
      <c r="E1564" s="78" t="s">
        <v>1513</v>
      </c>
    </row>
    <row r="1565" spans="1:5" x14ac:dyDescent="0.3">
      <c r="A1565" s="218">
        <v>82</v>
      </c>
      <c r="B1565" s="78">
        <v>143</v>
      </c>
      <c r="C1565" s="78" t="s">
        <v>980</v>
      </c>
      <c r="D1565" s="78" t="s">
        <v>485</v>
      </c>
      <c r="E1565" s="78" t="s">
        <v>1481</v>
      </c>
    </row>
    <row r="1566" spans="1:5" x14ac:dyDescent="0.3">
      <c r="A1566" s="218">
        <v>83</v>
      </c>
      <c r="B1566" s="78">
        <v>145</v>
      </c>
      <c r="C1566" s="78" t="s">
        <v>992</v>
      </c>
      <c r="D1566" s="78" t="s">
        <v>496</v>
      </c>
      <c r="E1566" s="78" t="s">
        <v>1513</v>
      </c>
    </row>
    <row r="1567" spans="1:5" x14ac:dyDescent="0.3">
      <c r="A1567" s="219"/>
      <c r="B1567" s="78">
        <v>80</v>
      </c>
      <c r="C1567" s="78" t="s">
        <v>614</v>
      </c>
      <c r="D1567" s="78" t="s">
        <v>485</v>
      </c>
      <c r="E1567" s="78" t="s">
        <v>1481</v>
      </c>
    </row>
    <row r="1568" spans="1:5" x14ac:dyDescent="0.3">
      <c r="A1568" s="219"/>
      <c r="B1568" s="78">
        <v>82</v>
      </c>
      <c r="C1568" s="78" t="s">
        <v>628</v>
      </c>
      <c r="D1568" s="78" t="s">
        <v>496</v>
      </c>
      <c r="E1568" s="78" t="s">
        <v>1513</v>
      </c>
    </row>
    <row r="1569" spans="1:5" x14ac:dyDescent="0.3">
      <c r="A1569" s="219"/>
      <c r="B1569" s="90"/>
      <c r="C1569" s="78" t="s">
        <v>1165</v>
      </c>
      <c r="D1569" s="78" t="s">
        <v>485</v>
      </c>
      <c r="E1569" s="78" t="s">
        <v>1481</v>
      </c>
    </row>
    <row r="1570" spans="1:5" x14ac:dyDescent="0.3">
      <c r="A1570" s="219"/>
      <c r="B1570" s="90"/>
      <c r="C1570" s="78" t="s">
        <v>1169</v>
      </c>
      <c r="D1570" s="78" t="s">
        <v>496</v>
      </c>
      <c r="E1570" s="78" t="s">
        <v>1513</v>
      </c>
    </row>
    <row r="1574" spans="1:5" x14ac:dyDescent="0.3">
      <c r="A1574" s="267" t="s">
        <v>2657</v>
      </c>
      <c r="B1574" s="134" t="s">
        <v>3</v>
      </c>
      <c r="C1574" s="134" t="s">
        <v>4</v>
      </c>
      <c r="D1574" s="134" t="s">
        <v>1881</v>
      </c>
      <c r="E1574" s="134"/>
    </row>
    <row r="1575" spans="1:5" x14ac:dyDescent="0.3">
      <c r="A1575" s="218">
        <v>65</v>
      </c>
      <c r="B1575" s="78">
        <v>113</v>
      </c>
      <c r="C1575" s="78" t="s">
        <v>805</v>
      </c>
      <c r="D1575" s="78" t="s">
        <v>647</v>
      </c>
      <c r="E1575" s="78" t="s">
        <v>1481</v>
      </c>
    </row>
    <row r="1576" spans="1:5" x14ac:dyDescent="0.3">
      <c r="A1576" s="218">
        <v>66</v>
      </c>
      <c r="B1576" s="78">
        <v>114</v>
      </c>
      <c r="C1576" s="78" t="s">
        <v>810</v>
      </c>
      <c r="D1576" s="78" t="s">
        <v>657</v>
      </c>
      <c r="E1576" s="78" t="s">
        <v>1513</v>
      </c>
    </row>
    <row r="1577" spans="1:5" x14ac:dyDescent="0.3">
      <c r="A1577" s="218">
        <v>93</v>
      </c>
      <c r="B1577" s="78">
        <v>162</v>
      </c>
      <c r="C1577" s="78" t="s">
        <v>1065</v>
      </c>
      <c r="D1577" s="78" t="s">
        <v>647</v>
      </c>
      <c r="E1577" s="78" t="s">
        <v>1481</v>
      </c>
    </row>
    <row r="1578" spans="1:5" x14ac:dyDescent="0.3">
      <c r="A1578" s="218">
        <v>94</v>
      </c>
      <c r="B1578" s="78">
        <v>163</v>
      </c>
      <c r="C1578" s="78" t="s">
        <v>1070</v>
      </c>
      <c r="D1578" s="78" t="s">
        <v>657</v>
      </c>
      <c r="E1578" s="78" t="s">
        <v>1513</v>
      </c>
    </row>
    <row r="1579" spans="1:5" x14ac:dyDescent="0.3">
      <c r="A1579" s="219"/>
      <c r="B1579" s="78">
        <v>84</v>
      </c>
      <c r="C1579" s="78" t="s">
        <v>644</v>
      </c>
      <c r="D1579" s="78" t="s">
        <v>647</v>
      </c>
      <c r="E1579" s="78" t="s">
        <v>1481</v>
      </c>
    </row>
    <row r="1580" spans="1:5" x14ac:dyDescent="0.3">
      <c r="A1580" s="219"/>
      <c r="B1580" s="78">
        <v>85</v>
      </c>
      <c r="C1580" s="78" t="s">
        <v>651</v>
      </c>
      <c r="D1580" s="78" t="s">
        <v>657</v>
      </c>
      <c r="E1580" s="78" t="s">
        <v>1513</v>
      </c>
    </row>
    <row r="1581" spans="1:5" x14ac:dyDescent="0.3">
      <c r="A1581" s="219"/>
      <c r="B1581" s="90"/>
      <c r="C1581" s="78" t="s">
        <v>1229</v>
      </c>
      <c r="D1581" s="78" t="s">
        <v>647</v>
      </c>
      <c r="E1581" s="78" t="s">
        <v>1481</v>
      </c>
    </row>
    <row r="1582" spans="1:5" x14ac:dyDescent="0.3">
      <c r="A1582" s="219"/>
      <c r="B1582" s="90"/>
      <c r="C1582" s="78" t="s">
        <v>1233</v>
      </c>
      <c r="D1582" s="78" t="s">
        <v>657</v>
      </c>
      <c r="E1582" s="78" t="s">
        <v>1513</v>
      </c>
    </row>
    <row r="1586" spans="1:5" x14ac:dyDescent="0.3">
      <c r="A1586" s="267" t="s">
        <v>2657</v>
      </c>
      <c r="B1586" s="134" t="s">
        <v>3</v>
      </c>
      <c r="C1586" s="134" t="s">
        <v>4</v>
      </c>
      <c r="D1586" s="134" t="s">
        <v>1864</v>
      </c>
      <c r="E1586" s="134"/>
    </row>
    <row r="1587" spans="1:5" x14ac:dyDescent="0.3">
      <c r="A1587" s="218">
        <v>21</v>
      </c>
      <c r="B1587" s="78">
        <v>34</v>
      </c>
      <c r="C1587" s="78" t="s">
        <v>285</v>
      </c>
      <c r="D1587" s="78" t="s">
        <v>291</v>
      </c>
      <c r="E1587" s="78" t="s">
        <v>1481</v>
      </c>
    </row>
    <row r="1588" spans="1:5" x14ac:dyDescent="0.3">
      <c r="A1588" s="218">
        <v>22</v>
      </c>
      <c r="B1588" s="78">
        <v>35</v>
      </c>
      <c r="C1588" s="78" t="s">
        <v>294</v>
      </c>
      <c r="D1588" s="78" t="s">
        <v>306</v>
      </c>
      <c r="E1588" s="78" t="s">
        <v>1513</v>
      </c>
    </row>
    <row r="1589" spans="1:5" x14ac:dyDescent="0.3">
      <c r="A1589" s="218">
        <v>67</v>
      </c>
      <c r="B1589" s="78">
        <v>116</v>
      </c>
      <c r="C1589" s="78" t="s">
        <v>823</v>
      </c>
      <c r="D1589" s="78" t="s">
        <v>291</v>
      </c>
      <c r="E1589" s="78" t="s">
        <v>1481</v>
      </c>
    </row>
    <row r="1590" spans="1:5" x14ac:dyDescent="0.3">
      <c r="A1590" s="218">
        <v>68</v>
      </c>
      <c r="B1590" s="78">
        <v>117</v>
      </c>
      <c r="C1590" s="78" t="s">
        <v>829</v>
      </c>
      <c r="D1590" s="78" t="s">
        <v>306</v>
      </c>
      <c r="E1590" s="78" t="s">
        <v>1513</v>
      </c>
    </row>
    <row r="1591" spans="1:5" x14ac:dyDescent="0.3">
      <c r="A1591" s="219"/>
      <c r="B1591" s="90"/>
      <c r="C1591" s="78" t="s">
        <v>1237</v>
      </c>
      <c r="D1591" s="78" t="s">
        <v>291</v>
      </c>
      <c r="E1591" s="78" t="s">
        <v>1481</v>
      </c>
    </row>
    <row r="1592" spans="1:5" x14ac:dyDescent="0.3">
      <c r="A1592" s="219"/>
      <c r="B1592" s="90"/>
      <c r="C1592" s="78" t="s">
        <v>1241</v>
      </c>
      <c r="D1592" s="78" t="s">
        <v>306</v>
      </c>
      <c r="E1592" s="78" t="s">
        <v>1513</v>
      </c>
    </row>
    <row r="1596" spans="1:5" x14ac:dyDescent="0.3">
      <c r="A1596" s="267" t="s">
        <v>2657</v>
      </c>
      <c r="B1596" s="134" t="s">
        <v>3</v>
      </c>
      <c r="C1596" s="134" t="s">
        <v>4</v>
      </c>
      <c r="D1596" s="134" t="s">
        <v>1800</v>
      </c>
      <c r="E1596" s="134"/>
    </row>
    <row r="1597" spans="1:5" x14ac:dyDescent="0.3">
      <c r="A1597" s="218">
        <v>47</v>
      </c>
      <c r="B1597" s="78">
        <v>74</v>
      </c>
      <c r="C1597" s="78" t="s">
        <v>576</v>
      </c>
      <c r="D1597" s="78" t="s">
        <v>579</v>
      </c>
      <c r="E1597" s="78" t="s">
        <v>1481</v>
      </c>
    </row>
    <row r="1598" spans="1:5" x14ac:dyDescent="0.3">
      <c r="A1598" s="218">
        <v>48</v>
      </c>
      <c r="B1598" s="78">
        <v>79</v>
      </c>
      <c r="C1598" s="78" t="s">
        <v>603</v>
      </c>
      <c r="D1598" s="78" t="s">
        <v>611</v>
      </c>
      <c r="E1598" s="78" t="s">
        <v>1513</v>
      </c>
    </row>
    <row r="1599" spans="1:5" x14ac:dyDescent="0.3">
      <c r="A1599" s="218">
        <v>75</v>
      </c>
      <c r="B1599" s="78">
        <v>129</v>
      </c>
      <c r="C1599" s="78" t="s">
        <v>897</v>
      </c>
      <c r="D1599" s="78" t="s">
        <v>579</v>
      </c>
      <c r="E1599" s="78" t="s">
        <v>1481</v>
      </c>
    </row>
    <row r="1600" spans="1:5" x14ac:dyDescent="0.3">
      <c r="A1600" s="218">
        <v>76</v>
      </c>
      <c r="B1600" s="78">
        <v>130</v>
      </c>
      <c r="C1600" s="78" t="s">
        <v>903</v>
      </c>
      <c r="D1600" s="78" t="s">
        <v>611</v>
      </c>
      <c r="E1600" s="78" t="s">
        <v>1513</v>
      </c>
    </row>
    <row r="1601" spans="1:5" x14ac:dyDescent="0.3">
      <c r="A1601" s="219"/>
      <c r="B1601" s="90"/>
      <c r="C1601" s="78" t="s">
        <v>1249</v>
      </c>
      <c r="D1601" s="78" t="s">
        <v>579</v>
      </c>
      <c r="E1601" s="78" t="s">
        <v>1481</v>
      </c>
    </row>
    <row r="1602" spans="1:5" x14ac:dyDescent="0.3">
      <c r="A1602" s="219"/>
      <c r="B1602" s="90"/>
      <c r="C1602" s="78" t="s">
        <v>1253</v>
      </c>
      <c r="D1602" s="78" t="s">
        <v>611</v>
      </c>
      <c r="E1602" s="78" t="s">
        <v>1513</v>
      </c>
    </row>
    <row r="1606" spans="1:5" x14ac:dyDescent="0.3">
      <c r="A1606" s="267" t="s">
        <v>2657</v>
      </c>
      <c r="B1606" s="134" t="s">
        <v>3</v>
      </c>
      <c r="C1606" s="134" t="s">
        <v>4</v>
      </c>
      <c r="D1606" s="134" t="s">
        <v>2016</v>
      </c>
      <c r="E1606" s="134"/>
    </row>
    <row r="1607" spans="1:5" x14ac:dyDescent="0.3">
      <c r="A1607" s="218">
        <v>49</v>
      </c>
      <c r="B1607" s="78">
        <v>81</v>
      </c>
      <c r="C1607" s="78" t="s">
        <v>620</v>
      </c>
      <c r="D1607" s="78" t="s">
        <v>623</v>
      </c>
      <c r="E1607" s="78" t="s">
        <v>1481</v>
      </c>
    </row>
    <row r="1608" spans="1:5" x14ac:dyDescent="0.3">
      <c r="A1608" s="218">
        <v>50</v>
      </c>
      <c r="B1608" s="78">
        <v>83</v>
      </c>
      <c r="C1608" s="78" t="s">
        <v>635</v>
      </c>
      <c r="D1608" s="78" t="s">
        <v>642</v>
      </c>
      <c r="E1608" s="78" t="s">
        <v>1513</v>
      </c>
    </row>
    <row r="1609" spans="1:5" x14ac:dyDescent="0.3">
      <c r="A1609" s="218">
        <v>84</v>
      </c>
      <c r="B1609" s="78">
        <v>146</v>
      </c>
      <c r="C1609" s="78" t="s">
        <v>998</v>
      </c>
      <c r="D1609" s="78" t="s">
        <v>623</v>
      </c>
      <c r="E1609" s="78" t="s">
        <v>1481</v>
      </c>
    </row>
    <row r="1610" spans="1:5" x14ac:dyDescent="0.3">
      <c r="A1610" s="218">
        <v>85</v>
      </c>
      <c r="B1610" s="78">
        <v>147</v>
      </c>
      <c r="C1610" s="78" t="s">
        <v>1003</v>
      </c>
      <c r="D1610" s="78" t="s">
        <v>642</v>
      </c>
      <c r="E1610" s="78" t="s">
        <v>1513</v>
      </c>
    </row>
    <row r="1611" spans="1:5" x14ac:dyDescent="0.3">
      <c r="A1611" s="219"/>
      <c r="B1611" s="90"/>
      <c r="C1611" s="78" t="s">
        <v>1205</v>
      </c>
      <c r="D1611" s="78" t="s">
        <v>623</v>
      </c>
      <c r="E1611" s="78" t="s">
        <v>1481</v>
      </c>
    </row>
    <row r="1612" spans="1:5" x14ac:dyDescent="0.3">
      <c r="A1612" s="219"/>
      <c r="B1612" s="90"/>
      <c r="C1612" s="78" t="s">
        <v>1209</v>
      </c>
      <c r="D1612" s="78" t="s">
        <v>642</v>
      </c>
      <c r="E1612" s="78" t="s">
        <v>1513</v>
      </c>
    </row>
    <row r="1616" spans="1:5" x14ac:dyDescent="0.3">
      <c r="A1616" s="267" t="s">
        <v>2657</v>
      </c>
      <c r="B1616" s="134" t="s">
        <v>3</v>
      </c>
      <c r="C1616" s="134" t="s">
        <v>4</v>
      </c>
      <c r="D1616" s="134" t="s">
        <v>1667</v>
      </c>
      <c r="E1616" s="134"/>
    </row>
    <row r="1617" spans="1:5" x14ac:dyDescent="0.3">
      <c r="A1617" s="218">
        <v>51</v>
      </c>
      <c r="B1617" s="78">
        <v>90</v>
      </c>
      <c r="C1617" s="78" t="s">
        <v>684</v>
      </c>
      <c r="D1617" s="78" t="s">
        <v>689</v>
      </c>
      <c r="E1617" s="78" t="s">
        <v>1513</v>
      </c>
    </row>
    <row r="1618" spans="1:5" x14ac:dyDescent="0.3">
      <c r="A1618" s="218">
        <v>52</v>
      </c>
      <c r="B1618" s="78">
        <v>92</v>
      </c>
      <c r="C1618" s="78" t="s">
        <v>698</v>
      </c>
      <c r="D1618" s="78" t="s">
        <v>701</v>
      </c>
      <c r="E1618" s="78" t="s">
        <v>1481</v>
      </c>
    </row>
    <row r="1619" spans="1:5" x14ac:dyDescent="0.3">
      <c r="A1619" s="218">
        <v>89</v>
      </c>
      <c r="B1619" s="78">
        <v>155</v>
      </c>
      <c r="C1619" s="78" t="s">
        <v>1027</v>
      </c>
      <c r="D1619" s="78" t="s">
        <v>701</v>
      </c>
      <c r="E1619" s="78" t="s">
        <v>1481</v>
      </c>
    </row>
    <row r="1620" spans="1:5" x14ac:dyDescent="0.3">
      <c r="A1620" s="218">
        <v>90</v>
      </c>
      <c r="B1620" s="78">
        <v>159</v>
      </c>
      <c r="C1620" s="78" t="s">
        <v>1048</v>
      </c>
      <c r="D1620" s="78" t="s">
        <v>689</v>
      </c>
      <c r="E1620" s="78" t="s">
        <v>1513</v>
      </c>
    </row>
    <row r="1621" spans="1:5" x14ac:dyDescent="0.3">
      <c r="A1621" s="219"/>
      <c r="B1621" s="90"/>
      <c r="C1621" s="78" t="s">
        <v>1265</v>
      </c>
      <c r="D1621" s="78" t="s">
        <v>701</v>
      </c>
      <c r="E1621" s="78" t="s">
        <v>1481</v>
      </c>
    </row>
    <row r="1622" spans="1:5" x14ac:dyDescent="0.3">
      <c r="A1622" s="219"/>
      <c r="B1622" s="90"/>
      <c r="C1622" s="78" t="s">
        <v>1269</v>
      </c>
      <c r="D1622" s="78" t="s">
        <v>689</v>
      </c>
      <c r="E1622" s="78" t="s">
        <v>1513</v>
      </c>
    </row>
    <row r="1626" spans="1:5" x14ac:dyDescent="0.3">
      <c r="A1626" s="267" t="s">
        <v>2657</v>
      </c>
      <c r="B1626" s="134" t="s">
        <v>3</v>
      </c>
      <c r="C1626" s="134" t="s">
        <v>4</v>
      </c>
      <c r="D1626" s="134" t="s">
        <v>2052</v>
      </c>
      <c r="E1626" s="134"/>
    </row>
    <row r="1627" spans="1:5" x14ac:dyDescent="0.3">
      <c r="A1627" s="219"/>
      <c r="B1627" s="78">
        <v>12</v>
      </c>
      <c r="C1627" s="78" t="s">
        <v>154</v>
      </c>
      <c r="D1627" s="78" t="s">
        <v>161</v>
      </c>
      <c r="E1627" s="78" t="s">
        <v>1513</v>
      </c>
    </row>
    <row r="1628" spans="1:5" x14ac:dyDescent="0.3">
      <c r="A1628" s="219"/>
      <c r="B1628" s="78">
        <v>13</v>
      </c>
      <c r="C1628" s="78" t="s">
        <v>163</v>
      </c>
      <c r="D1628" s="78" t="s">
        <v>170</v>
      </c>
      <c r="E1628" s="78" t="s">
        <v>1481</v>
      </c>
    </row>
    <row r="1629" spans="1:5" x14ac:dyDescent="0.3">
      <c r="A1629" s="219"/>
      <c r="B1629" s="78">
        <v>88</v>
      </c>
      <c r="C1629" s="78" t="s">
        <v>671</v>
      </c>
      <c r="D1629" s="78" t="s">
        <v>170</v>
      </c>
      <c r="E1629" s="78" t="s">
        <v>1481</v>
      </c>
    </row>
    <row r="1630" spans="1:5" x14ac:dyDescent="0.3">
      <c r="A1630" s="219"/>
      <c r="B1630" s="78">
        <v>89</v>
      </c>
      <c r="C1630" s="78" t="s">
        <v>678</v>
      </c>
      <c r="D1630" s="78" t="s">
        <v>161</v>
      </c>
      <c r="E1630" s="78" t="s">
        <v>1513</v>
      </c>
    </row>
    <row r="1631" spans="1:5" x14ac:dyDescent="0.3">
      <c r="A1631" s="219"/>
      <c r="B1631" s="90"/>
      <c r="C1631" s="78" t="s">
        <v>1221</v>
      </c>
      <c r="D1631" s="78" t="s">
        <v>170</v>
      </c>
      <c r="E1631" s="78" t="s">
        <v>1481</v>
      </c>
    </row>
    <row r="1632" spans="1:5" x14ac:dyDescent="0.3">
      <c r="A1632" s="219"/>
      <c r="B1632" s="90"/>
      <c r="C1632" s="78" t="s">
        <v>1225</v>
      </c>
      <c r="D1632" s="78" t="s">
        <v>161</v>
      </c>
      <c r="E1632" s="78" t="s">
        <v>1513</v>
      </c>
    </row>
    <row r="1636" spans="1:5" x14ac:dyDescent="0.3">
      <c r="A1636" s="267" t="s">
        <v>2657</v>
      </c>
      <c r="B1636" s="134" t="s">
        <v>3</v>
      </c>
      <c r="C1636" s="134" t="s">
        <v>4</v>
      </c>
      <c r="D1636" s="134" t="s">
        <v>1900</v>
      </c>
      <c r="E1636" s="134"/>
    </row>
    <row r="1637" spans="1:5" x14ac:dyDescent="0.3">
      <c r="A1637" s="219"/>
      <c r="B1637" s="78">
        <v>42</v>
      </c>
      <c r="C1637" s="78" t="s">
        <v>346</v>
      </c>
      <c r="D1637" s="78" t="s">
        <v>349</v>
      </c>
      <c r="E1637" s="78" t="s">
        <v>1481</v>
      </c>
    </row>
    <row r="1638" spans="1:5" x14ac:dyDescent="0.3">
      <c r="A1638" s="219"/>
      <c r="B1638" s="78">
        <v>43</v>
      </c>
      <c r="C1638" s="78" t="s">
        <v>353</v>
      </c>
      <c r="D1638" s="78" t="s">
        <v>359</v>
      </c>
      <c r="E1638" s="78" t="s">
        <v>1513</v>
      </c>
    </row>
    <row r="1639" spans="1:5" x14ac:dyDescent="0.3">
      <c r="A1639" s="219"/>
      <c r="B1639" s="78">
        <v>91</v>
      </c>
      <c r="C1639" s="78" t="s">
        <v>692</v>
      </c>
      <c r="D1639" s="78" t="s">
        <v>349</v>
      </c>
      <c r="E1639" s="78" t="s">
        <v>1481</v>
      </c>
    </row>
    <row r="1640" spans="1:5" x14ac:dyDescent="0.3">
      <c r="A1640" s="219"/>
      <c r="B1640" s="78">
        <v>93</v>
      </c>
      <c r="C1640" s="78" t="s">
        <v>706</v>
      </c>
      <c r="D1640" s="78" t="s">
        <v>359</v>
      </c>
      <c r="E1640" s="78" t="s">
        <v>1513</v>
      </c>
    </row>
    <row r="1641" spans="1:5" x14ac:dyDescent="0.3">
      <c r="A1641" s="219"/>
      <c r="B1641" s="90"/>
      <c r="C1641" s="78" t="s">
        <v>1286</v>
      </c>
      <c r="D1641" s="78" t="s">
        <v>349</v>
      </c>
      <c r="E1641" s="78" t="s">
        <v>1481</v>
      </c>
    </row>
    <row r="1642" spans="1:5" x14ac:dyDescent="0.3">
      <c r="A1642" s="219"/>
      <c r="B1642" s="90"/>
      <c r="C1642" s="78" t="s">
        <v>1290</v>
      </c>
      <c r="D1642" s="78" t="s">
        <v>359</v>
      </c>
      <c r="E1642" s="78" t="s">
        <v>1513</v>
      </c>
    </row>
    <row r="1646" spans="1:5" x14ac:dyDescent="0.3">
      <c r="A1646" s="267" t="s">
        <v>2657</v>
      </c>
      <c r="B1646" s="134" t="s">
        <v>3</v>
      </c>
      <c r="C1646" s="134" t="s">
        <v>4</v>
      </c>
      <c r="D1646" s="134" t="s">
        <v>1907</v>
      </c>
      <c r="E1646" s="134"/>
    </row>
    <row r="1647" spans="1:5" x14ac:dyDescent="0.3">
      <c r="A1647" s="219"/>
      <c r="B1647" s="78">
        <v>44</v>
      </c>
      <c r="C1647" s="78" t="s">
        <v>361</v>
      </c>
      <c r="D1647" s="78" t="s">
        <v>364</v>
      </c>
      <c r="E1647" s="78" t="s">
        <v>1481</v>
      </c>
    </row>
    <row r="1648" spans="1:5" x14ac:dyDescent="0.3">
      <c r="A1648" s="219"/>
      <c r="B1648" s="78">
        <v>45</v>
      </c>
      <c r="C1648" s="78" t="s">
        <v>368</v>
      </c>
      <c r="D1648" s="78" t="s">
        <v>375</v>
      </c>
      <c r="E1648" s="78" t="s">
        <v>1513</v>
      </c>
    </row>
    <row r="1649" spans="1:5" x14ac:dyDescent="0.3">
      <c r="A1649" s="219"/>
      <c r="B1649" s="78">
        <v>131</v>
      </c>
      <c r="C1649" s="78" t="s">
        <v>908</v>
      </c>
      <c r="D1649" s="78" t="s">
        <v>364</v>
      </c>
      <c r="E1649" s="78" t="s">
        <v>1481</v>
      </c>
    </row>
    <row r="1650" spans="1:5" x14ac:dyDescent="0.3">
      <c r="A1650" s="219"/>
      <c r="B1650" s="78">
        <v>132</v>
      </c>
      <c r="C1650" s="78" t="s">
        <v>915</v>
      </c>
      <c r="D1650" s="78" t="s">
        <v>375</v>
      </c>
      <c r="E1650" s="78" t="s">
        <v>1513</v>
      </c>
    </row>
    <row r="1651" spans="1:5" x14ac:dyDescent="0.3">
      <c r="A1651" s="219"/>
      <c r="B1651" s="90"/>
      <c r="C1651" s="78" t="s">
        <v>1294</v>
      </c>
      <c r="D1651" s="78" t="s">
        <v>364</v>
      </c>
      <c r="E1651" s="78" t="s">
        <v>1481</v>
      </c>
    </row>
    <row r="1652" spans="1:5" x14ac:dyDescent="0.3">
      <c r="A1652" s="219"/>
      <c r="B1652" s="90"/>
      <c r="C1652" s="78" t="s">
        <v>1298</v>
      </c>
      <c r="D1652" s="78" t="s">
        <v>375</v>
      </c>
      <c r="E1652" s="78" t="s">
        <v>1513</v>
      </c>
    </row>
    <row r="1656" spans="1:5" x14ac:dyDescent="0.3">
      <c r="A1656" s="267" t="s">
        <v>2657</v>
      </c>
      <c r="B1656" s="134" t="s">
        <v>3</v>
      </c>
      <c r="C1656" s="134" t="s">
        <v>4</v>
      </c>
      <c r="D1656" s="134" t="s">
        <v>1924</v>
      </c>
      <c r="E1656" s="134"/>
    </row>
    <row r="1657" spans="1:5" x14ac:dyDescent="0.3">
      <c r="A1657" s="219"/>
      <c r="B1657" s="78">
        <v>72</v>
      </c>
      <c r="C1657" s="78" t="s">
        <v>561</v>
      </c>
      <c r="D1657" s="78" t="s">
        <v>564</v>
      </c>
      <c r="E1657" s="78" t="s">
        <v>1481</v>
      </c>
    </row>
    <row r="1658" spans="1:5" x14ac:dyDescent="0.3">
      <c r="A1658" s="219"/>
      <c r="B1658" s="78">
        <v>73</v>
      </c>
      <c r="C1658" s="78" t="s">
        <v>568</v>
      </c>
      <c r="D1658" s="78" t="s">
        <v>574</v>
      </c>
      <c r="E1658" s="78" t="s">
        <v>1513</v>
      </c>
    </row>
    <row r="1659" spans="1:5" x14ac:dyDescent="0.3">
      <c r="A1659" s="219"/>
      <c r="B1659" s="78">
        <v>134</v>
      </c>
      <c r="C1659" s="78" t="s">
        <v>927</v>
      </c>
      <c r="D1659" s="78" t="s">
        <v>564</v>
      </c>
      <c r="E1659" s="78" t="s">
        <v>1481</v>
      </c>
    </row>
    <row r="1660" spans="1:5" x14ac:dyDescent="0.3">
      <c r="A1660" s="219"/>
      <c r="B1660" s="78">
        <v>136</v>
      </c>
      <c r="C1660" s="78" t="s">
        <v>939</v>
      </c>
      <c r="D1660" s="78" t="s">
        <v>574</v>
      </c>
      <c r="E1660" s="78" t="s">
        <v>1513</v>
      </c>
    </row>
    <row r="1661" spans="1:5" x14ac:dyDescent="0.3">
      <c r="A1661" s="219"/>
      <c r="B1661" s="90"/>
      <c r="C1661" s="78" t="s">
        <v>1302</v>
      </c>
      <c r="D1661" s="78" t="s">
        <v>564</v>
      </c>
      <c r="E1661" s="78" t="s">
        <v>1481</v>
      </c>
    </row>
    <row r="1662" spans="1:5" x14ac:dyDescent="0.3">
      <c r="A1662" s="219"/>
      <c r="B1662" s="90"/>
      <c r="C1662" s="78" t="s">
        <v>1306</v>
      </c>
      <c r="D1662" s="78" t="s">
        <v>574</v>
      </c>
      <c r="E1662" s="78" t="s">
        <v>1513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F31E-C393-41A9-BA2B-E603771F0E01}">
  <sheetPr>
    <tabColor rgb="FF00B050"/>
  </sheetPr>
  <dimension ref="A2:AF34"/>
  <sheetViews>
    <sheetView tabSelected="1" workbookViewId="0">
      <selection activeCell="AG17" sqref="AG17"/>
    </sheetView>
  </sheetViews>
  <sheetFormatPr defaultRowHeight="14.4" x14ac:dyDescent="0.3"/>
  <cols>
    <col min="1" max="2" width="8.88671875" style="241"/>
    <col min="3" max="3" width="18" style="241" customWidth="1"/>
    <col min="4" max="4" width="4" style="241" customWidth="1"/>
    <col min="5" max="29" width="2.44140625" style="241"/>
    <col min="30" max="30" width="4" style="241" customWidth="1"/>
    <col min="31" max="31" width="18" style="241" customWidth="1"/>
    <col min="32" max="32" width="8.88671875" style="241"/>
  </cols>
  <sheetData>
    <row r="2" spans="3:31" ht="21" x14ac:dyDescent="0.3">
      <c r="H2" s="242"/>
      <c r="I2" s="242" t="s">
        <v>2680</v>
      </c>
      <c r="J2" s="242"/>
      <c r="K2" s="242"/>
      <c r="L2" s="242"/>
      <c r="M2" s="242"/>
      <c r="N2" s="242"/>
      <c r="O2" s="242"/>
      <c r="P2" s="242"/>
      <c r="Q2" s="242"/>
    </row>
    <row r="3" spans="3:31" x14ac:dyDescent="0.3">
      <c r="H3" s="243" t="s">
        <v>2509</v>
      </c>
      <c r="I3" s="243"/>
      <c r="J3" s="243"/>
      <c r="K3" s="243"/>
      <c r="L3" s="243"/>
      <c r="M3" s="243"/>
      <c r="N3" s="243"/>
      <c r="O3" s="243"/>
      <c r="P3" s="243"/>
      <c r="Q3" s="243"/>
    </row>
    <row r="6" spans="3:31" ht="39" thickBot="1" x14ac:dyDescent="0.35">
      <c r="C6" s="244"/>
      <c r="D6" s="244"/>
      <c r="E6" s="245" t="s">
        <v>1113</v>
      </c>
      <c r="F6" s="245" t="s">
        <v>1107</v>
      </c>
      <c r="G6" s="245" t="s">
        <v>1101</v>
      </c>
      <c r="H6" s="245" t="s">
        <v>1094</v>
      </c>
      <c r="I6" s="245" t="s">
        <v>1088</v>
      </c>
      <c r="J6" s="245" t="s">
        <v>1081</v>
      </c>
      <c r="K6" s="245" t="s">
        <v>1071</v>
      </c>
      <c r="L6" s="245" t="s">
        <v>1066</v>
      </c>
      <c r="M6" s="245" t="s">
        <v>1061</v>
      </c>
      <c r="N6" s="245" t="s">
        <v>1056</v>
      </c>
      <c r="O6" s="245" t="s">
        <v>1049</v>
      </c>
      <c r="P6" s="245" t="s">
        <v>1028</v>
      </c>
      <c r="Q6" s="245" t="s">
        <v>1013</v>
      </c>
      <c r="R6" s="246" t="s">
        <v>195</v>
      </c>
      <c r="S6" s="247" t="s">
        <v>206</v>
      </c>
      <c r="T6" s="245" t="s">
        <v>1004</v>
      </c>
      <c r="U6" s="245" t="s">
        <v>999</v>
      </c>
      <c r="V6" s="245" t="s">
        <v>993</v>
      </c>
      <c r="W6" s="245" t="s">
        <v>981</v>
      </c>
      <c r="X6" s="245" t="s">
        <v>971</v>
      </c>
      <c r="Y6" s="245" t="s">
        <v>965</v>
      </c>
      <c r="Z6" s="245" t="s">
        <v>946</v>
      </c>
      <c r="AA6" s="245" t="s">
        <v>933</v>
      </c>
      <c r="AB6" s="245" t="s">
        <v>922</v>
      </c>
      <c r="AC6" s="245" t="s">
        <v>904</v>
      </c>
      <c r="AD6" s="248"/>
      <c r="AE6" s="248"/>
    </row>
    <row r="7" spans="3:31" ht="17.399999999999999" thickTop="1" x14ac:dyDescent="0.3">
      <c r="C7" s="244"/>
      <c r="D7" s="249"/>
      <c r="E7" s="250">
        <v>100</v>
      </c>
      <c r="F7" s="250">
        <v>99</v>
      </c>
      <c r="G7" s="250">
        <v>98</v>
      </c>
      <c r="H7" s="250">
        <v>97</v>
      </c>
      <c r="I7" s="250">
        <v>96</v>
      </c>
      <c r="J7" s="250">
        <v>95</v>
      </c>
      <c r="K7" s="250">
        <v>94</v>
      </c>
      <c r="L7" s="250">
        <v>93</v>
      </c>
      <c r="M7" s="250">
        <v>92</v>
      </c>
      <c r="N7" s="250">
        <v>91</v>
      </c>
      <c r="O7" s="250">
        <v>90</v>
      </c>
      <c r="P7" s="250">
        <v>89</v>
      </c>
      <c r="Q7" s="250">
        <v>88</v>
      </c>
      <c r="R7" s="250">
        <v>87</v>
      </c>
      <c r="S7" s="250">
        <v>86</v>
      </c>
      <c r="T7" s="250">
        <v>85</v>
      </c>
      <c r="U7" s="250">
        <v>84</v>
      </c>
      <c r="V7" s="250">
        <v>83</v>
      </c>
      <c r="W7" s="250">
        <v>82</v>
      </c>
      <c r="X7" s="250">
        <v>81</v>
      </c>
      <c r="Y7" s="250">
        <v>80</v>
      </c>
      <c r="Z7" s="250">
        <v>79</v>
      </c>
      <c r="AA7" s="250">
        <v>78</v>
      </c>
      <c r="AB7" s="250">
        <v>77</v>
      </c>
      <c r="AC7" s="250">
        <v>76</v>
      </c>
      <c r="AD7" s="251"/>
      <c r="AE7" s="248"/>
    </row>
    <row r="8" spans="3:31" x14ac:dyDescent="0.3">
      <c r="C8" s="252" t="s">
        <v>58</v>
      </c>
      <c r="D8" s="253">
        <v>1</v>
      </c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54">
        <v>75</v>
      </c>
      <c r="AE8" s="255" t="s">
        <v>898</v>
      </c>
    </row>
    <row r="9" spans="3:31" x14ac:dyDescent="0.3">
      <c r="C9" s="252" t="s">
        <v>73</v>
      </c>
      <c r="D9" s="253">
        <v>2</v>
      </c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54">
        <v>74</v>
      </c>
      <c r="AE9" s="255" t="s">
        <v>889</v>
      </c>
    </row>
    <row r="10" spans="3:31" x14ac:dyDescent="0.3">
      <c r="C10" s="252" t="s">
        <v>100</v>
      </c>
      <c r="D10" s="253">
        <v>3</v>
      </c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54">
        <v>73</v>
      </c>
      <c r="AE10" s="255" t="s">
        <v>877</v>
      </c>
    </row>
    <row r="11" spans="3:31" x14ac:dyDescent="0.3">
      <c r="C11" s="252" t="s">
        <v>112</v>
      </c>
      <c r="D11" s="253">
        <v>4</v>
      </c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54">
        <v>72</v>
      </c>
      <c r="AE11" s="255" t="s">
        <v>871</v>
      </c>
    </row>
    <row r="12" spans="3:31" x14ac:dyDescent="0.3">
      <c r="C12" s="252" t="s">
        <v>124</v>
      </c>
      <c r="D12" s="253">
        <v>5</v>
      </c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54">
        <v>71</v>
      </c>
      <c r="AE12" s="255" t="s">
        <v>856</v>
      </c>
    </row>
    <row r="13" spans="3:31" x14ac:dyDescent="0.3">
      <c r="C13" s="252" t="s">
        <v>136</v>
      </c>
      <c r="D13" s="253">
        <v>6</v>
      </c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54">
        <v>70</v>
      </c>
      <c r="AE13" s="255" t="s">
        <v>849</v>
      </c>
    </row>
    <row r="14" spans="3:31" x14ac:dyDescent="0.3">
      <c r="C14" s="252" t="s">
        <v>148</v>
      </c>
      <c r="D14" s="253">
        <v>7</v>
      </c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54">
        <v>69</v>
      </c>
      <c r="AE14" s="255" t="s">
        <v>843</v>
      </c>
    </row>
    <row r="15" spans="3:31" x14ac:dyDescent="0.3">
      <c r="C15" s="256" t="s">
        <v>190</v>
      </c>
      <c r="D15" s="253">
        <v>8</v>
      </c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54">
        <v>68</v>
      </c>
      <c r="AE15" s="255" t="s">
        <v>830</v>
      </c>
    </row>
    <row r="16" spans="3:31" x14ac:dyDescent="0.3">
      <c r="C16" s="257" t="s">
        <v>193</v>
      </c>
      <c r="D16" s="253">
        <v>9</v>
      </c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54">
        <v>67</v>
      </c>
      <c r="AE16" s="255" t="s">
        <v>824</v>
      </c>
    </row>
    <row r="17" spans="3:31" x14ac:dyDescent="0.3">
      <c r="C17" s="256" t="s">
        <v>195</v>
      </c>
      <c r="D17" s="253">
        <v>10</v>
      </c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54">
        <v>66</v>
      </c>
      <c r="AE17" s="255" t="s">
        <v>811</v>
      </c>
    </row>
    <row r="18" spans="3:31" x14ac:dyDescent="0.3">
      <c r="C18" s="256" t="s">
        <v>198</v>
      </c>
      <c r="D18" s="253">
        <v>11</v>
      </c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54">
        <v>65</v>
      </c>
      <c r="AE18" s="255" t="s">
        <v>806</v>
      </c>
    </row>
    <row r="19" spans="3:31" x14ac:dyDescent="0.3">
      <c r="C19" s="256" t="s">
        <v>201</v>
      </c>
      <c r="D19" s="253">
        <v>12</v>
      </c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54">
        <v>64</v>
      </c>
      <c r="AE19" s="255" t="s">
        <v>801</v>
      </c>
    </row>
    <row r="20" spans="3:31" x14ac:dyDescent="0.3">
      <c r="C20" s="256" t="s">
        <v>204</v>
      </c>
      <c r="D20" s="253">
        <v>13</v>
      </c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54">
        <v>63</v>
      </c>
      <c r="AE20" s="255" t="s">
        <v>788</v>
      </c>
    </row>
    <row r="21" spans="3:31" x14ac:dyDescent="0.3">
      <c r="C21" s="257" t="s">
        <v>206</v>
      </c>
      <c r="D21" s="253">
        <v>14</v>
      </c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54">
        <v>62</v>
      </c>
      <c r="AE21" s="258" t="s">
        <v>195</v>
      </c>
    </row>
    <row r="22" spans="3:31" x14ac:dyDescent="0.3">
      <c r="C22" s="252" t="s">
        <v>209</v>
      </c>
      <c r="D22" s="253">
        <v>15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54">
        <v>61</v>
      </c>
      <c r="AE22" s="259" t="s">
        <v>206</v>
      </c>
    </row>
    <row r="23" spans="3:31" x14ac:dyDescent="0.3">
      <c r="C23" s="257" t="s">
        <v>206</v>
      </c>
      <c r="D23" s="253">
        <v>16</v>
      </c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54">
        <v>60</v>
      </c>
      <c r="AE23" s="258" t="s">
        <v>204</v>
      </c>
    </row>
    <row r="24" spans="3:31" x14ac:dyDescent="0.3">
      <c r="C24" s="252" t="s">
        <v>213</v>
      </c>
      <c r="D24" s="253">
        <v>17</v>
      </c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54">
        <v>59</v>
      </c>
      <c r="AE24" s="258" t="s">
        <v>201</v>
      </c>
    </row>
    <row r="25" spans="3:31" x14ac:dyDescent="0.3">
      <c r="C25" s="252" t="s">
        <v>223</v>
      </c>
      <c r="D25" s="253">
        <v>18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54">
        <v>58</v>
      </c>
      <c r="AE25" s="255" t="s">
        <v>763</v>
      </c>
    </row>
    <row r="26" spans="3:31" x14ac:dyDescent="0.3">
      <c r="C26" s="252" t="s">
        <v>241</v>
      </c>
      <c r="D26" s="253">
        <v>19</v>
      </c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54">
        <v>57</v>
      </c>
      <c r="AE26" s="255" t="s">
        <v>752</v>
      </c>
    </row>
    <row r="27" spans="3:31" x14ac:dyDescent="0.3">
      <c r="C27" s="252" t="s">
        <v>259</v>
      </c>
      <c r="D27" s="253">
        <v>20</v>
      </c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54">
        <v>56</v>
      </c>
      <c r="AE27" s="255" t="s">
        <v>739</v>
      </c>
    </row>
    <row r="28" spans="3:31" x14ac:dyDescent="0.3">
      <c r="C28" s="252" t="s">
        <v>286</v>
      </c>
      <c r="D28" s="253">
        <v>21</v>
      </c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54">
        <v>55</v>
      </c>
      <c r="AE28" s="255" t="s">
        <v>733</v>
      </c>
    </row>
    <row r="29" spans="3:31" x14ac:dyDescent="0.3">
      <c r="C29" s="252" t="s">
        <v>295</v>
      </c>
      <c r="D29" s="253">
        <v>22</v>
      </c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54">
        <v>54</v>
      </c>
      <c r="AE29" s="255" t="s">
        <v>720</v>
      </c>
    </row>
    <row r="30" spans="3:31" x14ac:dyDescent="0.3">
      <c r="C30" s="252" t="s">
        <v>309</v>
      </c>
      <c r="D30" s="253">
        <v>23</v>
      </c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54">
        <v>53</v>
      </c>
      <c r="AE30" s="255" t="s">
        <v>713</v>
      </c>
    </row>
    <row r="31" spans="3:31" x14ac:dyDescent="0.3">
      <c r="C31" s="257" t="s">
        <v>206</v>
      </c>
      <c r="D31" s="253">
        <v>24</v>
      </c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54">
        <v>52</v>
      </c>
      <c r="AE31" s="255" t="s">
        <v>699</v>
      </c>
    </row>
    <row r="32" spans="3:31" x14ac:dyDescent="0.3">
      <c r="C32" s="256" t="s">
        <v>320</v>
      </c>
      <c r="D32" s="253">
        <v>25</v>
      </c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54">
        <v>51</v>
      </c>
      <c r="AE32" s="255" t="s">
        <v>685</v>
      </c>
    </row>
    <row r="33" spans="3:31" ht="15" thickBot="1" x14ac:dyDescent="0.35">
      <c r="C33" s="244"/>
      <c r="D33" s="260"/>
      <c r="E33" s="261">
        <v>26</v>
      </c>
      <c r="F33" s="261">
        <v>27</v>
      </c>
      <c r="G33" s="261">
        <v>28</v>
      </c>
      <c r="H33" s="261">
        <v>29</v>
      </c>
      <c r="I33" s="261">
        <v>30</v>
      </c>
      <c r="J33" s="261">
        <v>31</v>
      </c>
      <c r="K33" s="261">
        <v>32</v>
      </c>
      <c r="L33" s="261">
        <v>33</v>
      </c>
      <c r="M33" s="261">
        <v>34</v>
      </c>
      <c r="N33" s="261">
        <v>35</v>
      </c>
      <c r="O33" s="261">
        <v>36</v>
      </c>
      <c r="P33" s="261">
        <v>37</v>
      </c>
      <c r="Q33" s="261">
        <v>38</v>
      </c>
      <c r="R33" s="261">
        <v>39</v>
      </c>
      <c r="S33" s="261">
        <v>40</v>
      </c>
      <c r="T33" s="261">
        <v>41</v>
      </c>
      <c r="U33" s="261">
        <v>42</v>
      </c>
      <c r="V33" s="261">
        <v>43</v>
      </c>
      <c r="W33" s="261">
        <v>44</v>
      </c>
      <c r="X33" s="261">
        <v>45</v>
      </c>
      <c r="Y33" s="261">
        <v>46</v>
      </c>
      <c r="Z33" s="261">
        <v>47</v>
      </c>
      <c r="AA33" s="261">
        <v>48</v>
      </c>
      <c r="AB33" s="261">
        <v>49</v>
      </c>
      <c r="AC33" s="261">
        <v>50</v>
      </c>
      <c r="AD33" s="262"/>
      <c r="AE33" s="248"/>
    </row>
    <row r="34" spans="3:31" ht="39" thickTop="1" x14ac:dyDescent="0.3">
      <c r="C34" s="244"/>
      <c r="D34" s="244"/>
      <c r="E34" s="263" t="s">
        <v>378</v>
      </c>
      <c r="F34" s="263" t="s">
        <v>389</v>
      </c>
      <c r="G34" s="263" t="s">
        <v>396</v>
      </c>
      <c r="H34" s="263" t="s">
        <v>403</v>
      </c>
      <c r="I34" s="264" t="s">
        <v>409</v>
      </c>
      <c r="J34" s="264" t="s">
        <v>419</v>
      </c>
      <c r="K34" s="263" t="s">
        <v>428</v>
      </c>
      <c r="L34" s="263" t="s">
        <v>437</v>
      </c>
      <c r="M34" s="264" t="s">
        <v>444</v>
      </c>
      <c r="N34" s="264" t="s">
        <v>452</v>
      </c>
      <c r="O34" s="264" t="s">
        <v>459</v>
      </c>
      <c r="P34" s="265" t="s">
        <v>320</v>
      </c>
      <c r="Q34" s="266" t="s">
        <v>206</v>
      </c>
      <c r="R34" s="263" t="s">
        <v>470</v>
      </c>
      <c r="S34" s="263" t="s">
        <v>477</v>
      </c>
      <c r="T34" s="263" t="s">
        <v>482</v>
      </c>
      <c r="U34" s="263" t="s">
        <v>491</v>
      </c>
      <c r="V34" s="263" t="s">
        <v>499</v>
      </c>
      <c r="W34" s="263" t="s">
        <v>507</v>
      </c>
      <c r="X34" s="263" t="s">
        <v>525</v>
      </c>
      <c r="Y34" s="263" t="s">
        <v>552</v>
      </c>
      <c r="Z34" s="263" t="s">
        <v>577</v>
      </c>
      <c r="AA34" s="263" t="s">
        <v>604</v>
      </c>
      <c r="AB34" s="263" t="s">
        <v>621</v>
      </c>
      <c r="AC34" s="263" t="s">
        <v>636</v>
      </c>
      <c r="AD34" s="248"/>
      <c r="AE34" s="24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79A7-3867-4E31-8F47-44643D11AFE4}">
  <sheetPr>
    <tabColor rgb="FF00B050"/>
  </sheetPr>
  <dimension ref="C2:AW52"/>
  <sheetViews>
    <sheetView workbookViewId="0">
      <selection activeCell="H3" sqref="H3"/>
    </sheetView>
  </sheetViews>
  <sheetFormatPr defaultColWidth="2.44140625" defaultRowHeight="9.4499999999999993" customHeight="1" x14ac:dyDescent="0.3"/>
  <cols>
    <col min="1" max="2" width="2.44140625" style="71"/>
    <col min="3" max="3" width="18" style="71" customWidth="1"/>
    <col min="4" max="4" width="4" style="71" customWidth="1"/>
    <col min="5" max="47" width="2.44140625" style="71"/>
    <col min="48" max="48" width="4" style="71" customWidth="1"/>
    <col min="49" max="49" width="18" style="71" customWidth="1"/>
    <col min="50" max="16384" width="2.44140625" style="71"/>
  </cols>
  <sheetData>
    <row r="2" spans="3:49" ht="19.95" customHeight="1" x14ac:dyDescent="0.3">
      <c r="H2" s="169" t="s">
        <v>2508</v>
      </c>
      <c r="I2" s="169"/>
      <c r="J2" s="169"/>
      <c r="K2" s="169"/>
      <c r="L2" s="169"/>
      <c r="M2" s="169"/>
      <c r="N2" s="169"/>
      <c r="O2" s="169"/>
      <c r="P2" s="169"/>
      <c r="Q2" s="169"/>
    </row>
    <row r="3" spans="3:49" ht="19.95" customHeight="1" x14ac:dyDescent="0.3">
      <c r="H3" s="168" t="s">
        <v>2509</v>
      </c>
      <c r="I3" s="105"/>
      <c r="J3" s="105"/>
      <c r="K3" s="105"/>
      <c r="L3" s="105"/>
      <c r="M3" s="105"/>
      <c r="N3" s="105"/>
      <c r="O3" s="105"/>
      <c r="P3" s="105"/>
      <c r="Q3" s="105"/>
    </row>
    <row r="6" spans="3:49" ht="75" customHeight="1" thickBot="1" x14ac:dyDescent="0.35">
      <c r="C6" s="111"/>
      <c r="D6" s="111"/>
      <c r="E6" s="112" t="s">
        <v>1113</v>
      </c>
      <c r="F6" s="112" t="s">
        <v>1107</v>
      </c>
      <c r="G6" s="112" t="s">
        <v>1101</v>
      </c>
      <c r="H6" s="113" t="s">
        <v>195</v>
      </c>
      <c r="I6" s="114" t="s">
        <v>206</v>
      </c>
      <c r="J6" s="112" t="s">
        <v>1094</v>
      </c>
      <c r="K6" s="112" t="s">
        <v>1088</v>
      </c>
      <c r="L6" s="112" t="s">
        <v>1081</v>
      </c>
      <c r="M6" s="112" t="s">
        <v>1076</v>
      </c>
      <c r="N6" s="112" t="s">
        <v>1071</v>
      </c>
      <c r="O6" s="112" t="s">
        <v>1066</v>
      </c>
      <c r="P6" s="112" t="s">
        <v>1061</v>
      </c>
      <c r="Q6" s="112" t="s">
        <v>1056</v>
      </c>
      <c r="R6" s="112" t="s">
        <v>1049</v>
      </c>
      <c r="S6" s="112" t="s">
        <v>1044</v>
      </c>
      <c r="T6" s="112" t="s">
        <v>1039</v>
      </c>
      <c r="U6" s="112" t="s">
        <v>1034</v>
      </c>
      <c r="V6" s="112" t="s">
        <v>1028</v>
      </c>
      <c r="W6" s="112" t="s">
        <v>1023</v>
      </c>
      <c r="X6" s="112" t="s">
        <v>1018</v>
      </c>
      <c r="Y6" s="112" t="s">
        <v>1013</v>
      </c>
      <c r="Z6" s="113" t="s">
        <v>195</v>
      </c>
      <c r="AA6" s="114" t="s">
        <v>206</v>
      </c>
      <c r="AB6" s="113" t="s">
        <v>204</v>
      </c>
      <c r="AC6" s="113" t="s">
        <v>201</v>
      </c>
      <c r="AD6" s="112" t="s">
        <v>1004</v>
      </c>
      <c r="AE6" s="112" t="s">
        <v>999</v>
      </c>
      <c r="AF6" s="112" t="s">
        <v>993</v>
      </c>
      <c r="AG6" s="112" t="s">
        <v>988</v>
      </c>
      <c r="AH6" s="112" t="s">
        <v>981</v>
      </c>
      <c r="AI6" s="112" t="s">
        <v>976</v>
      </c>
      <c r="AJ6" s="112" t="s">
        <v>971</v>
      </c>
      <c r="AK6" s="112" t="s">
        <v>965</v>
      </c>
      <c r="AL6" s="112" t="s">
        <v>960</v>
      </c>
      <c r="AM6" s="112" t="s">
        <v>954</v>
      </c>
      <c r="AN6" s="112" t="s">
        <v>946</v>
      </c>
      <c r="AO6" s="112" t="s">
        <v>940</v>
      </c>
      <c r="AP6" s="112" t="s">
        <v>933</v>
      </c>
      <c r="AQ6" s="112" t="s">
        <v>928</v>
      </c>
      <c r="AR6" s="112" t="s">
        <v>922</v>
      </c>
      <c r="AS6" s="112" t="s">
        <v>916</v>
      </c>
      <c r="AT6" s="112" t="s">
        <v>909</v>
      </c>
      <c r="AU6" s="112" t="s">
        <v>904</v>
      </c>
      <c r="AV6" s="115"/>
      <c r="AW6" s="115"/>
    </row>
    <row r="7" spans="3:49" ht="19.95" customHeight="1" thickTop="1" x14ac:dyDescent="0.3">
      <c r="C7" s="111"/>
      <c r="D7" s="116"/>
      <c r="E7" s="117">
        <v>172</v>
      </c>
      <c r="F7" s="117">
        <v>171</v>
      </c>
      <c r="G7" s="117">
        <v>170</v>
      </c>
      <c r="H7" s="117">
        <v>169</v>
      </c>
      <c r="I7" s="117">
        <v>168</v>
      </c>
      <c r="J7" s="117">
        <v>167</v>
      </c>
      <c r="K7" s="117">
        <v>166</v>
      </c>
      <c r="L7" s="117">
        <v>165</v>
      </c>
      <c r="M7" s="117">
        <v>164</v>
      </c>
      <c r="N7" s="117">
        <v>163</v>
      </c>
      <c r="O7" s="117">
        <v>162</v>
      </c>
      <c r="P7" s="117">
        <v>161</v>
      </c>
      <c r="Q7" s="117">
        <v>160</v>
      </c>
      <c r="R7" s="117">
        <v>159</v>
      </c>
      <c r="S7" s="117">
        <v>158</v>
      </c>
      <c r="T7" s="117">
        <v>157</v>
      </c>
      <c r="U7" s="117">
        <v>156</v>
      </c>
      <c r="V7" s="117">
        <v>155</v>
      </c>
      <c r="W7" s="117">
        <v>154</v>
      </c>
      <c r="X7" s="117">
        <v>153</v>
      </c>
      <c r="Y7" s="117">
        <v>152</v>
      </c>
      <c r="Z7" s="117">
        <v>151</v>
      </c>
      <c r="AA7" s="117">
        <v>150</v>
      </c>
      <c r="AB7" s="117">
        <v>149</v>
      </c>
      <c r="AC7" s="117">
        <v>148</v>
      </c>
      <c r="AD7" s="117">
        <v>147</v>
      </c>
      <c r="AE7" s="117">
        <v>146</v>
      </c>
      <c r="AF7" s="117">
        <v>145</v>
      </c>
      <c r="AG7" s="117">
        <v>144</v>
      </c>
      <c r="AH7" s="117">
        <v>143</v>
      </c>
      <c r="AI7" s="117">
        <v>142</v>
      </c>
      <c r="AJ7" s="117">
        <v>141</v>
      </c>
      <c r="AK7" s="117">
        <v>140</v>
      </c>
      <c r="AL7" s="117">
        <v>139</v>
      </c>
      <c r="AM7" s="117">
        <v>138</v>
      </c>
      <c r="AN7" s="117">
        <v>137</v>
      </c>
      <c r="AO7" s="117">
        <v>136</v>
      </c>
      <c r="AP7" s="117">
        <v>135</v>
      </c>
      <c r="AQ7" s="117">
        <v>134</v>
      </c>
      <c r="AR7" s="117">
        <v>133</v>
      </c>
      <c r="AS7" s="117">
        <v>132</v>
      </c>
      <c r="AT7" s="117">
        <v>131</v>
      </c>
      <c r="AU7" s="117">
        <v>130</v>
      </c>
      <c r="AV7" s="118"/>
      <c r="AW7" s="115"/>
    </row>
    <row r="8" spans="3:49" ht="14.4" x14ac:dyDescent="0.3">
      <c r="C8" s="119" t="s">
        <v>23</v>
      </c>
      <c r="D8" s="120">
        <v>1</v>
      </c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21">
        <v>129</v>
      </c>
      <c r="AW8" s="122" t="s">
        <v>898</v>
      </c>
    </row>
    <row r="9" spans="3:49" ht="14.4" x14ac:dyDescent="0.3">
      <c r="C9" s="119" t="s">
        <v>37</v>
      </c>
      <c r="D9" s="120">
        <v>2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21">
        <v>128</v>
      </c>
      <c r="AW9" s="123" t="s">
        <v>195</v>
      </c>
    </row>
    <row r="10" spans="3:49" ht="14.4" x14ac:dyDescent="0.3">
      <c r="C10" s="119" t="s">
        <v>48</v>
      </c>
      <c r="D10" s="120">
        <v>3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21">
        <v>127</v>
      </c>
      <c r="AW10" s="124" t="s">
        <v>206</v>
      </c>
    </row>
    <row r="11" spans="3:49" ht="14.4" x14ac:dyDescent="0.3">
      <c r="C11" s="119" t="s">
        <v>58</v>
      </c>
      <c r="D11" s="120">
        <v>4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21">
        <v>126</v>
      </c>
      <c r="AW11" s="122" t="s">
        <v>889</v>
      </c>
    </row>
    <row r="12" spans="3:49" ht="14.4" x14ac:dyDescent="0.3">
      <c r="C12" s="119" t="s">
        <v>73</v>
      </c>
      <c r="D12" s="120">
        <v>5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21">
        <v>125</v>
      </c>
      <c r="AW12" s="122" t="s">
        <v>882</v>
      </c>
    </row>
    <row r="13" spans="3:49" ht="14.4" x14ac:dyDescent="0.3">
      <c r="C13" s="119" t="s">
        <v>88</v>
      </c>
      <c r="D13" s="120">
        <v>6</v>
      </c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21">
        <v>124</v>
      </c>
      <c r="AW13" s="122" t="s">
        <v>877</v>
      </c>
    </row>
    <row r="14" spans="3:49" ht="14.4" x14ac:dyDescent="0.3">
      <c r="C14" s="119" t="s">
        <v>100</v>
      </c>
      <c r="D14" s="120">
        <v>7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21">
        <v>123</v>
      </c>
      <c r="AW14" s="122" t="s">
        <v>871</v>
      </c>
    </row>
    <row r="15" spans="3:49" ht="14.4" x14ac:dyDescent="0.3">
      <c r="C15" s="119" t="s">
        <v>112</v>
      </c>
      <c r="D15" s="120">
        <v>8</v>
      </c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21">
        <v>122</v>
      </c>
      <c r="AW15" s="122" t="s">
        <v>863</v>
      </c>
    </row>
    <row r="16" spans="3:49" ht="14.4" x14ac:dyDescent="0.3">
      <c r="C16" s="119" t="s">
        <v>124</v>
      </c>
      <c r="D16" s="120">
        <v>9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21">
        <v>121</v>
      </c>
      <c r="AW16" s="122" t="s">
        <v>856</v>
      </c>
    </row>
    <row r="17" spans="3:49" ht="14.4" x14ac:dyDescent="0.3">
      <c r="C17" s="119" t="s">
        <v>136</v>
      </c>
      <c r="D17" s="120">
        <v>10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21">
        <v>120</v>
      </c>
      <c r="AW17" s="122" t="s">
        <v>849</v>
      </c>
    </row>
    <row r="18" spans="3:49" ht="14.4" x14ac:dyDescent="0.3">
      <c r="C18" s="119" t="s">
        <v>148</v>
      </c>
      <c r="D18" s="120">
        <v>11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21">
        <v>119</v>
      </c>
      <c r="AW18" s="122" t="s">
        <v>843</v>
      </c>
    </row>
    <row r="19" spans="3:49" ht="14.4" x14ac:dyDescent="0.3">
      <c r="C19" s="119" t="s">
        <v>155</v>
      </c>
      <c r="D19" s="120">
        <v>12</v>
      </c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21">
        <v>118</v>
      </c>
      <c r="AW19" s="122" t="s">
        <v>836</v>
      </c>
    </row>
    <row r="20" spans="3:49" ht="14.4" x14ac:dyDescent="0.3">
      <c r="C20" s="119" t="s">
        <v>164</v>
      </c>
      <c r="D20" s="120">
        <v>13</v>
      </c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21">
        <v>117</v>
      </c>
      <c r="AW20" s="122" t="s">
        <v>830</v>
      </c>
    </row>
    <row r="21" spans="3:49" ht="14.4" x14ac:dyDescent="0.3">
      <c r="C21" s="119" t="s">
        <v>176</v>
      </c>
      <c r="D21" s="120">
        <v>14</v>
      </c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21">
        <v>116</v>
      </c>
      <c r="AW21" s="122" t="s">
        <v>824</v>
      </c>
    </row>
    <row r="22" spans="3:49" ht="14.4" x14ac:dyDescent="0.3">
      <c r="C22" s="119" t="s">
        <v>183</v>
      </c>
      <c r="D22" s="120">
        <v>15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21">
        <v>115</v>
      </c>
      <c r="AW22" s="122" t="s">
        <v>817</v>
      </c>
    </row>
    <row r="23" spans="3:49" ht="14.4" x14ac:dyDescent="0.3">
      <c r="C23" s="125" t="s">
        <v>190</v>
      </c>
      <c r="D23" s="120">
        <v>16</v>
      </c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21">
        <v>114</v>
      </c>
      <c r="AW23" s="122" t="s">
        <v>811</v>
      </c>
    </row>
    <row r="24" spans="3:49" ht="14.4" x14ac:dyDescent="0.3">
      <c r="C24" s="126" t="s">
        <v>193</v>
      </c>
      <c r="D24" s="120">
        <v>17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21">
        <v>113</v>
      </c>
      <c r="AW24" s="122" t="s">
        <v>806</v>
      </c>
    </row>
    <row r="25" spans="3:49" ht="14.4" x14ac:dyDescent="0.3">
      <c r="C25" s="125" t="s">
        <v>195</v>
      </c>
      <c r="D25" s="120">
        <v>18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21">
        <v>112</v>
      </c>
      <c r="AW25" s="122" t="s">
        <v>801</v>
      </c>
    </row>
    <row r="26" spans="3:49" ht="14.4" x14ac:dyDescent="0.3">
      <c r="C26" s="125" t="s">
        <v>198</v>
      </c>
      <c r="D26" s="120">
        <v>19</v>
      </c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21">
        <v>111</v>
      </c>
      <c r="AW26" s="122" t="s">
        <v>794</v>
      </c>
    </row>
    <row r="27" spans="3:49" ht="14.4" x14ac:dyDescent="0.3">
      <c r="C27" s="125" t="s">
        <v>201</v>
      </c>
      <c r="D27" s="120">
        <v>20</v>
      </c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21">
        <v>110</v>
      </c>
      <c r="AW27" s="122" t="s">
        <v>788</v>
      </c>
    </row>
    <row r="28" spans="3:49" ht="14.4" x14ac:dyDescent="0.3">
      <c r="C28" s="125" t="s">
        <v>204</v>
      </c>
      <c r="D28" s="120">
        <v>21</v>
      </c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21">
        <v>109</v>
      </c>
      <c r="AW28" s="122" t="s">
        <v>783</v>
      </c>
    </row>
    <row r="29" spans="3:49" ht="14.4" x14ac:dyDescent="0.3">
      <c r="C29" s="126" t="s">
        <v>206</v>
      </c>
      <c r="D29" s="120">
        <v>22</v>
      </c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21">
        <v>108</v>
      </c>
      <c r="AW29" s="123" t="s">
        <v>195</v>
      </c>
    </row>
    <row r="30" spans="3:49" ht="14.4" x14ac:dyDescent="0.3">
      <c r="C30" s="119" t="s">
        <v>209</v>
      </c>
      <c r="D30" s="120">
        <v>23</v>
      </c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21">
        <v>107</v>
      </c>
      <c r="AW30" s="124" t="s">
        <v>206</v>
      </c>
    </row>
    <row r="31" spans="3:49" ht="14.4" x14ac:dyDescent="0.3">
      <c r="C31" s="126" t="s">
        <v>206</v>
      </c>
      <c r="D31" s="120">
        <v>24</v>
      </c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21">
        <v>106</v>
      </c>
      <c r="AW31" s="123" t="s">
        <v>204</v>
      </c>
    </row>
    <row r="32" spans="3:49" ht="14.4" x14ac:dyDescent="0.3">
      <c r="C32" s="119" t="s">
        <v>213</v>
      </c>
      <c r="D32" s="120">
        <v>25</v>
      </c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21">
        <v>105</v>
      </c>
      <c r="AW32" s="123" t="s">
        <v>201</v>
      </c>
    </row>
    <row r="33" spans="3:49" ht="14.4" x14ac:dyDescent="0.3">
      <c r="C33" s="119" t="s">
        <v>215</v>
      </c>
      <c r="D33" s="120">
        <v>26</v>
      </c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21">
        <v>104</v>
      </c>
      <c r="AW33" s="122" t="s">
        <v>775</v>
      </c>
    </row>
    <row r="34" spans="3:49" ht="14.4" x14ac:dyDescent="0.3">
      <c r="C34" s="119" t="s">
        <v>223</v>
      </c>
      <c r="D34" s="120">
        <v>27</v>
      </c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21">
        <v>103</v>
      </c>
      <c r="AW34" s="122" t="s">
        <v>768</v>
      </c>
    </row>
    <row r="35" spans="3:49" ht="14.4" x14ac:dyDescent="0.3">
      <c r="C35" s="119" t="s">
        <v>233</v>
      </c>
      <c r="D35" s="120">
        <v>28</v>
      </c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21">
        <v>102</v>
      </c>
      <c r="AW35" s="122" t="s">
        <v>763</v>
      </c>
    </row>
    <row r="36" spans="3:49" ht="14.4" x14ac:dyDescent="0.3">
      <c r="C36" s="119" t="s">
        <v>241</v>
      </c>
      <c r="D36" s="120">
        <v>29</v>
      </c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21">
        <v>101</v>
      </c>
      <c r="AW36" s="122" t="s">
        <v>757</v>
      </c>
    </row>
    <row r="37" spans="3:49" ht="14.4" x14ac:dyDescent="0.3">
      <c r="C37" s="119" t="s">
        <v>250</v>
      </c>
      <c r="D37" s="120">
        <v>30</v>
      </c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21">
        <v>100</v>
      </c>
      <c r="AW37" s="122" t="s">
        <v>752</v>
      </c>
    </row>
    <row r="38" spans="3:49" ht="14.4" x14ac:dyDescent="0.3">
      <c r="C38" s="119" t="s">
        <v>259</v>
      </c>
      <c r="D38" s="120">
        <v>31</v>
      </c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21">
        <v>99</v>
      </c>
      <c r="AW38" s="122" t="s">
        <v>745</v>
      </c>
    </row>
    <row r="39" spans="3:49" ht="14.4" x14ac:dyDescent="0.3">
      <c r="C39" s="119" t="s">
        <v>271</v>
      </c>
      <c r="D39" s="120">
        <v>32</v>
      </c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21">
        <v>98</v>
      </c>
      <c r="AW39" s="122" t="s">
        <v>739</v>
      </c>
    </row>
    <row r="40" spans="3:49" ht="14.4" x14ac:dyDescent="0.3">
      <c r="C40" s="119" t="s">
        <v>277</v>
      </c>
      <c r="D40" s="120">
        <v>33</v>
      </c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21">
        <v>97</v>
      </c>
      <c r="AW40" s="122" t="s">
        <v>733</v>
      </c>
    </row>
    <row r="41" spans="3:49" ht="14.4" x14ac:dyDescent="0.3">
      <c r="C41" s="119" t="s">
        <v>286</v>
      </c>
      <c r="D41" s="120">
        <v>34</v>
      </c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21">
        <v>96</v>
      </c>
      <c r="AW41" s="122" t="s">
        <v>728</v>
      </c>
    </row>
    <row r="42" spans="3:49" ht="14.4" x14ac:dyDescent="0.3">
      <c r="C42" s="119" t="s">
        <v>295</v>
      </c>
      <c r="D42" s="120">
        <v>35</v>
      </c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21">
        <v>95</v>
      </c>
      <c r="AW42" s="122" t="s">
        <v>720</v>
      </c>
    </row>
    <row r="43" spans="3:49" ht="14.4" x14ac:dyDescent="0.3">
      <c r="C43" s="119" t="s">
        <v>309</v>
      </c>
      <c r="D43" s="120">
        <v>36</v>
      </c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21">
        <v>94</v>
      </c>
      <c r="AW43" s="122" t="s">
        <v>713</v>
      </c>
    </row>
    <row r="44" spans="3:49" ht="14.4" x14ac:dyDescent="0.3">
      <c r="C44" s="126" t="s">
        <v>206</v>
      </c>
      <c r="D44" s="120">
        <v>37</v>
      </c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21">
        <v>93</v>
      </c>
      <c r="AW44" s="122" t="s">
        <v>707</v>
      </c>
    </row>
    <row r="45" spans="3:49" ht="14.4" x14ac:dyDescent="0.3">
      <c r="C45" s="125" t="s">
        <v>320</v>
      </c>
      <c r="D45" s="120">
        <v>38</v>
      </c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21">
        <v>92</v>
      </c>
      <c r="AW45" s="122" t="s">
        <v>699</v>
      </c>
    </row>
    <row r="46" spans="3:49" ht="14.4" x14ac:dyDescent="0.3">
      <c r="C46" s="119" t="s">
        <v>322</v>
      </c>
      <c r="D46" s="120">
        <v>39</v>
      </c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21">
        <v>91</v>
      </c>
      <c r="AW46" s="122" t="s">
        <v>693</v>
      </c>
    </row>
    <row r="47" spans="3:49" ht="14.4" x14ac:dyDescent="0.3">
      <c r="C47" s="119" t="s">
        <v>328</v>
      </c>
      <c r="D47" s="120">
        <v>40</v>
      </c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21">
        <v>90</v>
      </c>
      <c r="AW47" s="122" t="s">
        <v>685</v>
      </c>
    </row>
    <row r="48" spans="3:49" ht="14.4" x14ac:dyDescent="0.3">
      <c r="C48" s="119" t="s">
        <v>338</v>
      </c>
      <c r="D48" s="120">
        <v>41</v>
      </c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21">
        <v>89</v>
      </c>
      <c r="AW48" s="122" t="s">
        <v>679</v>
      </c>
    </row>
    <row r="49" spans="3:49" ht="14.4" x14ac:dyDescent="0.3">
      <c r="C49" s="119" t="s">
        <v>347</v>
      </c>
      <c r="D49" s="120">
        <v>42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21">
        <v>88</v>
      </c>
      <c r="AW49" s="122" t="s">
        <v>672</v>
      </c>
    </row>
    <row r="50" spans="3:49" ht="14.4" x14ac:dyDescent="0.3">
      <c r="C50" s="119" t="s">
        <v>354</v>
      </c>
      <c r="D50" s="120">
        <v>43</v>
      </c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21">
        <v>87</v>
      </c>
      <c r="AW50" s="122" t="s">
        <v>666</v>
      </c>
    </row>
    <row r="51" spans="3:49" ht="19.95" customHeight="1" thickBot="1" x14ac:dyDescent="0.35">
      <c r="C51" s="111"/>
      <c r="D51" s="127"/>
      <c r="E51" s="128">
        <v>44</v>
      </c>
      <c r="F51" s="128">
        <v>45</v>
      </c>
      <c r="G51" s="128">
        <v>46</v>
      </c>
      <c r="H51" s="128">
        <v>47</v>
      </c>
      <c r="I51" s="128">
        <v>48</v>
      </c>
      <c r="J51" s="128">
        <v>49</v>
      </c>
      <c r="K51" s="128">
        <v>50</v>
      </c>
      <c r="L51" s="128">
        <v>51</v>
      </c>
      <c r="M51" s="128">
        <v>52</v>
      </c>
      <c r="N51" s="128">
        <v>53</v>
      </c>
      <c r="O51" s="128">
        <v>54</v>
      </c>
      <c r="P51" s="128">
        <v>55</v>
      </c>
      <c r="Q51" s="128">
        <v>56</v>
      </c>
      <c r="R51" s="128">
        <v>57</v>
      </c>
      <c r="S51" s="128">
        <v>58</v>
      </c>
      <c r="T51" s="128">
        <v>59</v>
      </c>
      <c r="U51" s="128">
        <v>60</v>
      </c>
      <c r="V51" s="128">
        <v>61</v>
      </c>
      <c r="W51" s="128">
        <v>62</v>
      </c>
      <c r="X51" s="128">
        <v>63</v>
      </c>
      <c r="Y51" s="128">
        <v>64</v>
      </c>
      <c r="Z51" s="128">
        <v>65</v>
      </c>
      <c r="AA51" s="128">
        <v>66</v>
      </c>
      <c r="AB51" s="128">
        <v>67</v>
      </c>
      <c r="AC51" s="128">
        <v>68</v>
      </c>
      <c r="AD51" s="128">
        <v>69</v>
      </c>
      <c r="AE51" s="128">
        <v>70</v>
      </c>
      <c r="AF51" s="128">
        <v>71</v>
      </c>
      <c r="AG51" s="128">
        <v>72</v>
      </c>
      <c r="AH51" s="128">
        <v>73</v>
      </c>
      <c r="AI51" s="128">
        <v>74</v>
      </c>
      <c r="AJ51" s="128">
        <v>75</v>
      </c>
      <c r="AK51" s="128">
        <v>76</v>
      </c>
      <c r="AL51" s="128">
        <v>77</v>
      </c>
      <c r="AM51" s="128">
        <v>78</v>
      </c>
      <c r="AN51" s="128">
        <v>79</v>
      </c>
      <c r="AO51" s="128">
        <v>80</v>
      </c>
      <c r="AP51" s="128">
        <v>81</v>
      </c>
      <c r="AQ51" s="128">
        <v>82</v>
      </c>
      <c r="AR51" s="128">
        <v>83</v>
      </c>
      <c r="AS51" s="128">
        <v>84</v>
      </c>
      <c r="AT51" s="128">
        <v>85</v>
      </c>
      <c r="AU51" s="128">
        <v>86</v>
      </c>
      <c r="AV51" s="129"/>
      <c r="AW51" s="115"/>
    </row>
    <row r="52" spans="3:49" ht="75" customHeight="1" thickTop="1" x14ac:dyDescent="0.3">
      <c r="C52" s="111"/>
      <c r="D52" s="111"/>
      <c r="E52" s="130" t="s">
        <v>362</v>
      </c>
      <c r="F52" s="130" t="s">
        <v>369</v>
      </c>
      <c r="G52" s="130" t="s">
        <v>378</v>
      </c>
      <c r="H52" s="130" t="s">
        <v>389</v>
      </c>
      <c r="I52" s="130" t="s">
        <v>396</v>
      </c>
      <c r="J52" s="130" t="s">
        <v>403</v>
      </c>
      <c r="K52" s="131" t="s">
        <v>409</v>
      </c>
      <c r="L52" s="131" t="s">
        <v>419</v>
      </c>
      <c r="M52" s="130" t="s">
        <v>428</v>
      </c>
      <c r="N52" s="130" t="s">
        <v>437</v>
      </c>
      <c r="O52" s="131" t="s">
        <v>444</v>
      </c>
      <c r="P52" s="131" t="s">
        <v>452</v>
      </c>
      <c r="Q52" s="131" t="s">
        <v>459</v>
      </c>
      <c r="R52" s="132" t="s">
        <v>320</v>
      </c>
      <c r="S52" s="133" t="s">
        <v>206</v>
      </c>
      <c r="T52" s="132" t="s">
        <v>204</v>
      </c>
      <c r="U52" s="132" t="s">
        <v>201</v>
      </c>
      <c r="V52" s="130" t="s">
        <v>470</v>
      </c>
      <c r="W52" s="130" t="s">
        <v>477</v>
      </c>
      <c r="X52" s="130" t="s">
        <v>482</v>
      </c>
      <c r="Y52" s="130" t="s">
        <v>491</v>
      </c>
      <c r="Z52" s="130" t="s">
        <v>499</v>
      </c>
      <c r="AA52" s="130" t="s">
        <v>507</v>
      </c>
      <c r="AB52" s="130" t="s">
        <v>516</v>
      </c>
      <c r="AC52" s="130" t="s">
        <v>525</v>
      </c>
      <c r="AD52" s="130" t="s">
        <v>534</v>
      </c>
      <c r="AE52" s="130" t="s">
        <v>545</v>
      </c>
      <c r="AF52" s="130" t="s">
        <v>552</v>
      </c>
      <c r="AG52" s="130" t="s">
        <v>562</v>
      </c>
      <c r="AH52" s="130" t="s">
        <v>569</v>
      </c>
      <c r="AI52" s="130" t="s">
        <v>577</v>
      </c>
      <c r="AJ52" s="130" t="s">
        <v>589</v>
      </c>
      <c r="AK52" s="130" t="s">
        <v>595</v>
      </c>
      <c r="AL52" s="132" t="s">
        <v>320</v>
      </c>
      <c r="AM52" s="133" t="s">
        <v>206</v>
      </c>
      <c r="AN52" s="130" t="s">
        <v>604</v>
      </c>
      <c r="AO52" s="130" t="s">
        <v>615</v>
      </c>
      <c r="AP52" s="130" t="s">
        <v>621</v>
      </c>
      <c r="AQ52" s="130" t="s">
        <v>629</v>
      </c>
      <c r="AR52" s="130" t="s">
        <v>636</v>
      </c>
      <c r="AS52" s="130" t="s">
        <v>645</v>
      </c>
      <c r="AT52" s="130" t="s">
        <v>652</v>
      </c>
      <c r="AU52" s="130" t="s">
        <v>660</v>
      </c>
      <c r="AV52" s="115"/>
      <c r="AW52" s="11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EE20-9710-43F0-8BA9-22A18C8EF25C}">
  <sheetPr>
    <tabColor rgb="FF00B050"/>
  </sheetPr>
  <dimension ref="B2:T24"/>
  <sheetViews>
    <sheetView workbookViewId="0">
      <selection activeCell="H4" sqref="H4"/>
    </sheetView>
  </sheetViews>
  <sheetFormatPr defaultColWidth="8" defaultRowHeight="28.2" customHeight="1" x14ac:dyDescent="0.3"/>
  <cols>
    <col min="1" max="16384" width="8" style="71"/>
  </cols>
  <sheetData>
    <row r="2" spans="2:20" ht="21" x14ac:dyDescent="0.3">
      <c r="H2" s="169" t="s">
        <v>2510</v>
      </c>
      <c r="I2" s="169"/>
      <c r="J2" s="169"/>
      <c r="K2" s="169"/>
      <c r="L2" s="169"/>
      <c r="M2" s="169"/>
      <c r="N2" s="169"/>
      <c r="O2" s="169"/>
      <c r="P2" s="169"/>
      <c r="Q2" s="169"/>
    </row>
    <row r="3" spans="2:20" ht="19.95" customHeight="1" x14ac:dyDescent="0.3">
      <c r="H3" s="168" t="s">
        <v>2509</v>
      </c>
      <c r="I3" s="105"/>
      <c r="J3" s="105"/>
      <c r="K3" s="105"/>
      <c r="L3" s="105"/>
      <c r="M3" s="105"/>
      <c r="N3" s="105"/>
      <c r="O3" s="105"/>
      <c r="P3" s="105"/>
      <c r="Q3" s="105"/>
    </row>
    <row r="6" spans="2:20" ht="14.4" x14ac:dyDescent="0.3">
      <c r="C6" s="106">
        <v>1</v>
      </c>
      <c r="D6" s="106">
        <v>2</v>
      </c>
      <c r="E6" s="106">
        <v>3</v>
      </c>
      <c r="F6" s="106">
        <v>4</v>
      </c>
      <c r="G6" s="106">
        <v>5</v>
      </c>
      <c r="H6" s="106">
        <v>6</v>
      </c>
      <c r="I6" s="106">
        <v>7</v>
      </c>
      <c r="J6" s="106">
        <v>8</v>
      </c>
      <c r="K6" s="106">
        <v>9</v>
      </c>
      <c r="L6" s="106">
        <v>10</v>
      </c>
      <c r="M6" s="106">
        <v>11</v>
      </c>
      <c r="N6" s="106">
        <v>12</v>
      </c>
      <c r="O6" s="106">
        <v>13</v>
      </c>
      <c r="P6" s="106">
        <v>14</v>
      </c>
      <c r="Q6" s="106">
        <v>15</v>
      </c>
      <c r="R6" s="106">
        <v>16</v>
      </c>
      <c r="S6" s="106">
        <v>17</v>
      </c>
    </row>
    <row r="7" spans="2:20" ht="28.2" customHeight="1" x14ac:dyDescent="0.3">
      <c r="B7" s="106" t="s">
        <v>2511</v>
      </c>
      <c r="C7" s="107" t="s">
        <v>1327</v>
      </c>
      <c r="D7" s="107" t="s">
        <v>1113</v>
      </c>
      <c r="E7" s="107" t="s">
        <v>1094</v>
      </c>
      <c r="F7" s="107" t="s">
        <v>1150</v>
      </c>
      <c r="G7" s="107" t="s">
        <v>1066</v>
      </c>
      <c r="H7" s="107" t="s">
        <v>1158</v>
      </c>
      <c r="I7" s="107" t="s">
        <v>1049</v>
      </c>
      <c r="J7" s="107" t="s">
        <v>1039</v>
      </c>
      <c r="K7" s="107" t="s">
        <v>1028</v>
      </c>
      <c r="L7" s="107" t="s">
        <v>1013</v>
      </c>
      <c r="M7" s="107" t="s">
        <v>993</v>
      </c>
      <c r="N7" s="107" t="s">
        <v>981</v>
      </c>
      <c r="O7" s="107" t="s">
        <v>946</v>
      </c>
      <c r="P7" s="107" t="s">
        <v>922</v>
      </c>
      <c r="Q7" s="107" t="s">
        <v>916</v>
      </c>
      <c r="R7" s="107" t="s">
        <v>909</v>
      </c>
      <c r="S7" s="107" t="s">
        <v>1331</v>
      </c>
      <c r="T7" s="106" t="s">
        <v>2511</v>
      </c>
    </row>
    <row r="8" spans="2:20" ht="28.2" customHeight="1" x14ac:dyDescent="0.3">
      <c r="B8" s="106" t="s">
        <v>2512</v>
      </c>
      <c r="C8" s="107" t="s">
        <v>23</v>
      </c>
      <c r="D8" s="108" t="s">
        <v>206</v>
      </c>
      <c r="E8" s="107" t="s">
        <v>1107</v>
      </c>
      <c r="F8" s="107" t="s">
        <v>1154</v>
      </c>
      <c r="G8" s="107" t="s">
        <v>1071</v>
      </c>
      <c r="H8" s="107" t="s">
        <v>1162</v>
      </c>
      <c r="I8" s="107" t="s">
        <v>1056</v>
      </c>
      <c r="J8" s="107" t="s">
        <v>1044</v>
      </c>
      <c r="K8" s="107" t="s">
        <v>1023</v>
      </c>
      <c r="L8" s="107" t="s">
        <v>1004</v>
      </c>
      <c r="M8" s="107" t="s">
        <v>999</v>
      </c>
      <c r="N8" s="107" t="s">
        <v>965</v>
      </c>
      <c r="O8" s="107" t="s">
        <v>928</v>
      </c>
      <c r="P8" s="107" t="s">
        <v>933</v>
      </c>
      <c r="Q8" s="107" t="s">
        <v>1194</v>
      </c>
      <c r="R8" s="108" t="s">
        <v>206</v>
      </c>
      <c r="S8" s="107" t="s">
        <v>1198</v>
      </c>
      <c r="T8" s="106" t="s">
        <v>2512</v>
      </c>
    </row>
    <row r="9" spans="2:20" ht="28.2" customHeight="1" x14ac:dyDescent="0.3">
      <c r="B9" s="106" t="s">
        <v>2513</v>
      </c>
      <c r="C9" s="107" t="s">
        <v>37</v>
      </c>
      <c r="D9" s="107" t="s">
        <v>58</v>
      </c>
      <c r="E9" s="107" t="s">
        <v>1410</v>
      </c>
      <c r="F9" s="107" t="s">
        <v>1142</v>
      </c>
      <c r="G9" s="107" t="s">
        <v>1146</v>
      </c>
      <c r="H9" s="107" t="s">
        <v>1166</v>
      </c>
      <c r="I9" s="107" t="s">
        <v>1174</v>
      </c>
      <c r="J9" s="107" t="s">
        <v>1178</v>
      </c>
      <c r="K9" s="107" t="s">
        <v>1186</v>
      </c>
      <c r="L9" s="107" t="s">
        <v>1134</v>
      </c>
      <c r="M9" s="107" t="s">
        <v>1130</v>
      </c>
      <c r="N9" s="107" t="s">
        <v>971</v>
      </c>
      <c r="O9" s="107" t="s">
        <v>960</v>
      </c>
      <c r="P9" s="107" t="s">
        <v>940</v>
      </c>
      <c r="Q9" s="107" t="s">
        <v>904</v>
      </c>
      <c r="R9" s="107" t="s">
        <v>1126</v>
      </c>
      <c r="S9" s="107" t="s">
        <v>889</v>
      </c>
      <c r="T9" s="106" t="s">
        <v>2513</v>
      </c>
    </row>
    <row r="10" spans="2:20" ht="28.2" customHeight="1" x14ac:dyDescent="0.3">
      <c r="B10" s="106" t="s">
        <v>2514</v>
      </c>
      <c r="C10" s="107" t="s">
        <v>88</v>
      </c>
      <c r="D10" s="107" t="s">
        <v>73</v>
      </c>
      <c r="E10" s="107" t="s">
        <v>1414</v>
      </c>
      <c r="F10" s="108" t="s">
        <v>206</v>
      </c>
      <c r="G10" s="107" t="s">
        <v>1076</v>
      </c>
      <c r="H10" s="107" t="s">
        <v>1170</v>
      </c>
      <c r="I10" s="107" t="s">
        <v>1182</v>
      </c>
      <c r="J10" s="107" t="s">
        <v>1034</v>
      </c>
      <c r="K10" s="108" t="s">
        <v>206</v>
      </c>
      <c r="L10" s="107" t="s">
        <v>1190</v>
      </c>
      <c r="M10" s="107" t="s">
        <v>988</v>
      </c>
      <c r="N10" s="107" t="s">
        <v>976</v>
      </c>
      <c r="O10" s="107" t="s">
        <v>954</v>
      </c>
      <c r="P10" s="109" t="s">
        <v>195</v>
      </c>
      <c r="Q10" s="107" t="s">
        <v>898</v>
      </c>
      <c r="R10" s="107" t="s">
        <v>882</v>
      </c>
      <c r="S10" s="107" t="s">
        <v>877</v>
      </c>
      <c r="T10" s="106" t="s">
        <v>2514</v>
      </c>
    </row>
    <row r="11" spans="2:20" ht="28.2" customHeight="1" x14ac:dyDescent="0.3">
      <c r="B11" s="106" t="s">
        <v>2515</v>
      </c>
      <c r="C11" s="107" t="s">
        <v>124</v>
      </c>
      <c r="D11" s="107" t="s">
        <v>136</v>
      </c>
      <c r="E11" s="107" t="s">
        <v>100</v>
      </c>
      <c r="F11" s="107" t="s">
        <v>48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07" t="s">
        <v>1210</v>
      </c>
      <c r="Q11" s="107" t="s">
        <v>1206</v>
      </c>
      <c r="R11" s="107" t="s">
        <v>871</v>
      </c>
      <c r="S11" s="107" t="s">
        <v>863</v>
      </c>
      <c r="T11" s="106" t="s">
        <v>2515</v>
      </c>
    </row>
    <row r="12" spans="2:20" ht="28.2" customHeight="1" x14ac:dyDescent="0.3">
      <c r="B12" s="106" t="s">
        <v>2516</v>
      </c>
      <c r="C12" s="107" t="s">
        <v>148</v>
      </c>
      <c r="D12" s="107" t="s">
        <v>155</v>
      </c>
      <c r="E12" s="107" t="s">
        <v>112</v>
      </c>
      <c r="F12" s="107" t="s">
        <v>1319</v>
      </c>
      <c r="G12" s="165"/>
      <c r="H12" s="107" t="s">
        <v>1101</v>
      </c>
      <c r="I12" s="107" t="s">
        <v>1088</v>
      </c>
      <c r="J12" s="107" t="s">
        <v>1081</v>
      </c>
      <c r="K12" s="107" t="s">
        <v>1018</v>
      </c>
      <c r="L12" s="107" t="s">
        <v>1405</v>
      </c>
      <c r="M12" s="107" t="s">
        <v>1400</v>
      </c>
      <c r="N12" s="107" t="s">
        <v>1395</v>
      </c>
      <c r="O12" s="165"/>
      <c r="P12" s="107" t="s">
        <v>1218</v>
      </c>
      <c r="Q12" s="107" t="s">
        <v>1214</v>
      </c>
      <c r="R12" s="107" t="s">
        <v>856</v>
      </c>
      <c r="S12" s="107" t="s">
        <v>849</v>
      </c>
      <c r="T12" s="106" t="s">
        <v>2516</v>
      </c>
    </row>
    <row r="13" spans="2:20" ht="28.2" customHeight="1" x14ac:dyDescent="0.3">
      <c r="B13" s="106" t="s">
        <v>2517</v>
      </c>
      <c r="C13" s="107" t="s">
        <v>176</v>
      </c>
      <c r="D13" s="107" t="s">
        <v>1323</v>
      </c>
      <c r="E13" s="107" t="s">
        <v>1339</v>
      </c>
      <c r="F13" s="107" t="s">
        <v>1303</v>
      </c>
      <c r="G13" s="165"/>
      <c r="H13" s="107" t="s">
        <v>164</v>
      </c>
      <c r="I13" s="108" t="s">
        <v>206</v>
      </c>
      <c r="J13" s="107" t="s">
        <v>1061</v>
      </c>
      <c r="K13" s="107" t="s">
        <v>1138</v>
      </c>
      <c r="L13" s="109" t="s">
        <v>195</v>
      </c>
      <c r="M13" s="108" t="s">
        <v>206</v>
      </c>
      <c r="N13" s="107" t="s">
        <v>1390</v>
      </c>
      <c r="O13" s="165"/>
      <c r="P13" s="107" t="s">
        <v>1226</v>
      </c>
      <c r="Q13" s="107" t="s">
        <v>1222</v>
      </c>
      <c r="R13" s="107" t="s">
        <v>843</v>
      </c>
      <c r="S13" s="107" t="s">
        <v>836</v>
      </c>
      <c r="T13" s="106" t="s">
        <v>2517</v>
      </c>
    </row>
    <row r="14" spans="2:20" ht="28.2" customHeight="1" x14ac:dyDescent="0.3">
      <c r="B14" s="106" t="s">
        <v>2518</v>
      </c>
      <c r="C14" s="107" t="s">
        <v>183</v>
      </c>
      <c r="D14" s="107" t="s">
        <v>1291</v>
      </c>
      <c r="E14" s="107" t="s">
        <v>1343</v>
      </c>
      <c r="F14" s="107" t="s">
        <v>1307</v>
      </c>
      <c r="G14" s="165"/>
      <c r="H14" s="109" t="s">
        <v>190</v>
      </c>
      <c r="I14" s="109" t="s">
        <v>195</v>
      </c>
      <c r="J14" s="109" t="s">
        <v>201</v>
      </c>
      <c r="K14" s="109" t="s">
        <v>204</v>
      </c>
      <c r="L14" s="109" t="s">
        <v>201</v>
      </c>
      <c r="M14" s="107" t="s">
        <v>1202</v>
      </c>
      <c r="N14" s="107" t="s">
        <v>1385</v>
      </c>
      <c r="O14" s="165"/>
      <c r="P14" s="107" t="s">
        <v>1230</v>
      </c>
      <c r="Q14" s="107" t="s">
        <v>817</v>
      </c>
      <c r="R14" s="107" t="s">
        <v>824</v>
      </c>
      <c r="S14" s="107" t="s">
        <v>830</v>
      </c>
      <c r="T14" s="106" t="s">
        <v>2518</v>
      </c>
    </row>
    <row r="15" spans="2:20" ht="28.2" customHeight="1" x14ac:dyDescent="0.3">
      <c r="B15" s="106" t="s">
        <v>2519</v>
      </c>
      <c r="C15" s="108" t="s">
        <v>206</v>
      </c>
      <c r="D15" s="107" t="s">
        <v>1287</v>
      </c>
      <c r="E15" s="107" t="s">
        <v>1295</v>
      </c>
      <c r="F15" s="108" t="s">
        <v>206</v>
      </c>
      <c r="G15" s="165"/>
      <c r="H15" s="108" t="s">
        <v>193</v>
      </c>
      <c r="I15" s="109" t="s">
        <v>198</v>
      </c>
      <c r="J15" s="109" t="s">
        <v>204</v>
      </c>
      <c r="K15" s="108" t="s">
        <v>206</v>
      </c>
      <c r="L15" s="109" t="s">
        <v>204</v>
      </c>
      <c r="M15" s="107" t="s">
        <v>1234</v>
      </c>
      <c r="N15" s="107" t="s">
        <v>1380</v>
      </c>
      <c r="O15" s="165"/>
      <c r="P15" s="108" t="s">
        <v>206</v>
      </c>
      <c r="Q15" s="107" t="s">
        <v>1238</v>
      </c>
      <c r="R15" s="107" t="s">
        <v>806</v>
      </c>
      <c r="S15" s="107" t="s">
        <v>811</v>
      </c>
      <c r="T15" s="106" t="s">
        <v>2519</v>
      </c>
    </row>
    <row r="16" spans="2:20" ht="28.2" customHeight="1" x14ac:dyDescent="0.3">
      <c r="B16" s="106" t="s">
        <v>2520</v>
      </c>
      <c r="C16" s="107" t="s">
        <v>209</v>
      </c>
      <c r="D16" s="107" t="s">
        <v>1299</v>
      </c>
      <c r="E16" s="107" t="s">
        <v>1279</v>
      </c>
      <c r="F16" s="107" t="s">
        <v>1275</v>
      </c>
      <c r="G16" s="165"/>
      <c r="H16" s="107" t="s">
        <v>1315</v>
      </c>
      <c r="I16" s="107" t="s">
        <v>1311</v>
      </c>
      <c r="J16" s="109" t="s">
        <v>201</v>
      </c>
      <c r="K16" s="109" t="s">
        <v>204</v>
      </c>
      <c r="L16" s="109" t="s">
        <v>201</v>
      </c>
      <c r="M16" s="109" t="s">
        <v>195</v>
      </c>
      <c r="N16" s="107" t="s">
        <v>1375</v>
      </c>
      <c r="O16" s="165"/>
      <c r="P16" s="107" t="s">
        <v>1242</v>
      </c>
      <c r="Q16" s="107" t="s">
        <v>794</v>
      </c>
      <c r="R16" s="107" t="s">
        <v>788</v>
      </c>
      <c r="S16" s="107" t="s">
        <v>801</v>
      </c>
      <c r="T16" s="106" t="s">
        <v>2520</v>
      </c>
    </row>
    <row r="17" spans="2:20" ht="28.2" customHeight="1" x14ac:dyDescent="0.3">
      <c r="B17" s="106" t="s">
        <v>2521</v>
      </c>
      <c r="C17" s="107" t="s">
        <v>213</v>
      </c>
      <c r="D17" s="107" t="s">
        <v>1418</v>
      </c>
      <c r="E17" s="107" t="s">
        <v>215</v>
      </c>
      <c r="F17" s="107" t="s">
        <v>295</v>
      </c>
      <c r="G17" s="165"/>
      <c r="H17" s="107" t="s">
        <v>1347</v>
      </c>
      <c r="I17" s="108" t="s">
        <v>206</v>
      </c>
      <c r="J17" s="109" t="s">
        <v>195</v>
      </c>
      <c r="K17" s="107" t="s">
        <v>1283</v>
      </c>
      <c r="L17" s="107" t="s">
        <v>1270</v>
      </c>
      <c r="M17" s="108" t="s">
        <v>206</v>
      </c>
      <c r="N17" s="107" t="s">
        <v>1370</v>
      </c>
      <c r="O17" s="165"/>
      <c r="P17" s="107" t="s">
        <v>768</v>
      </c>
      <c r="Q17" s="107" t="s">
        <v>1122</v>
      </c>
      <c r="R17" s="107" t="s">
        <v>1118</v>
      </c>
      <c r="S17" s="107" t="s">
        <v>783</v>
      </c>
      <c r="T17" s="106" t="s">
        <v>2521</v>
      </c>
    </row>
    <row r="18" spans="2:20" ht="28.2" customHeight="1" x14ac:dyDescent="0.3">
      <c r="B18" s="106" t="s">
        <v>2522</v>
      </c>
      <c r="C18" s="107" t="s">
        <v>241</v>
      </c>
      <c r="D18" s="107" t="s">
        <v>233</v>
      </c>
      <c r="E18" s="107" t="s">
        <v>271</v>
      </c>
      <c r="F18" s="107" t="s">
        <v>328</v>
      </c>
      <c r="G18" s="165"/>
      <c r="H18" s="107" t="s">
        <v>516</v>
      </c>
      <c r="I18" s="107" t="s">
        <v>534</v>
      </c>
      <c r="J18" s="107" t="s">
        <v>1351</v>
      </c>
      <c r="K18" s="107" t="s">
        <v>1355</v>
      </c>
      <c r="L18" s="107" t="s">
        <v>1360</v>
      </c>
      <c r="M18" s="107" t="s">
        <v>1365</v>
      </c>
      <c r="N18" s="107" t="s">
        <v>1254</v>
      </c>
      <c r="O18" s="165"/>
      <c r="P18" s="107" t="s">
        <v>1250</v>
      </c>
      <c r="Q18" s="107" t="s">
        <v>763</v>
      </c>
      <c r="R18" s="107" t="s">
        <v>752</v>
      </c>
      <c r="S18" s="107" t="s">
        <v>775</v>
      </c>
      <c r="T18" s="106" t="s">
        <v>2522</v>
      </c>
    </row>
    <row r="19" spans="2:20" ht="28.2" customHeight="1" x14ac:dyDescent="0.3">
      <c r="B19" s="106" t="s">
        <v>2523</v>
      </c>
      <c r="C19" s="107" t="s">
        <v>223</v>
      </c>
      <c r="D19" s="107" t="s">
        <v>250</v>
      </c>
      <c r="E19" s="107" t="s">
        <v>259</v>
      </c>
      <c r="F19" s="109" t="s">
        <v>320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07" t="s">
        <v>733</v>
      </c>
      <c r="Q19" s="107" t="s">
        <v>739</v>
      </c>
      <c r="R19" s="107" t="s">
        <v>745</v>
      </c>
      <c r="S19" s="107" t="s">
        <v>757</v>
      </c>
      <c r="T19" s="106" t="s">
        <v>2523</v>
      </c>
    </row>
    <row r="20" spans="2:20" ht="28.2" customHeight="1" x14ac:dyDescent="0.3">
      <c r="B20" s="106" t="s">
        <v>2524</v>
      </c>
      <c r="C20" s="107" t="s">
        <v>322</v>
      </c>
      <c r="D20" s="107" t="s">
        <v>286</v>
      </c>
      <c r="E20" s="107" t="s">
        <v>277</v>
      </c>
      <c r="F20" s="108" t="s">
        <v>206</v>
      </c>
      <c r="G20" s="107" t="s">
        <v>338</v>
      </c>
      <c r="H20" s="107" t="s">
        <v>507</v>
      </c>
      <c r="I20" s="107" t="s">
        <v>545</v>
      </c>
      <c r="J20" s="107" t="s">
        <v>562</v>
      </c>
      <c r="K20" s="107" t="s">
        <v>589</v>
      </c>
      <c r="L20" s="107" t="s">
        <v>595</v>
      </c>
      <c r="M20" s="107" t="s">
        <v>636</v>
      </c>
      <c r="N20" s="107" t="s">
        <v>1258</v>
      </c>
      <c r="O20" s="107" t="s">
        <v>1266</v>
      </c>
      <c r="P20" s="108" t="s">
        <v>206</v>
      </c>
      <c r="Q20" s="107" t="s">
        <v>693</v>
      </c>
      <c r="R20" s="107" t="s">
        <v>720</v>
      </c>
      <c r="S20" s="107" t="s">
        <v>728</v>
      </c>
      <c r="T20" s="106" t="s">
        <v>2524</v>
      </c>
    </row>
    <row r="21" spans="2:20" ht="28.2" customHeight="1" x14ac:dyDescent="0.3">
      <c r="B21" s="106" t="s">
        <v>2525</v>
      </c>
      <c r="C21" s="107" t="s">
        <v>347</v>
      </c>
      <c r="D21" s="107" t="s">
        <v>354</v>
      </c>
      <c r="E21" s="107" t="s">
        <v>309</v>
      </c>
      <c r="F21" s="107" t="s">
        <v>378</v>
      </c>
      <c r="G21" s="110" t="s">
        <v>444</v>
      </c>
      <c r="H21" s="107" t="s">
        <v>499</v>
      </c>
      <c r="I21" s="109" t="s">
        <v>320</v>
      </c>
      <c r="J21" s="107" t="s">
        <v>491</v>
      </c>
      <c r="K21" s="107" t="s">
        <v>569</v>
      </c>
      <c r="L21" s="109" t="s">
        <v>320</v>
      </c>
      <c r="M21" s="107" t="s">
        <v>621</v>
      </c>
      <c r="N21" s="107" t="s">
        <v>1262</v>
      </c>
      <c r="O21" s="107" t="s">
        <v>660</v>
      </c>
      <c r="P21" s="107" t="s">
        <v>679</v>
      </c>
      <c r="Q21" s="107" t="s">
        <v>672</v>
      </c>
      <c r="R21" s="107" t="s">
        <v>707</v>
      </c>
      <c r="S21" s="107" t="s">
        <v>713</v>
      </c>
      <c r="T21" s="106" t="s">
        <v>2525</v>
      </c>
    </row>
    <row r="22" spans="2:20" ht="28.2" customHeight="1" x14ac:dyDescent="0.3">
      <c r="B22" s="106" t="s">
        <v>2526</v>
      </c>
      <c r="C22" s="107" t="s">
        <v>362</v>
      </c>
      <c r="D22" s="108" t="s">
        <v>206</v>
      </c>
      <c r="E22" s="107" t="s">
        <v>403</v>
      </c>
      <c r="F22" s="110" t="s">
        <v>409</v>
      </c>
      <c r="G22" s="107" t="s">
        <v>428</v>
      </c>
      <c r="H22" s="110" t="s">
        <v>459</v>
      </c>
      <c r="I22" s="108" t="s">
        <v>206</v>
      </c>
      <c r="J22" s="107" t="s">
        <v>470</v>
      </c>
      <c r="K22" s="107" t="s">
        <v>552</v>
      </c>
      <c r="L22" s="108" t="s">
        <v>206</v>
      </c>
      <c r="M22" s="107" t="s">
        <v>604</v>
      </c>
      <c r="N22" s="107" t="s">
        <v>645</v>
      </c>
      <c r="O22" s="107" t="s">
        <v>652</v>
      </c>
      <c r="P22" s="107" t="s">
        <v>1427</v>
      </c>
      <c r="Q22" s="107" t="s">
        <v>685</v>
      </c>
      <c r="R22" s="108" t="s">
        <v>206</v>
      </c>
      <c r="S22" s="107" t="s">
        <v>699</v>
      </c>
      <c r="T22" s="106" t="s">
        <v>2526</v>
      </c>
    </row>
    <row r="23" spans="2:20" ht="28.2" customHeight="1" x14ac:dyDescent="0.3">
      <c r="B23" s="106" t="s">
        <v>2527</v>
      </c>
      <c r="C23" s="107" t="s">
        <v>369</v>
      </c>
      <c r="D23" s="107" t="s">
        <v>389</v>
      </c>
      <c r="E23" s="107" t="s">
        <v>396</v>
      </c>
      <c r="F23" s="110" t="s">
        <v>419</v>
      </c>
      <c r="G23" s="107" t="s">
        <v>437</v>
      </c>
      <c r="H23" s="110" t="s">
        <v>452</v>
      </c>
      <c r="I23" s="107" t="s">
        <v>477</v>
      </c>
      <c r="J23" s="107" t="s">
        <v>482</v>
      </c>
      <c r="K23" s="107" t="s">
        <v>525</v>
      </c>
      <c r="L23" s="107" t="s">
        <v>577</v>
      </c>
      <c r="M23" s="107" t="s">
        <v>629</v>
      </c>
      <c r="N23" s="107" t="s">
        <v>615</v>
      </c>
      <c r="O23" s="107" t="s">
        <v>1423</v>
      </c>
      <c r="P23" s="107" t="s">
        <v>666</v>
      </c>
      <c r="Q23" s="107" t="s">
        <v>1431</v>
      </c>
      <c r="R23" s="107" t="s">
        <v>1246</v>
      </c>
      <c r="S23" s="107" t="s">
        <v>1335</v>
      </c>
      <c r="T23" s="106" t="s">
        <v>2527</v>
      </c>
    </row>
    <row r="24" spans="2:20" ht="14.4" x14ac:dyDescent="0.3">
      <c r="C24" s="106">
        <v>1</v>
      </c>
      <c r="D24" s="106">
        <v>2</v>
      </c>
      <c r="E24" s="106">
        <v>3</v>
      </c>
      <c r="F24" s="106">
        <v>4</v>
      </c>
      <c r="G24" s="106">
        <v>5</v>
      </c>
      <c r="H24" s="106">
        <v>6</v>
      </c>
      <c r="I24" s="106">
        <v>7</v>
      </c>
      <c r="J24" s="106">
        <v>8</v>
      </c>
      <c r="K24" s="106">
        <v>9</v>
      </c>
      <c r="L24" s="106">
        <v>10</v>
      </c>
      <c r="M24" s="106">
        <v>11</v>
      </c>
      <c r="N24" s="106">
        <v>12</v>
      </c>
      <c r="O24" s="106">
        <v>13</v>
      </c>
      <c r="P24" s="106">
        <v>14</v>
      </c>
      <c r="Q24" s="106">
        <v>15</v>
      </c>
      <c r="R24" s="106">
        <v>16</v>
      </c>
      <c r="S24" s="106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A974-0192-4491-89DD-063E686297A8}">
  <sheetPr codeName="Sheet32"/>
  <dimension ref="A1:R27"/>
  <sheetViews>
    <sheetView workbookViewId="0">
      <selection activeCell="I17" sqref="I17"/>
    </sheetView>
  </sheetViews>
  <sheetFormatPr defaultColWidth="8.6640625" defaultRowHeight="14.4" x14ac:dyDescent="0.3"/>
  <cols>
    <col min="1" max="4" width="8.6640625" style="18"/>
    <col min="5" max="5" width="26.5546875" style="18" bestFit="1" customWidth="1"/>
    <col min="6" max="6" width="18.33203125" style="2" customWidth="1"/>
    <col min="7" max="7" width="15.44140625" style="2" customWidth="1"/>
    <col min="8" max="8" width="16.33203125" style="2" customWidth="1"/>
    <col min="9" max="9" width="13.88671875" style="2" customWidth="1"/>
    <col min="10" max="10" width="12.44140625" style="2" customWidth="1"/>
    <col min="11" max="14" width="17.44140625" style="2" customWidth="1"/>
    <col min="15" max="15" width="14.6640625" style="2" customWidth="1"/>
    <col min="16" max="16" width="14.88671875" style="2" customWidth="1"/>
    <col min="17" max="17" width="16.5546875" style="2" bestFit="1" customWidth="1"/>
    <col min="18" max="16384" width="8.6640625" style="2"/>
  </cols>
  <sheetData>
    <row r="1" spans="1:18" ht="23.4" customHeight="1" thickBot="1" x14ac:dyDescent="0.35">
      <c r="A1" s="272"/>
      <c r="B1" s="272"/>
      <c r="C1" s="272"/>
      <c r="D1" s="272"/>
      <c r="E1" s="272"/>
      <c r="F1" s="272"/>
      <c r="G1" s="275" t="s">
        <v>2528</v>
      </c>
      <c r="H1" s="281"/>
      <c r="I1" s="281"/>
      <c r="J1" s="281"/>
      <c r="K1" s="276"/>
      <c r="L1" s="275" t="s">
        <v>2529</v>
      </c>
      <c r="M1" s="281"/>
      <c r="N1" s="276"/>
      <c r="O1" s="275" t="s">
        <v>2530</v>
      </c>
      <c r="P1" s="276"/>
      <c r="Q1" s="1" t="s">
        <v>2531</v>
      </c>
    </row>
    <row r="2" spans="1:18" ht="43.95" customHeight="1" thickBot="1" x14ac:dyDescent="0.35">
      <c r="A2" s="273"/>
      <c r="B2" s="274"/>
      <c r="C2" s="274"/>
      <c r="D2" s="274"/>
      <c r="E2" s="274"/>
      <c r="F2" s="274"/>
      <c r="G2" s="277" t="s">
        <v>2532</v>
      </c>
      <c r="H2" s="278"/>
      <c r="I2" s="278"/>
      <c r="J2" s="279" t="s">
        <v>2533</v>
      </c>
      <c r="K2" s="279"/>
      <c r="L2" s="275" t="s">
        <v>2534</v>
      </c>
      <c r="M2" s="281"/>
      <c r="N2" s="276"/>
      <c r="O2" s="280" t="s">
        <v>2535</v>
      </c>
      <c r="P2" s="280"/>
      <c r="Q2" s="3"/>
    </row>
    <row r="3" spans="1:18" x14ac:dyDescent="0.3">
      <c r="A3" s="32" t="s">
        <v>2536</v>
      </c>
      <c r="B3" s="33" t="s">
        <v>2537</v>
      </c>
      <c r="C3" s="34" t="s">
        <v>2538</v>
      </c>
      <c r="D3" s="34" t="s">
        <v>2539</v>
      </c>
      <c r="E3" s="34" t="s">
        <v>2540</v>
      </c>
      <c r="F3" s="34" t="s">
        <v>2541</v>
      </c>
      <c r="G3" s="34" t="s">
        <v>2537</v>
      </c>
      <c r="H3" s="34" t="s">
        <v>2538</v>
      </c>
      <c r="I3" s="34" t="s">
        <v>2539</v>
      </c>
      <c r="J3" s="34" t="s">
        <v>2538</v>
      </c>
      <c r="K3" s="34" t="s">
        <v>2539</v>
      </c>
      <c r="L3" s="34" t="s">
        <v>2537</v>
      </c>
      <c r="M3" s="34" t="s">
        <v>2538</v>
      </c>
      <c r="N3" s="34" t="s">
        <v>2539</v>
      </c>
      <c r="O3" s="34" t="s">
        <v>2538</v>
      </c>
      <c r="P3" s="34" t="s">
        <v>2539</v>
      </c>
      <c r="Q3" s="59"/>
    </row>
    <row r="4" spans="1:18" x14ac:dyDescent="0.3">
      <c r="A4" s="54" t="s">
        <v>259</v>
      </c>
      <c r="B4" s="17">
        <v>20</v>
      </c>
      <c r="C4" s="17">
        <v>31</v>
      </c>
      <c r="D4" s="40" t="s">
        <v>258</v>
      </c>
      <c r="E4" s="49" t="s">
        <v>34</v>
      </c>
      <c r="F4" s="67" t="s">
        <v>2542</v>
      </c>
      <c r="G4" s="12"/>
      <c r="H4" s="12"/>
      <c r="I4" s="12"/>
      <c r="J4" s="12"/>
      <c r="K4" s="12"/>
      <c r="L4" s="67" t="s">
        <v>2543</v>
      </c>
      <c r="M4" s="67" t="s">
        <v>2543</v>
      </c>
      <c r="N4" s="67" t="s">
        <v>2543</v>
      </c>
      <c r="O4" s="8" t="s">
        <v>2543</v>
      </c>
      <c r="P4" s="12"/>
      <c r="Q4" s="12"/>
      <c r="R4" s="39"/>
    </row>
    <row r="5" spans="1:18" x14ac:dyDescent="0.3">
      <c r="A5" s="60" t="s">
        <v>286</v>
      </c>
      <c r="B5" s="61">
        <v>21</v>
      </c>
      <c r="C5" s="62">
        <v>34</v>
      </c>
      <c r="D5" s="63" t="s">
        <v>285</v>
      </c>
      <c r="E5" s="64" t="s">
        <v>34</v>
      </c>
      <c r="F5" s="65" t="s">
        <v>2544</v>
      </c>
      <c r="G5" s="12"/>
      <c r="H5" s="12"/>
      <c r="I5" s="12"/>
      <c r="J5" s="12"/>
      <c r="K5" s="12"/>
      <c r="L5" s="66" t="s">
        <v>2545</v>
      </c>
      <c r="M5" s="65" t="s">
        <v>2546</v>
      </c>
      <c r="N5" s="65" t="s">
        <v>2546</v>
      </c>
      <c r="O5" s="65" t="s">
        <v>2545</v>
      </c>
      <c r="P5" s="12"/>
      <c r="Q5" s="12"/>
    </row>
    <row r="6" spans="1:18" x14ac:dyDescent="0.3">
      <c r="A6" s="50" t="s">
        <v>309</v>
      </c>
      <c r="B6" s="51">
        <v>23</v>
      </c>
      <c r="C6" s="52">
        <v>36</v>
      </c>
      <c r="D6" s="53" t="s">
        <v>308</v>
      </c>
      <c r="E6" s="35" t="s">
        <v>231</v>
      </c>
      <c r="F6" s="36" t="s">
        <v>2547</v>
      </c>
      <c r="G6" s="12"/>
      <c r="H6" s="12"/>
      <c r="I6" s="12"/>
      <c r="J6" s="12"/>
      <c r="K6" s="12"/>
      <c r="L6" s="37" t="s">
        <v>2548</v>
      </c>
      <c r="M6" s="37" t="s">
        <v>2548</v>
      </c>
      <c r="N6" s="38" t="s">
        <v>2548</v>
      </c>
      <c r="O6" s="12"/>
      <c r="P6" s="12"/>
      <c r="Q6" s="12"/>
    </row>
    <row r="7" spans="1:18" x14ac:dyDescent="0.3">
      <c r="A7" s="4" t="s">
        <v>378</v>
      </c>
      <c r="B7" s="31">
        <v>26</v>
      </c>
      <c r="C7" s="5">
        <v>46</v>
      </c>
      <c r="D7" s="41" t="s">
        <v>377</v>
      </c>
      <c r="E7" s="6" t="s">
        <v>387</v>
      </c>
      <c r="F7" s="7" t="s">
        <v>2542</v>
      </c>
      <c r="G7" s="12"/>
      <c r="H7" s="12"/>
      <c r="I7" s="12"/>
      <c r="J7" s="12"/>
      <c r="K7" s="12"/>
      <c r="L7" s="12"/>
      <c r="M7" s="12"/>
      <c r="N7" s="13"/>
      <c r="O7" s="12"/>
      <c r="P7" s="13"/>
      <c r="Q7" s="12"/>
    </row>
    <row r="8" spans="1:18" x14ac:dyDescent="0.3">
      <c r="A8" s="4" t="s">
        <v>389</v>
      </c>
      <c r="B8" s="31">
        <v>27</v>
      </c>
      <c r="C8" s="5">
        <v>47</v>
      </c>
      <c r="D8" s="41" t="s">
        <v>388</v>
      </c>
      <c r="E8" s="6" t="s">
        <v>231</v>
      </c>
      <c r="F8" s="7" t="s">
        <v>2549</v>
      </c>
      <c r="G8" s="8" t="s">
        <v>2542</v>
      </c>
      <c r="H8" s="9" t="s">
        <v>2542</v>
      </c>
      <c r="I8" s="14" t="s">
        <v>2542</v>
      </c>
      <c r="J8" s="8" t="s">
        <v>2542</v>
      </c>
      <c r="K8" s="14" t="s">
        <v>2542</v>
      </c>
      <c r="L8" s="8" t="s">
        <v>2550</v>
      </c>
      <c r="M8" s="8" t="s">
        <v>2550</v>
      </c>
      <c r="N8" s="14" t="s">
        <v>2550</v>
      </c>
      <c r="O8" s="12"/>
      <c r="P8" s="13"/>
      <c r="Q8" s="12"/>
    </row>
    <row r="9" spans="1:18" x14ac:dyDescent="0.3">
      <c r="A9" s="4" t="s">
        <v>396</v>
      </c>
      <c r="B9" s="31">
        <v>28</v>
      </c>
      <c r="C9" s="5">
        <v>48</v>
      </c>
      <c r="D9" s="41" t="s">
        <v>395</v>
      </c>
      <c r="E9" s="6" t="s">
        <v>231</v>
      </c>
      <c r="F9" s="7" t="s">
        <v>2551</v>
      </c>
      <c r="G9" s="8" t="s">
        <v>2544</v>
      </c>
      <c r="H9" s="9" t="s">
        <v>2544</v>
      </c>
      <c r="I9" s="14" t="s">
        <v>2544</v>
      </c>
      <c r="J9" s="8" t="s">
        <v>2544</v>
      </c>
      <c r="K9" s="14" t="s">
        <v>2544</v>
      </c>
      <c r="L9" s="8" t="s">
        <v>2552</v>
      </c>
      <c r="M9" s="8" t="s">
        <v>2552</v>
      </c>
      <c r="N9" s="14" t="s">
        <v>2552</v>
      </c>
      <c r="O9" s="12"/>
      <c r="P9" s="13"/>
      <c r="Q9" s="12"/>
    </row>
    <row r="10" spans="1:18" x14ac:dyDescent="0.3">
      <c r="A10" s="4" t="s">
        <v>403</v>
      </c>
      <c r="B10" s="31">
        <v>29</v>
      </c>
      <c r="C10" s="5">
        <v>49</v>
      </c>
      <c r="D10" s="41" t="s">
        <v>402</v>
      </c>
      <c r="E10" s="6" t="s">
        <v>387</v>
      </c>
      <c r="F10" s="7" t="s">
        <v>2553</v>
      </c>
      <c r="G10" s="12"/>
      <c r="H10" s="12"/>
      <c r="I10" s="12"/>
      <c r="J10" s="12"/>
      <c r="K10" s="12"/>
      <c r="L10" s="8" t="s">
        <v>2553</v>
      </c>
      <c r="M10" s="8" t="s">
        <v>2553</v>
      </c>
      <c r="N10" s="14" t="s">
        <v>2553</v>
      </c>
      <c r="O10" s="12"/>
      <c r="P10" s="13"/>
      <c r="Q10" s="12"/>
    </row>
    <row r="11" spans="1:18" ht="20.399999999999999" x14ac:dyDescent="0.3">
      <c r="A11" s="4" t="s">
        <v>409</v>
      </c>
      <c r="B11" s="31">
        <v>30</v>
      </c>
      <c r="C11" s="5">
        <v>50</v>
      </c>
      <c r="D11" s="41" t="s">
        <v>408</v>
      </c>
      <c r="E11" s="6" t="s">
        <v>417</v>
      </c>
      <c r="F11" s="7" t="s">
        <v>2554</v>
      </c>
      <c r="G11" s="8" t="s">
        <v>2555</v>
      </c>
      <c r="H11" s="9" t="s">
        <v>2555</v>
      </c>
      <c r="I11" s="10" t="s">
        <v>2555</v>
      </c>
      <c r="J11" s="11" t="s">
        <v>2555</v>
      </c>
      <c r="K11" s="10" t="s">
        <v>2556</v>
      </c>
      <c r="L11" s="11" t="s">
        <v>2557</v>
      </c>
      <c r="M11" s="11" t="s">
        <v>2557</v>
      </c>
      <c r="N11" s="10" t="s">
        <v>2557</v>
      </c>
      <c r="O11" s="11" t="s">
        <v>2558</v>
      </c>
      <c r="P11" s="10" t="s">
        <v>2558</v>
      </c>
      <c r="Q11" s="15" t="s">
        <v>2555</v>
      </c>
    </row>
    <row r="12" spans="1:18" ht="20.399999999999999" x14ac:dyDescent="0.3">
      <c r="A12" s="4" t="s">
        <v>419</v>
      </c>
      <c r="B12" s="31">
        <v>31</v>
      </c>
      <c r="C12" s="5">
        <v>51</v>
      </c>
      <c r="D12" s="41" t="s">
        <v>418</v>
      </c>
      <c r="E12" s="6" t="s">
        <v>417</v>
      </c>
      <c r="F12" s="7" t="s">
        <v>2559</v>
      </c>
      <c r="G12" s="8" t="s">
        <v>2556</v>
      </c>
      <c r="H12" s="9" t="s">
        <v>2556</v>
      </c>
      <c r="I12" s="10" t="s">
        <v>2556</v>
      </c>
      <c r="J12" s="11" t="s">
        <v>2556</v>
      </c>
      <c r="K12" s="10" t="s">
        <v>2555</v>
      </c>
      <c r="L12" s="11" t="s">
        <v>2560</v>
      </c>
      <c r="M12" s="11" t="s">
        <v>2560</v>
      </c>
      <c r="N12" s="10" t="s">
        <v>2560</v>
      </c>
      <c r="O12" s="11" t="s">
        <v>2561</v>
      </c>
      <c r="P12" s="10" t="s">
        <v>2561</v>
      </c>
      <c r="Q12" s="15" t="s">
        <v>2556</v>
      </c>
    </row>
    <row r="13" spans="1:18" ht="20.399999999999999" x14ac:dyDescent="0.3">
      <c r="A13" s="4" t="s">
        <v>428</v>
      </c>
      <c r="B13" s="31">
        <v>32</v>
      </c>
      <c r="C13" s="5">
        <v>52</v>
      </c>
      <c r="D13" s="41" t="s">
        <v>427</v>
      </c>
      <c r="E13" s="6" t="s">
        <v>387</v>
      </c>
      <c r="F13" s="7" t="s">
        <v>2562</v>
      </c>
      <c r="G13" s="8" t="s">
        <v>2563</v>
      </c>
      <c r="H13" s="9" t="s">
        <v>2563</v>
      </c>
      <c r="I13" s="10" t="s">
        <v>2563</v>
      </c>
      <c r="J13" s="11" t="s">
        <v>2563</v>
      </c>
      <c r="K13" s="10" t="s">
        <v>2564</v>
      </c>
      <c r="L13" s="11" t="s">
        <v>2563</v>
      </c>
      <c r="M13" s="11" t="s">
        <v>2563</v>
      </c>
      <c r="N13" s="10" t="s">
        <v>2564</v>
      </c>
      <c r="O13" s="11" t="s">
        <v>2565</v>
      </c>
      <c r="P13" s="10" t="s">
        <v>2565</v>
      </c>
      <c r="Q13" s="16" t="s">
        <v>2563</v>
      </c>
    </row>
    <row r="14" spans="1:18" ht="20.399999999999999" x14ac:dyDescent="0.3">
      <c r="A14" s="4" t="s">
        <v>437</v>
      </c>
      <c r="B14" s="31">
        <v>33</v>
      </c>
      <c r="C14" s="5">
        <v>53</v>
      </c>
      <c r="D14" s="41" t="s">
        <v>436</v>
      </c>
      <c r="E14" s="6" t="s">
        <v>387</v>
      </c>
      <c r="F14" s="7" t="s">
        <v>2566</v>
      </c>
      <c r="G14" s="8" t="s">
        <v>2564</v>
      </c>
      <c r="H14" s="9" t="s">
        <v>2564</v>
      </c>
      <c r="I14" s="10" t="s">
        <v>2564</v>
      </c>
      <c r="J14" s="11" t="s">
        <v>2564</v>
      </c>
      <c r="K14" s="10" t="s">
        <v>2563</v>
      </c>
      <c r="L14" s="11" t="s">
        <v>2564</v>
      </c>
      <c r="M14" s="11" t="s">
        <v>2564</v>
      </c>
      <c r="N14" s="10" t="s">
        <v>2563</v>
      </c>
      <c r="O14" s="11" t="s">
        <v>2567</v>
      </c>
      <c r="P14" s="10" t="s">
        <v>2568</v>
      </c>
      <c r="Q14" s="16" t="s">
        <v>2564</v>
      </c>
    </row>
    <row r="15" spans="1:18" ht="20.399999999999999" x14ac:dyDescent="0.3">
      <c r="A15" s="4" t="s">
        <v>444</v>
      </c>
      <c r="B15" s="31">
        <v>34</v>
      </c>
      <c r="C15" s="5">
        <v>54</v>
      </c>
      <c r="D15" s="41" t="s">
        <v>443</v>
      </c>
      <c r="E15" s="6" t="s">
        <v>417</v>
      </c>
      <c r="F15" s="7" t="s">
        <v>2569</v>
      </c>
      <c r="G15" s="8" t="s">
        <v>2547</v>
      </c>
      <c r="H15" s="9" t="s">
        <v>2547</v>
      </c>
      <c r="I15" s="10" t="s">
        <v>2547</v>
      </c>
      <c r="J15" s="11" t="s">
        <v>2547</v>
      </c>
      <c r="K15" s="10" t="s">
        <v>2570</v>
      </c>
      <c r="L15" s="11" t="s">
        <v>2571</v>
      </c>
      <c r="M15" s="11" t="s">
        <v>2571</v>
      </c>
      <c r="N15" s="10" t="s">
        <v>2571</v>
      </c>
      <c r="O15" s="11" t="s">
        <v>2572</v>
      </c>
      <c r="P15" s="10" t="s">
        <v>2572</v>
      </c>
      <c r="Q15" s="16" t="s">
        <v>2547</v>
      </c>
    </row>
    <row r="16" spans="1:18" ht="20.399999999999999" x14ac:dyDescent="0.3">
      <c r="A16" s="4" t="s">
        <v>452</v>
      </c>
      <c r="B16" s="31">
        <v>35</v>
      </c>
      <c r="C16" s="5">
        <v>55</v>
      </c>
      <c r="D16" s="41" t="s">
        <v>451</v>
      </c>
      <c r="E16" s="6" t="s">
        <v>417</v>
      </c>
      <c r="F16" s="7" t="s">
        <v>2573</v>
      </c>
      <c r="G16" s="8" t="s">
        <v>2570</v>
      </c>
      <c r="H16" s="9" t="s">
        <v>2570</v>
      </c>
      <c r="I16" s="10" t="s">
        <v>2570</v>
      </c>
      <c r="J16" s="11" t="s">
        <v>2570</v>
      </c>
      <c r="K16" s="10" t="s">
        <v>2548</v>
      </c>
      <c r="L16" s="11" t="s">
        <v>2574</v>
      </c>
      <c r="M16" s="11" t="s">
        <v>2574</v>
      </c>
      <c r="N16" s="10" t="s">
        <v>2574</v>
      </c>
      <c r="O16" s="11" t="s">
        <v>2563</v>
      </c>
      <c r="P16" s="10" t="s">
        <v>2563</v>
      </c>
      <c r="Q16" s="15" t="s">
        <v>2570</v>
      </c>
    </row>
    <row r="17" spans="1:17" x14ac:dyDescent="0.3">
      <c r="A17" s="4" t="s">
        <v>459</v>
      </c>
      <c r="B17" s="31">
        <v>36</v>
      </c>
      <c r="C17" s="5">
        <v>56</v>
      </c>
      <c r="D17" s="41" t="s">
        <v>458</v>
      </c>
      <c r="E17" s="6" t="s">
        <v>417</v>
      </c>
      <c r="F17" s="7" t="s">
        <v>2575</v>
      </c>
      <c r="G17" s="8" t="s">
        <v>2568</v>
      </c>
      <c r="H17" s="9" t="s">
        <v>2568</v>
      </c>
      <c r="I17" s="10" t="s">
        <v>2568</v>
      </c>
      <c r="J17" s="11" t="s">
        <v>2568</v>
      </c>
      <c r="K17" s="10" t="s">
        <v>2568</v>
      </c>
      <c r="L17" s="11" t="s">
        <v>2576</v>
      </c>
      <c r="M17" s="11" t="s">
        <v>2576</v>
      </c>
      <c r="N17" s="10" t="s">
        <v>2576</v>
      </c>
      <c r="O17" s="11" t="s">
        <v>2564</v>
      </c>
      <c r="P17" s="10" t="s">
        <v>2564</v>
      </c>
      <c r="Q17" s="15" t="s">
        <v>2568</v>
      </c>
    </row>
    <row r="18" spans="1:17" ht="20.399999999999999" x14ac:dyDescent="0.3">
      <c r="A18" s="4" t="s">
        <v>470</v>
      </c>
      <c r="B18" s="31">
        <v>39</v>
      </c>
      <c r="C18" s="5">
        <v>61</v>
      </c>
      <c r="D18" s="41" t="s">
        <v>469</v>
      </c>
      <c r="E18" s="6" t="s">
        <v>231</v>
      </c>
      <c r="F18" s="7" t="s">
        <v>2577</v>
      </c>
      <c r="G18" s="8" t="s">
        <v>2578</v>
      </c>
      <c r="H18" s="9" t="s">
        <v>2578</v>
      </c>
      <c r="I18" s="10" t="s">
        <v>2579</v>
      </c>
      <c r="J18" s="8" t="s">
        <v>2578</v>
      </c>
      <c r="K18" s="10" t="s">
        <v>2579</v>
      </c>
      <c r="L18" s="11" t="s">
        <v>2567</v>
      </c>
      <c r="M18" s="11" t="s">
        <v>2567</v>
      </c>
      <c r="N18" s="11" t="s">
        <v>2567</v>
      </c>
      <c r="O18" s="8" t="s">
        <v>2580</v>
      </c>
      <c r="P18" s="14" t="s">
        <v>2581</v>
      </c>
      <c r="Q18" s="15" t="s">
        <v>2579</v>
      </c>
    </row>
    <row r="19" spans="1:17" ht="20.399999999999999" x14ac:dyDescent="0.3">
      <c r="A19" s="4" t="s">
        <v>477</v>
      </c>
      <c r="B19" s="31">
        <v>40</v>
      </c>
      <c r="C19" s="5">
        <v>62</v>
      </c>
      <c r="D19" s="41" t="s">
        <v>476</v>
      </c>
      <c r="E19" s="6" t="s">
        <v>231</v>
      </c>
      <c r="F19" s="7" t="s">
        <v>2582</v>
      </c>
      <c r="G19" s="8" t="s">
        <v>2579</v>
      </c>
      <c r="H19" s="9" t="s">
        <v>2579</v>
      </c>
      <c r="I19" s="10" t="s">
        <v>2578</v>
      </c>
      <c r="J19" s="8" t="s">
        <v>2579</v>
      </c>
      <c r="K19" s="10" t="s">
        <v>2578</v>
      </c>
      <c r="L19" s="11" t="s">
        <v>2565</v>
      </c>
      <c r="M19" s="11" t="s">
        <v>2565</v>
      </c>
      <c r="N19" s="11" t="s">
        <v>2565</v>
      </c>
      <c r="O19" s="8" t="s">
        <v>2583</v>
      </c>
      <c r="P19" s="14" t="s">
        <v>2583</v>
      </c>
      <c r="Q19" s="16" t="s">
        <v>2578</v>
      </c>
    </row>
    <row r="20" spans="1:17" x14ac:dyDescent="0.3">
      <c r="A20" s="4" t="s">
        <v>482</v>
      </c>
      <c r="B20" s="31">
        <v>41</v>
      </c>
      <c r="C20" s="5">
        <v>63</v>
      </c>
      <c r="D20" s="41" t="s">
        <v>481</v>
      </c>
      <c r="E20" s="6" t="s">
        <v>231</v>
      </c>
      <c r="F20" s="7" t="s">
        <v>2584</v>
      </c>
      <c r="G20" s="8" t="s">
        <v>2585</v>
      </c>
      <c r="H20" s="9" t="s">
        <v>2585</v>
      </c>
      <c r="I20" s="10" t="s">
        <v>2585</v>
      </c>
      <c r="J20" s="11" t="s">
        <v>2585</v>
      </c>
      <c r="K20" s="10" t="s">
        <v>2585</v>
      </c>
      <c r="L20" s="11" t="s">
        <v>2586</v>
      </c>
      <c r="M20" s="11" t="s">
        <v>2586</v>
      </c>
      <c r="N20" s="11" t="s">
        <v>2586</v>
      </c>
      <c r="O20" s="11" t="s">
        <v>2585</v>
      </c>
      <c r="P20" s="10" t="s">
        <v>2585</v>
      </c>
      <c r="Q20" s="16" t="s">
        <v>2585</v>
      </c>
    </row>
    <row r="21" spans="1:17" x14ac:dyDescent="0.3">
      <c r="A21" s="4" t="s">
        <v>491</v>
      </c>
      <c r="B21" s="31">
        <v>42</v>
      </c>
      <c r="C21" s="5">
        <v>64</v>
      </c>
      <c r="D21" s="41" t="s">
        <v>490</v>
      </c>
      <c r="E21" s="6" t="s">
        <v>231</v>
      </c>
      <c r="F21" s="7" t="s">
        <v>2587</v>
      </c>
      <c r="G21" s="8" t="s">
        <v>2588</v>
      </c>
      <c r="H21" s="9" t="s">
        <v>2588</v>
      </c>
      <c r="I21" s="10" t="s">
        <v>2588</v>
      </c>
      <c r="J21" s="11" t="s">
        <v>2588</v>
      </c>
      <c r="K21" s="10" t="s">
        <v>2588</v>
      </c>
      <c r="L21" s="11" t="s">
        <v>2589</v>
      </c>
      <c r="M21" s="11" t="s">
        <v>2589</v>
      </c>
      <c r="N21" s="11" t="s">
        <v>2589</v>
      </c>
      <c r="O21" s="11" t="s">
        <v>2588</v>
      </c>
      <c r="P21" s="10" t="s">
        <v>2588</v>
      </c>
      <c r="Q21" s="16" t="s">
        <v>2588</v>
      </c>
    </row>
    <row r="22" spans="1:17" x14ac:dyDescent="0.3">
      <c r="A22" s="4" t="s">
        <v>499</v>
      </c>
      <c r="B22" s="31">
        <v>43</v>
      </c>
      <c r="C22" s="5">
        <v>65</v>
      </c>
      <c r="D22" s="41" t="s">
        <v>498</v>
      </c>
      <c r="E22" s="6" t="s">
        <v>231</v>
      </c>
      <c r="F22" s="7" t="s">
        <v>2590</v>
      </c>
      <c r="G22" s="8" t="s">
        <v>2590</v>
      </c>
      <c r="H22" s="9" t="s">
        <v>2590</v>
      </c>
      <c r="I22" s="12"/>
      <c r="J22" s="11" t="s">
        <v>2590</v>
      </c>
      <c r="K22" s="12"/>
      <c r="L22" s="11" t="s">
        <v>2591</v>
      </c>
      <c r="M22" s="11" t="s">
        <v>2591</v>
      </c>
      <c r="N22" s="11" t="s">
        <v>2591</v>
      </c>
      <c r="O22" s="11" t="s">
        <v>2591</v>
      </c>
      <c r="P22" s="13"/>
      <c r="Q22" s="16" t="s">
        <v>2590</v>
      </c>
    </row>
    <row r="23" spans="1:17" x14ac:dyDescent="0.3">
      <c r="A23" s="4" t="s">
        <v>507</v>
      </c>
      <c r="B23" s="31">
        <v>44</v>
      </c>
      <c r="C23" s="5">
        <v>66</v>
      </c>
      <c r="D23" s="41" t="s">
        <v>506</v>
      </c>
      <c r="E23" s="6" t="s">
        <v>387</v>
      </c>
      <c r="F23" s="7" t="s">
        <v>2592</v>
      </c>
      <c r="G23" s="8" t="s">
        <v>2592</v>
      </c>
      <c r="H23" s="9" t="s">
        <v>2592</v>
      </c>
      <c r="I23" s="12"/>
      <c r="J23" s="11" t="s">
        <v>2592</v>
      </c>
      <c r="K23" s="12"/>
      <c r="L23" s="11" t="s">
        <v>2593</v>
      </c>
      <c r="M23" s="11" t="s">
        <v>2593</v>
      </c>
      <c r="N23" s="11" t="s">
        <v>2593</v>
      </c>
      <c r="O23" s="11" t="s">
        <v>2593</v>
      </c>
      <c r="P23" s="13"/>
      <c r="Q23" s="15" t="s">
        <v>2592</v>
      </c>
    </row>
    <row r="24" spans="1:17" x14ac:dyDescent="0.3">
      <c r="A24" s="4" t="s">
        <v>516</v>
      </c>
      <c r="B24" s="31" t="s">
        <v>1485</v>
      </c>
      <c r="C24" s="5">
        <v>67</v>
      </c>
      <c r="D24" s="41" t="s">
        <v>515</v>
      </c>
      <c r="E24" s="6" t="s">
        <v>231</v>
      </c>
      <c r="F24" s="7" t="s">
        <v>2594</v>
      </c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2"/>
    </row>
    <row r="25" spans="1:17" ht="20.399999999999999" x14ac:dyDescent="0.3">
      <c r="A25" s="4" t="s">
        <v>525</v>
      </c>
      <c r="B25" s="31">
        <v>45</v>
      </c>
      <c r="C25" s="5">
        <v>68</v>
      </c>
      <c r="D25" s="41" t="s">
        <v>524</v>
      </c>
      <c r="E25" s="6" t="s">
        <v>231</v>
      </c>
      <c r="F25" s="7" t="s">
        <v>2595</v>
      </c>
      <c r="G25" s="12"/>
      <c r="H25" s="12"/>
      <c r="I25" s="14" t="s">
        <v>2590</v>
      </c>
      <c r="J25" s="12"/>
      <c r="K25" s="14" t="s">
        <v>2590</v>
      </c>
      <c r="L25" s="11" t="s">
        <v>2596</v>
      </c>
      <c r="M25" s="11" t="s">
        <v>2596</v>
      </c>
      <c r="N25" s="10" t="s">
        <v>2596</v>
      </c>
      <c r="O25" s="12"/>
      <c r="P25" s="14" t="s">
        <v>2591</v>
      </c>
      <c r="Q25" s="12"/>
    </row>
    <row r="26" spans="1:17" ht="20.399999999999999" x14ac:dyDescent="0.3">
      <c r="A26" s="4" t="s">
        <v>552</v>
      </c>
      <c r="B26" s="31">
        <v>46</v>
      </c>
      <c r="C26" s="5">
        <v>71</v>
      </c>
      <c r="D26" s="41" t="s">
        <v>551</v>
      </c>
      <c r="E26" s="6" t="s">
        <v>34</v>
      </c>
      <c r="F26" s="7" t="s">
        <v>2597</v>
      </c>
      <c r="G26" s="12"/>
      <c r="H26" s="12"/>
      <c r="I26" s="14" t="s">
        <v>2592</v>
      </c>
      <c r="J26" s="12"/>
      <c r="K26" s="14" t="s">
        <v>2592</v>
      </c>
      <c r="L26" s="11" t="s">
        <v>2598</v>
      </c>
      <c r="M26" s="11" t="s">
        <v>2598</v>
      </c>
      <c r="N26" s="10" t="s">
        <v>2598</v>
      </c>
      <c r="O26" s="12"/>
      <c r="P26" s="14" t="s">
        <v>2599</v>
      </c>
      <c r="Q26" s="12"/>
    </row>
    <row r="27" spans="1:17" ht="15" thickBot="1" x14ac:dyDescent="0.35">
      <c r="A27" s="55" t="s">
        <v>534</v>
      </c>
      <c r="B27" s="56" t="s">
        <v>1485</v>
      </c>
      <c r="C27" s="57">
        <v>69</v>
      </c>
      <c r="D27" s="58" t="s">
        <v>533</v>
      </c>
      <c r="E27" s="42" t="s">
        <v>34</v>
      </c>
      <c r="F27" s="43" t="s">
        <v>2600</v>
      </c>
      <c r="G27" s="12"/>
      <c r="H27" s="12"/>
      <c r="I27" s="44"/>
      <c r="J27" s="12"/>
      <c r="K27" s="44"/>
      <c r="L27" s="46"/>
      <c r="M27" s="45"/>
      <c r="N27" s="44"/>
      <c r="O27" s="47"/>
      <c r="P27" s="48"/>
      <c r="Q27" s="12"/>
    </row>
  </sheetData>
  <mergeCells count="8">
    <mergeCell ref="A1:F2"/>
    <mergeCell ref="O1:P1"/>
    <mergeCell ref="G2:I2"/>
    <mergeCell ref="J2:K2"/>
    <mergeCell ref="O2:P2"/>
    <mergeCell ref="L1:N1"/>
    <mergeCell ref="L2:N2"/>
    <mergeCell ref="G1:K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785-187D-4638-8FA1-B4F5D53B2DE8}">
  <sheetPr codeName="Sheet35"/>
  <dimension ref="A1:Q240"/>
  <sheetViews>
    <sheetView workbookViewId="0">
      <selection activeCell="B14" sqref="B14"/>
    </sheetView>
  </sheetViews>
  <sheetFormatPr defaultColWidth="8.6640625" defaultRowHeight="14.4" x14ac:dyDescent="0.3"/>
  <cols>
    <col min="1" max="1" width="8.6640625" style="19"/>
    <col min="2" max="2" width="14.109375" style="19" customWidth="1"/>
    <col min="3" max="3" width="20" style="19" bestFit="1" customWidth="1"/>
    <col min="4" max="13" width="8.6640625" style="19"/>
    <col min="14" max="15" width="13" style="19" bestFit="1" customWidth="1"/>
    <col min="16" max="16" width="13.44140625" style="19" bestFit="1" customWidth="1"/>
    <col min="17" max="17" width="13" style="19" bestFit="1" customWidth="1"/>
    <col min="18" max="16384" width="8.6640625" style="19"/>
  </cols>
  <sheetData>
    <row r="1" spans="1:17" ht="95.4" thickBot="1" x14ac:dyDescent="0.35">
      <c r="A1" s="197" t="s">
        <v>2601</v>
      </c>
      <c r="B1" s="198" t="s">
        <v>2536</v>
      </c>
      <c r="C1" s="198" t="s">
        <v>2602</v>
      </c>
      <c r="D1" s="141" t="s">
        <v>2603</v>
      </c>
      <c r="E1" s="141" t="s">
        <v>2604</v>
      </c>
      <c r="F1" s="141" t="s">
        <v>2605</v>
      </c>
      <c r="G1" s="141" t="s">
        <v>2606</v>
      </c>
      <c r="H1" s="141" t="s">
        <v>2607</v>
      </c>
      <c r="I1" s="141" t="s">
        <v>2608</v>
      </c>
      <c r="J1" s="141" t="s">
        <v>3</v>
      </c>
      <c r="K1" s="141" t="s">
        <v>4</v>
      </c>
      <c r="L1" s="141" t="s">
        <v>2609</v>
      </c>
      <c r="M1" s="141" t="s">
        <v>2610</v>
      </c>
      <c r="N1" s="198" t="s">
        <v>2611</v>
      </c>
      <c r="O1" s="198" t="s">
        <v>2612</v>
      </c>
      <c r="P1" s="198" t="s">
        <v>2613</v>
      </c>
      <c r="Q1" s="198" t="s">
        <v>2614</v>
      </c>
    </row>
    <row r="2" spans="1:17" x14ac:dyDescent="0.3">
      <c r="A2" s="145">
        <v>0</v>
      </c>
      <c r="B2" s="30" t="s">
        <v>946</v>
      </c>
      <c r="C2" s="146" t="s">
        <v>869</v>
      </c>
      <c r="D2" s="27">
        <v>38</v>
      </c>
      <c r="E2" s="27">
        <v>79</v>
      </c>
      <c r="F2" s="27">
        <v>79</v>
      </c>
      <c r="G2" s="27">
        <v>137</v>
      </c>
      <c r="H2" s="27">
        <v>79</v>
      </c>
      <c r="I2" s="27">
        <v>137</v>
      </c>
      <c r="J2" s="27">
        <v>137</v>
      </c>
      <c r="K2" s="27" t="s">
        <v>945</v>
      </c>
      <c r="L2" s="147">
        <v>137</v>
      </c>
      <c r="M2" s="147" t="s">
        <v>945</v>
      </c>
      <c r="N2" s="148"/>
      <c r="O2" s="148"/>
      <c r="P2" s="30">
        <v>2</v>
      </c>
      <c r="Q2" s="149"/>
    </row>
    <row r="3" spans="1:17" x14ac:dyDescent="0.3">
      <c r="A3" s="150">
        <v>1</v>
      </c>
      <c r="B3" s="20" t="s">
        <v>933</v>
      </c>
      <c r="C3" s="23"/>
      <c r="D3" s="22">
        <v>37</v>
      </c>
      <c r="E3" s="22">
        <v>78</v>
      </c>
      <c r="F3" s="22">
        <v>78</v>
      </c>
      <c r="G3" s="22">
        <v>135</v>
      </c>
      <c r="H3" s="22">
        <v>78</v>
      </c>
      <c r="I3" s="22">
        <v>135</v>
      </c>
      <c r="J3" s="22">
        <v>135</v>
      </c>
      <c r="K3" s="22" t="s">
        <v>932</v>
      </c>
      <c r="L3" s="142">
        <v>135</v>
      </c>
      <c r="M3" s="142" t="s">
        <v>932</v>
      </c>
      <c r="N3" s="23"/>
      <c r="O3" s="23"/>
      <c r="P3" s="23"/>
      <c r="Q3" s="151"/>
    </row>
    <row r="4" spans="1:17" x14ac:dyDescent="0.3">
      <c r="A4" s="150">
        <v>2</v>
      </c>
      <c r="B4" s="20" t="s">
        <v>877</v>
      </c>
      <c r="C4" s="21" t="s">
        <v>869</v>
      </c>
      <c r="D4" s="22">
        <v>36</v>
      </c>
      <c r="E4" s="22">
        <v>73</v>
      </c>
      <c r="F4" s="22">
        <v>73</v>
      </c>
      <c r="G4" s="22">
        <v>124</v>
      </c>
      <c r="H4" s="22">
        <v>73</v>
      </c>
      <c r="I4" s="22">
        <v>124</v>
      </c>
      <c r="J4" s="22">
        <v>124</v>
      </c>
      <c r="K4" s="22" t="s">
        <v>876</v>
      </c>
      <c r="L4" s="142">
        <v>124</v>
      </c>
      <c r="M4" s="142" t="s">
        <v>876</v>
      </c>
      <c r="N4" s="23"/>
      <c r="O4" s="23"/>
      <c r="P4" s="20">
        <v>1</v>
      </c>
      <c r="Q4" s="151"/>
    </row>
    <row r="5" spans="1:17" x14ac:dyDescent="0.3">
      <c r="A5" s="150">
        <v>3</v>
      </c>
      <c r="B5" s="20" t="s">
        <v>871</v>
      </c>
      <c r="C5" s="21" t="s">
        <v>875</v>
      </c>
      <c r="D5" s="22">
        <v>35</v>
      </c>
      <c r="E5" s="22">
        <v>72</v>
      </c>
      <c r="F5" s="22">
        <v>72</v>
      </c>
      <c r="G5" s="22">
        <v>123</v>
      </c>
      <c r="H5" s="22">
        <v>72</v>
      </c>
      <c r="I5" s="22">
        <v>123</v>
      </c>
      <c r="J5" s="22">
        <v>123</v>
      </c>
      <c r="K5" s="22" t="s">
        <v>870</v>
      </c>
      <c r="L5" s="142">
        <v>123</v>
      </c>
      <c r="M5" s="142" t="s">
        <v>870</v>
      </c>
      <c r="N5" s="23"/>
      <c r="O5" s="23"/>
      <c r="P5" s="20">
        <v>0</v>
      </c>
      <c r="Q5" s="151"/>
    </row>
    <row r="6" spans="1:17" x14ac:dyDescent="0.3">
      <c r="A6" s="150">
        <v>4</v>
      </c>
      <c r="B6" s="20" t="s">
        <v>1101</v>
      </c>
      <c r="C6" s="21" t="s">
        <v>875</v>
      </c>
      <c r="D6" s="22">
        <v>48</v>
      </c>
      <c r="E6" s="22">
        <v>98</v>
      </c>
      <c r="F6" s="22">
        <v>98</v>
      </c>
      <c r="G6" s="22">
        <v>170</v>
      </c>
      <c r="H6" s="22">
        <v>98</v>
      </c>
      <c r="I6" s="22">
        <v>170</v>
      </c>
      <c r="J6" s="22">
        <v>170</v>
      </c>
      <c r="K6" s="22" t="s">
        <v>1100</v>
      </c>
      <c r="L6" s="142">
        <v>170</v>
      </c>
      <c r="M6" s="142" t="s">
        <v>1100</v>
      </c>
      <c r="N6" s="23"/>
      <c r="O6" s="23"/>
      <c r="P6" s="20">
        <v>8</v>
      </c>
      <c r="Q6" s="151"/>
    </row>
    <row r="7" spans="1:17" x14ac:dyDescent="0.3">
      <c r="A7" s="150">
        <v>5</v>
      </c>
      <c r="B7" s="20" t="s">
        <v>1094</v>
      </c>
      <c r="C7" s="23"/>
      <c r="D7" s="22">
        <v>47</v>
      </c>
      <c r="E7" s="22">
        <v>97</v>
      </c>
      <c r="F7" s="22">
        <v>97</v>
      </c>
      <c r="G7" s="22">
        <v>167</v>
      </c>
      <c r="H7" s="22">
        <v>97</v>
      </c>
      <c r="I7" s="22">
        <v>167</v>
      </c>
      <c r="J7" s="22">
        <v>167</v>
      </c>
      <c r="K7" s="22" t="s">
        <v>1093</v>
      </c>
      <c r="L7" s="142">
        <v>167</v>
      </c>
      <c r="M7" s="142" t="s">
        <v>1093</v>
      </c>
      <c r="N7" s="23"/>
      <c r="O7" s="23"/>
      <c r="P7" s="23"/>
      <c r="Q7" s="151"/>
    </row>
    <row r="8" spans="1:17" x14ac:dyDescent="0.3">
      <c r="A8" s="150">
        <v>6</v>
      </c>
      <c r="B8" s="20" t="s">
        <v>763</v>
      </c>
      <c r="C8" s="21" t="s">
        <v>122</v>
      </c>
      <c r="D8" s="22" t="s">
        <v>1485</v>
      </c>
      <c r="E8" s="22">
        <v>58</v>
      </c>
      <c r="F8" s="22">
        <v>58</v>
      </c>
      <c r="G8" s="22">
        <v>102</v>
      </c>
      <c r="H8" s="22">
        <v>58</v>
      </c>
      <c r="I8" s="22">
        <v>102</v>
      </c>
      <c r="J8" s="22">
        <v>102</v>
      </c>
      <c r="K8" s="22" t="s">
        <v>762</v>
      </c>
      <c r="L8" s="142">
        <v>102</v>
      </c>
      <c r="M8" s="142" t="s">
        <v>762</v>
      </c>
      <c r="N8" s="20">
        <v>19</v>
      </c>
      <c r="O8" s="23"/>
      <c r="P8" s="23"/>
      <c r="Q8" s="151"/>
    </row>
    <row r="9" spans="1:17" x14ac:dyDescent="0.3">
      <c r="A9" s="150">
        <v>7</v>
      </c>
      <c r="B9" s="20" t="s">
        <v>752</v>
      </c>
      <c r="C9" s="21" t="s">
        <v>122</v>
      </c>
      <c r="D9" s="22">
        <v>29</v>
      </c>
      <c r="E9" s="22">
        <v>57</v>
      </c>
      <c r="F9" s="22">
        <v>57</v>
      </c>
      <c r="G9" s="22">
        <v>100</v>
      </c>
      <c r="H9" s="22">
        <v>57</v>
      </c>
      <c r="I9" s="22">
        <v>100</v>
      </c>
      <c r="J9" s="22">
        <v>100</v>
      </c>
      <c r="K9" s="22" t="s">
        <v>751</v>
      </c>
      <c r="L9" s="142">
        <v>100</v>
      </c>
      <c r="M9" s="142" t="s">
        <v>751</v>
      </c>
      <c r="N9" s="20">
        <v>8</v>
      </c>
      <c r="O9" s="23"/>
      <c r="P9" s="23"/>
      <c r="Q9" s="151"/>
    </row>
    <row r="10" spans="1:17" x14ac:dyDescent="0.3">
      <c r="A10" s="150">
        <v>8</v>
      </c>
      <c r="B10" s="20" t="s">
        <v>1113</v>
      </c>
      <c r="C10" s="23"/>
      <c r="D10" s="22" t="s">
        <v>1485</v>
      </c>
      <c r="E10" s="22">
        <v>100</v>
      </c>
      <c r="F10" s="22">
        <v>100</v>
      </c>
      <c r="G10" s="22">
        <v>172</v>
      </c>
      <c r="H10" s="22">
        <v>100</v>
      </c>
      <c r="I10" s="22">
        <v>172</v>
      </c>
      <c r="J10" s="22">
        <v>172</v>
      </c>
      <c r="K10" s="22" t="s">
        <v>1112</v>
      </c>
      <c r="L10" s="142">
        <v>172</v>
      </c>
      <c r="M10" s="142" t="s">
        <v>1112</v>
      </c>
      <c r="N10" s="23"/>
      <c r="O10" s="23"/>
      <c r="P10" s="23"/>
      <c r="Q10" s="151"/>
    </row>
    <row r="11" spans="1:17" x14ac:dyDescent="0.3">
      <c r="A11" s="150">
        <v>9</v>
      </c>
      <c r="B11" s="20" t="s">
        <v>1107</v>
      </c>
      <c r="C11" s="21" t="s">
        <v>869</v>
      </c>
      <c r="D11" s="22" t="s">
        <v>1485</v>
      </c>
      <c r="E11" s="22">
        <v>99</v>
      </c>
      <c r="F11" s="22">
        <v>99</v>
      </c>
      <c r="G11" s="22">
        <v>171</v>
      </c>
      <c r="H11" s="22">
        <v>99</v>
      </c>
      <c r="I11" s="22">
        <v>171</v>
      </c>
      <c r="J11" s="22">
        <v>171</v>
      </c>
      <c r="K11" s="22" t="s">
        <v>1106</v>
      </c>
      <c r="L11" s="142">
        <v>171</v>
      </c>
      <c r="M11" s="142" t="s">
        <v>1106</v>
      </c>
      <c r="N11" s="23"/>
      <c r="O11" s="23"/>
      <c r="P11" s="20">
        <v>20</v>
      </c>
      <c r="Q11" s="151"/>
    </row>
    <row r="12" spans="1:17" x14ac:dyDescent="0.3">
      <c r="A12" s="150">
        <v>10</v>
      </c>
      <c r="B12" s="20" t="s">
        <v>1061</v>
      </c>
      <c r="C12" s="21" t="s">
        <v>869</v>
      </c>
      <c r="D12" s="22">
        <v>44</v>
      </c>
      <c r="E12" s="22">
        <v>92</v>
      </c>
      <c r="F12" s="22">
        <v>92</v>
      </c>
      <c r="G12" s="22">
        <v>161</v>
      </c>
      <c r="H12" s="22">
        <v>92</v>
      </c>
      <c r="I12" s="22">
        <v>161</v>
      </c>
      <c r="J12" s="22">
        <v>161</v>
      </c>
      <c r="K12" s="22" t="s">
        <v>1060</v>
      </c>
      <c r="L12" s="142">
        <v>161</v>
      </c>
      <c r="M12" s="142" t="s">
        <v>1060</v>
      </c>
      <c r="N12" s="24"/>
      <c r="O12" s="23"/>
      <c r="P12" s="20">
        <v>6</v>
      </c>
      <c r="Q12" s="151"/>
    </row>
    <row r="13" spans="1:17" x14ac:dyDescent="0.3">
      <c r="A13" s="150">
        <v>11</v>
      </c>
      <c r="B13" s="20" t="s">
        <v>1056</v>
      </c>
      <c r="C13" s="21" t="s">
        <v>969</v>
      </c>
      <c r="D13" s="22">
        <v>43</v>
      </c>
      <c r="E13" s="22">
        <v>91</v>
      </c>
      <c r="F13" s="22">
        <v>91</v>
      </c>
      <c r="G13" s="22">
        <v>160</v>
      </c>
      <c r="H13" s="22">
        <v>91</v>
      </c>
      <c r="I13" s="22">
        <v>160</v>
      </c>
      <c r="J13" s="22">
        <v>160</v>
      </c>
      <c r="K13" s="22" t="s">
        <v>1055</v>
      </c>
      <c r="L13" s="142">
        <v>160</v>
      </c>
      <c r="M13" s="142" t="s">
        <v>1055</v>
      </c>
      <c r="N13" s="23"/>
      <c r="O13" s="23"/>
      <c r="P13" s="20">
        <v>5</v>
      </c>
      <c r="Q13" s="151"/>
    </row>
    <row r="14" spans="1:17" x14ac:dyDescent="0.3">
      <c r="A14" s="150">
        <v>12</v>
      </c>
      <c r="B14" s="20" t="s">
        <v>1049</v>
      </c>
      <c r="C14" s="21" t="s">
        <v>875</v>
      </c>
      <c r="D14" s="22">
        <v>42</v>
      </c>
      <c r="E14" s="22">
        <v>90</v>
      </c>
      <c r="F14" s="22">
        <v>90</v>
      </c>
      <c r="G14" s="22">
        <v>159</v>
      </c>
      <c r="H14" s="22">
        <v>90</v>
      </c>
      <c r="I14" s="22">
        <v>159</v>
      </c>
      <c r="J14" s="22">
        <v>159</v>
      </c>
      <c r="K14" s="22" t="s">
        <v>1048</v>
      </c>
      <c r="L14" s="142">
        <v>159</v>
      </c>
      <c r="M14" s="142" t="s">
        <v>1048</v>
      </c>
      <c r="N14" s="23"/>
      <c r="O14" s="23"/>
      <c r="P14" s="20">
        <v>21</v>
      </c>
      <c r="Q14" s="151"/>
    </row>
    <row r="15" spans="1:17" x14ac:dyDescent="0.3">
      <c r="A15" s="150">
        <v>13</v>
      </c>
      <c r="B15" s="20" t="s">
        <v>1028</v>
      </c>
      <c r="C15" s="21" t="s">
        <v>875</v>
      </c>
      <c r="D15" s="22">
        <v>41</v>
      </c>
      <c r="E15" s="22">
        <v>89</v>
      </c>
      <c r="F15" s="22">
        <v>89</v>
      </c>
      <c r="G15" s="22">
        <v>155</v>
      </c>
      <c r="H15" s="22">
        <v>89</v>
      </c>
      <c r="I15" s="22">
        <v>155</v>
      </c>
      <c r="J15" s="22">
        <v>155</v>
      </c>
      <c r="K15" s="22" t="s">
        <v>1027</v>
      </c>
      <c r="L15" s="142">
        <v>155</v>
      </c>
      <c r="M15" s="142" t="s">
        <v>1027</v>
      </c>
      <c r="N15" s="24"/>
      <c r="O15" s="24"/>
      <c r="P15" s="138">
        <v>4</v>
      </c>
      <c r="Q15" s="152"/>
    </row>
    <row r="16" spans="1:17" x14ac:dyDescent="0.3">
      <c r="A16" s="150">
        <v>14</v>
      </c>
      <c r="B16" s="20" t="s">
        <v>1013</v>
      </c>
      <c r="C16" s="21" t="s">
        <v>969</v>
      </c>
      <c r="D16" s="22" t="s">
        <v>1485</v>
      </c>
      <c r="E16" s="22">
        <v>88</v>
      </c>
      <c r="F16" s="22">
        <v>88</v>
      </c>
      <c r="G16" s="22">
        <v>152</v>
      </c>
      <c r="H16" s="22">
        <v>88</v>
      </c>
      <c r="I16" s="22">
        <v>152</v>
      </c>
      <c r="J16" s="22">
        <v>152</v>
      </c>
      <c r="K16" s="22" t="s">
        <v>1012</v>
      </c>
      <c r="L16" s="142">
        <v>152</v>
      </c>
      <c r="M16" s="142" t="s">
        <v>1012</v>
      </c>
      <c r="N16" s="25"/>
      <c r="O16" s="25"/>
      <c r="P16" s="137">
        <v>17</v>
      </c>
      <c r="Q16" s="153"/>
    </row>
    <row r="17" spans="1:17" x14ac:dyDescent="0.3">
      <c r="A17" s="150">
        <v>15</v>
      </c>
      <c r="B17" s="20" t="s">
        <v>993</v>
      </c>
      <c r="C17" s="21" t="s">
        <v>875</v>
      </c>
      <c r="D17" s="22" t="s">
        <v>1485</v>
      </c>
      <c r="E17" s="22">
        <v>83</v>
      </c>
      <c r="F17" s="22">
        <v>83</v>
      </c>
      <c r="G17" s="22">
        <v>145</v>
      </c>
      <c r="H17" s="22">
        <v>83</v>
      </c>
      <c r="I17" s="22">
        <v>145</v>
      </c>
      <c r="J17" s="22">
        <v>145</v>
      </c>
      <c r="K17" s="22" t="s">
        <v>992</v>
      </c>
      <c r="L17" s="142">
        <v>145</v>
      </c>
      <c r="M17" s="142" t="s">
        <v>992</v>
      </c>
      <c r="N17" s="25"/>
      <c r="O17" s="25"/>
      <c r="P17" s="137">
        <v>14</v>
      </c>
      <c r="Q17" s="153"/>
    </row>
    <row r="18" spans="1:17" x14ac:dyDescent="0.3">
      <c r="A18" s="150">
        <v>16</v>
      </c>
      <c r="B18" s="20" t="s">
        <v>981</v>
      </c>
      <c r="C18" s="21" t="s">
        <v>869</v>
      </c>
      <c r="D18" s="22" t="s">
        <v>1485</v>
      </c>
      <c r="E18" s="22">
        <v>82</v>
      </c>
      <c r="F18" s="22">
        <v>82</v>
      </c>
      <c r="G18" s="22">
        <v>143</v>
      </c>
      <c r="H18" s="22">
        <v>82</v>
      </c>
      <c r="I18" s="22">
        <v>143</v>
      </c>
      <c r="J18" s="22">
        <v>143</v>
      </c>
      <c r="K18" s="22" t="s">
        <v>980</v>
      </c>
      <c r="L18" s="142">
        <v>143</v>
      </c>
      <c r="M18" s="142" t="s">
        <v>980</v>
      </c>
      <c r="N18" s="25"/>
      <c r="O18" s="25"/>
      <c r="P18" s="137">
        <v>13</v>
      </c>
      <c r="Q18" s="153"/>
    </row>
    <row r="19" spans="1:17" x14ac:dyDescent="0.3">
      <c r="A19" s="150">
        <v>17</v>
      </c>
      <c r="B19" s="20" t="s">
        <v>783</v>
      </c>
      <c r="C19" s="21" t="s">
        <v>35</v>
      </c>
      <c r="D19" s="22" t="s">
        <v>1485</v>
      </c>
      <c r="E19" s="22" t="s">
        <v>1485</v>
      </c>
      <c r="F19" s="22" t="s">
        <v>1485</v>
      </c>
      <c r="G19" s="22">
        <v>109</v>
      </c>
      <c r="H19" s="22" t="s">
        <v>1485</v>
      </c>
      <c r="I19" s="22">
        <v>109</v>
      </c>
      <c r="J19" s="22">
        <v>109</v>
      </c>
      <c r="K19" s="22" t="s">
        <v>782</v>
      </c>
      <c r="L19" s="142">
        <v>109</v>
      </c>
      <c r="M19" s="142" t="s">
        <v>782</v>
      </c>
      <c r="N19" s="25"/>
      <c r="O19" s="137">
        <v>10</v>
      </c>
      <c r="P19" s="25"/>
      <c r="Q19" s="153"/>
    </row>
    <row r="20" spans="1:17" x14ac:dyDescent="0.3">
      <c r="A20" s="150">
        <v>18</v>
      </c>
      <c r="B20" s="20" t="s">
        <v>23</v>
      </c>
      <c r="C20" s="21" t="s">
        <v>35</v>
      </c>
      <c r="D20" s="22" t="s">
        <v>1485</v>
      </c>
      <c r="E20" s="22" t="s">
        <v>1485</v>
      </c>
      <c r="F20" s="22" t="s">
        <v>1485</v>
      </c>
      <c r="G20" s="22">
        <v>1</v>
      </c>
      <c r="H20" s="22" t="s">
        <v>1485</v>
      </c>
      <c r="I20" s="22">
        <v>1</v>
      </c>
      <c r="J20" s="22">
        <v>1</v>
      </c>
      <c r="K20" s="22" t="s">
        <v>22</v>
      </c>
      <c r="L20" s="142">
        <v>1</v>
      </c>
      <c r="M20" s="142" t="s">
        <v>22</v>
      </c>
      <c r="N20" s="137">
        <v>25</v>
      </c>
      <c r="O20" s="25"/>
      <c r="P20" s="25"/>
      <c r="Q20" s="153"/>
    </row>
    <row r="21" spans="1:17" x14ac:dyDescent="0.3">
      <c r="A21" s="150">
        <v>19</v>
      </c>
      <c r="B21" s="20" t="s">
        <v>37</v>
      </c>
      <c r="C21" s="21" t="s">
        <v>35</v>
      </c>
      <c r="D21" s="22" t="s">
        <v>1485</v>
      </c>
      <c r="E21" s="22" t="s">
        <v>1485</v>
      </c>
      <c r="F21" s="22" t="s">
        <v>1485</v>
      </c>
      <c r="G21" s="22">
        <v>2</v>
      </c>
      <c r="H21" s="22" t="s">
        <v>1485</v>
      </c>
      <c r="I21" s="22">
        <v>2</v>
      </c>
      <c r="J21" s="22">
        <v>2</v>
      </c>
      <c r="K21" s="22" t="s">
        <v>36</v>
      </c>
      <c r="L21" s="142">
        <v>2</v>
      </c>
      <c r="M21" s="142" t="s">
        <v>36</v>
      </c>
      <c r="N21" s="137">
        <v>26</v>
      </c>
      <c r="O21" s="25"/>
      <c r="P21" s="25"/>
      <c r="Q21" s="153"/>
    </row>
    <row r="22" spans="1:17" x14ac:dyDescent="0.3">
      <c r="A22" s="150">
        <v>20</v>
      </c>
      <c r="B22" s="20" t="s">
        <v>48</v>
      </c>
      <c r="C22" s="21" t="s">
        <v>35</v>
      </c>
      <c r="D22" s="22" t="s">
        <v>1485</v>
      </c>
      <c r="E22" s="22" t="s">
        <v>1485</v>
      </c>
      <c r="F22" s="22" t="s">
        <v>1485</v>
      </c>
      <c r="G22" s="22">
        <v>3</v>
      </c>
      <c r="H22" s="22" t="s">
        <v>1485</v>
      </c>
      <c r="I22" s="22">
        <v>3</v>
      </c>
      <c r="J22" s="22">
        <v>3</v>
      </c>
      <c r="K22" s="22" t="s">
        <v>47</v>
      </c>
      <c r="L22" s="142">
        <v>3</v>
      </c>
      <c r="M22" s="142" t="s">
        <v>47</v>
      </c>
      <c r="N22" s="137">
        <v>27</v>
      </c>
      <c r="O22" s="25"/>
      <c r="P22" s="25"/>
      <c r="Q22" s="153"/>
    </row>
    <row r="23" spans="1:17" x14ac:dyDescent="0.3">
      <c r="A23" s="150">
        <v>21</v>
      </c>
      <c r="B23" s="20" t="s">
        <v>88</v>
      </c>
      <c r="C23" s="21" t="s">
        <v>35</v>
      </c>
      <c r="D23" s="136" t="s">
        <v>1485</v>
      </c>
      <c r="E23" s="22" t="s">
        <v>1485</v>
      </c>
      <c r="F23" s="22" t="s">
        <v>1485</v>
      </c>
      <c r="G23" s="22">
        <v>6</v>
      </c>
      <c r="H23" s="22" t="s">
        <v>1485</v>
      </c>
      <c r="I23" s="22">
        <v>6</v>
      </c>
      <c r="J23" s="22">
        <v>6</v>
      </c>
      <c r="K23" s="22" t="s">
        <v>87</v>
      </c>
      <c r="L23" s="142">
        <v>6</v>
      </c>
      <c r="M23" s="142" t="s">
        <v>87</v>
      </c>
      <c r="N23" s="137">
        <v>28</v>
      </c>
      <c r="O23" s="25"/>
      <c r="P23" s="25"/>
      <c r="Q23" s="153"/>
    </row>
    <row r="24" spans="1:17" x14ac:dyDescent="0.3">
      <c r="A24" s="150">
        <v>22</v>
      </c>
      <c r="B24" s="20" t="s">
        <v>1410</v>
      </c>
      <c r="C24" s="28"/>
      <c r="D24" s="22" t="s">
        <v>1485</v>
      </c>
      <c r="E24" s="22" t="s">
        <v>1485</v>
      </c>
      <c r="F24" s="22" t="s">
        <v>1485</v>
      </c>
      <c r="G24" s="22" t="s">
        <v>1485</v>
      </c>
      <c r="H24" s="22" t="s">
        <v>1485</v>
      </c>
      <c r="I24" s="22" t="s">
        <v>1485</v>
      </c>
      <c r="J24" s="22" t="s">
        <v>1485</v>
      </c>
      <c r="K24" s="22" t="s">
        <v>1409</v>
      </c>
      <c r="L24" s="142" t="s">
        <v>1485</v>
      </c>
      <c r="M24" s="142" t="s">
        <v>1409</v>
      </c>
      <c r="N24" s="25"/>
      <c r="O24" s="25"/>
      <c r="P24" s="25"/>
      <c r="Q24" s="153"/>
    </row>
    <row r="25" spans="1:17" x14ac:dyDescent="0.3">
      <c r="A25" s="150">
        <v>23</v>
      </c>
      <c r="B25" s="20" t="s">
        <v>1414</v>
      </c>
      <c r="C25" s="20"/>
      <c r="D25" s="22" t="s">
        <v>1485</v>
      </c>
      <c r="E25" s="22" t="s">
        <v>1485</v>
      </c>
      <c r="F25" s="22" t="s">
        <v>1485</v>
      </c>
      <c r="G25" s="22" t="s">
        <v>1485</v>
      </c>
      <c r="H25" s="22" t="s">
        <v>1485</v>
      </c>
      <c r="I25" s="22" t="s">
        <v>1485</v>
      </c>
      <c r="J25" s="22" t="s">
        <v>1485</v>
      </c>
      <c r="K25" s="22" t="s">
        <v>1413</v>
      </c>
      <c r="L25" s="142" t="s">
        <v>1485</v>
      </c>
      <c r="M25" s="142" t="s">
        <v>1413</v>
      </c>
      <c r="N25" s="25"/>
      <c r="O25" s="25"/>
      <c r="P25" s="25"/>
      <c r="Q25" s="153"/>
    </row>
    <row r="26" spans="1:17" x14ac:dyDescent="0.3">
      <c r="A26" s="150">
        <v>24</v>
      </c>
      <c r="B26" s="20" t="s">
        <v>176</v>
      </c>
      <c r="C26" s="23"/>
      <c r="D26" s="22" t="s">
        <v>1485</v>
      </c>
      <c r="E26" s="22" t="s">
        <v>1485</v>
      </c>
      <c r="F26" s="22" t="s">
        <v>1485</v>
      </c>
      <c r="G26" s="22">
        <v>14</v>
      </c>
      <c r="H26" s="22" t="s">
        <v>1485</v>
      </c>
      <c r="I26" s="22">
        <v>14</v>
      </c>
      <c r="J26" s="22">
        <v>14</v>
      </c>
      <c r="K26" s="22" t="s">
        <v>175</v>
      </c>
      <c r="L26" s="142">
        <v>14</v>
      </c>
      <c r="M26" s="142" t="s">
        <v>175</v>
      </c>
      <c r="N26" s="25"/>
      <c r="O26" s="25"/>
      <c r="P26" s="25"/>
      <c r="Q26" s="153"/>
    </row>
    <row r="27" spans="1:17" x14ac:dyDescent="0.3">
      <c r="A27" s="150">
        <v>25</v>
      </c>
      <c r="B27" s="20" t="s">
        <v>183</v>
      </c>
      <c r="C27" s="23"/>
      <c r="D27" s="22" t="s">
        <v>1485</v>
      </c>
      <c r="E27" s="22" t="s">
        <v>1485</v>
      </c>
      <c r="F27" s="22" t="s">
        <v>1485</v>
      </c>
      <c r="G27" s="22">
        <v>15</v>
      </c>
      <c r="H27" s="22" t="s">
        <v>1485</v>
      </c>
      <c r="I27" s="22">
        <v>15</v>
      </c>
      <c r="J27" s="22">
        <v>15</v>
      </c>
      <c r="K27" s="22" t="s">
        <v>182</v>
      </c>
      <c r="L27" s="142">
        <v>15</v>
      </c>
      <c r="M27" s="142" t="s">
        <v>182</v>
      </c>
      <c r="N27" s="25"/>
      <c r="O27" s="25"/>
      <c r="P27" s="25"/>
      <c r="Q27" s="153"/>
    </row>
    <row r="28" spans="1:17" x14ac:dyDescent="0.3">
      <c r="A28" s="150">
        <v>26</v>
      </c>
      <c r="B28" s="20" t="s">
        <v>1418</v>
      </c>
      <c r="C28" s="23"/>
      <c r="D28" s="22" t="s">
        <v>1485</v>
      </c>
      <c r="E28" s="22" t="s">
        <v>1485</v>
      </c>
      <c r="F28" s="22" t="s">
        <v>1485</v>
      </c>
      <c r="G28" s="22" t="s">
        <v>1485</v>
      </c>
      <c r="H28" s="22" t="s">
        <v>1485</v>
      </c>
      <c r="I28" s="22" t="s">
        <v>1485</v>
      </c>
      <c r="J28" s="22" t="s">
        <v>1485</v>
      </c>
      <c r="K28" s="22" t="s">
        <v>1417</v>
      </c>
      <c r="L28" s="142" t="s">
        <v>1485</v>
      </c>
      <c r="M28" s="142" t="s">
        <v>1417</v>
      </c>
      <c r="N28" s="25"/>
      <c r="O28" s="25"/>
      <c r="P28" s="25"/>
      <c r="Q28" s="153"/>
    </row>
    <row r="29" spans="1:17" x14ac:dyDescent="0.3">
      <c r="A29" s="150">
        <v>27</v>
      </c>
      <c r="B29" s="20" t="s">
        <v>233</v>
      </c>
      <c r="C29" s="23"/>
      <c r="D29" s="22" t="s">
        <v>1485</v>
      </c>
      <c r="E29" s="22" t="s">
        <v>1485</v>
      </c>
      <c r="F29" s="22" t="s">
        <v>1485</v>
      </c>
      <c r="G29" s="22">
        <v>28</v>
      </c>
      <c r="H29" s="22" t="s">
        <v>1485</v>
      </c>
      <c r="I29" s="22">
        <v>28</v>
      </c>
      <c r="J29" s="22">
        <v>28</v>
      </c>
      <c r="K29" s="22" t="s">
        <v>232</v>
      </c>
      <c r="L29" s="142" t="s">
        <v>1485</v>
      </c>
      <c r="M29" s="142" t="s">
        <v>232</v>
      </c>
      <c r="N29" s="25"/>
      <c r="O29" s="25"/>
      <c r="P29" s="25"/>
      <c r="Q29" s="153"/>
    </row>
    <row r="30" spans="1:17" x14ac:dyDescent="0.3">
      <c r="A30" s="150">
        <v>28</v>
      </c>
      <c r="B30" s="20" t="s">
        <v>250</v>
      </c>
      <c r="C30" s="23"/>
      <c r="D30" s="22" t="s">
        <v>1485</v>
      </c>
      <c r="E30" s="22" t="s">
        <v>1485</v>
      </c>
      <c r="F30" s="22" t="s">
        <v>1485</v>
      </c>
      <c r="G30" s="22">
        <v>30</v>
      </c>
      <c r="H30" s="22" t="s">
        <v>1485</v>
      </c>
      <c r="I30" s="22">
        <v>30</v>
      </c>
      <c r="J30" s="22">
        <v>30</v>
      </c>
      <c r="K30" s="22" t="s">
        <v>249</v>
      </c>
      <c r="L30" s="142">
        <v>30</v>
      </c>
      <c r="M30" s="142" t="s">
        <v>249</v>
      </c>
      <c r="N30" s="25"/>
      <c r="O30" s="25"/>
      <c r="P30" s="25"/>
      <c r="Q30" s="153"/>
    </row>
    <row r="31" spans="1:17" x14ac:dyDescent="0.3">
      <c r="A31" s="150">
        <v>29</v>
      </c>
      <c r="B31" s="20" t="s">
        <v>271</v>
      </c>
      <c r="C31" s="23"/>
      <c r="D31" s="22" t="s">
        <v>1485</v>
      </c>
      <c r="E31" s="22" t="s">
        <v>1485</v>
      </c>
      <c r="F31" s="22" t="s">
        <v>1485</v>
      </c>
      <c r="G31" s="22">
        <v>32</v>
      </c>
      <c r="H31" s="22" t="s">
        <v>1485</v>
      </c>
      <c r="I31" s="22">
        <v>32</v>
      </c>
      <c r="J31" s="22">
        <v>32</v>
      </c>
      <c r="K31" s="22" t="s">
        <v>270</v>
      </c>
      <c r="L31" s="142">
        <v>32</v>
      </c>
      <c r="M31" s="142" t="s">
        <v>270</v>
      </c>
      <c r="N31" s="25"/>
      <c r="O31" s="25"/>
      <c r="P31" s="25"/>
      <c r="Q31" s="153"/>
    </row>
    <row r="32" spans="1:17" x14ac:dyDescent="0.3">
      <c r="A32" s="150">
        <v>30</v>
      </c>
      <c r="B32" s="20" t="s">
        <v>277</v>
      </c>
      <c r="C32" s="23"/>
      <c r="D32" s="22" t="s">
        <v>1485</v>
      </c>
      <c r="E32" s="22" t="s">
        <v>1485</v>
      </c>
      <c r="F32" s="22" t="s">
        <v>1485</v>
      </c>
      <c r="G32" s="22">
        <v>33</v>
      </c>
      <c r="H32" s="22" t="s">
        <v>1485</v>
      </c>
      <c r="I32" s="22">
        <v>33</v>
      </c>
      <c r="J32" s="22">
        <v>33</v>
      </c>
      <c r="K32" s="22" t="s">
        <v>276</v>
      </c>
      <c r="L32" s="142">
        <v>33</v>
      </c>
      <c r="M32" s="142" t="s">
        <v>276</v>
      </c>
      <c r="N32" s="25"/>
      <c r="O32" s="25"/>
      <c r="P32" s="25"/>
      <c r="Q32" s="153"/>
    </row>
    <row r="33" spans="1:17" x14ac:dyDescent="0.3">
      <c r="A33" s="150">
        <v>31</v>
      </c>
      <c r="B33" s="20" t="s">
        <v>322</v>
      </c>
      <c r="C33" s="23"/>
      <c r="D33" s="22" t="s">
        <v>1485</v>
      </c>
      <c r="E33" s="22" t="s">
        <v>1485</v>
      </c>
      <c r="F33" s="22" t="s">
        <v>1485</v>
      </c>
      <c r="G33" s="22">
        <v>39</v>
      </c>
      <c r="H33" s="22" t="s">
        <v>1485</v>
      </c>
      <c r="I33" s="22">
        <v>39</v>
      </c>
      <c r="J33" s="22">
        <v>39</v>
      </c>
      <c r="K33" s="22" t="s">
        <v>321</v>
      </c>
      <c r="L33" s="142">
        <v>39</v>
      </c>
      <c r="M33" s="142" t="s">
        <v>321</v>
      </c>
      <c r="N33" s="25"/>
      <c r="O33" s="25"/>
      <c r="P33" s="25"/>
      <c r="Q33" s="153"/>
    </row>
    <row r="34" spans="1:17" x14ac:dyDescent="0.3">
      <c r="A34" s="150">
        <v>32</v>
      </c>
      <c r="B34" s="20" t="s">
        <v>720</v>
      </c>
      <c r="C34" s="21" t="s">
        <v>122</v>
      </c>
      <c r="D34" s="22">
        <v>26</v>
      </c>
      <c r="E34" s="22">
        <v>54</v>
      </c>
      <c r="F34" s="22">
        <v>54</v>
      </c>
      <c r="G34" s="22">
        <v>95</v>
      </c>
      <c r="H34" s="22">
        <v>54</v>
      </c>
      <c r="I34" s="22">
        <v>95</v>
      </c>
      <c r="J34" s="22">
        <v>95</v>
      </c>
      <c r="K34" s="22" t="s">
        <v>719</v>
      </c>
      <c r="L34" s="142">
        <v>95</v>
      </c>
      <c r="M34" s="142" t="s">
        <v>719</v>
      </c>
      <c r="N34" s="137">
        <v>5</v>
      </c>
      <c r="O34" s="25"/>
      <c r="P34" s="25"/>
      <c r="Q34" s="153"/>
    </row>
    <row r="35" spans="1:17" x14ac:dyDescent="0.3">
      <c r="A35" s="150">
        <v>33</v>
      </c>
      <c r="B35" s="20" t="s">
        <v>713</v>
      </c>
      <c r="C35" s="21" t="s">
        <v>122</v>
      </c>
      <c r="D35" s="22">
        <v>25</v>
      </c>
      <c r="E35" s="22">
        <v>53</v>
      </c>
      <c r="F35" s="22">
        <v>53</v>
      </c>
      <c r="G35" s="22">
        <v>94</v>
      </c>
      <c r="H35" s="22">
        <v>53</v>
      </c>
      <c r="I35" s="22">
        <v>94</v>
      </c>
      <c r="J35" s="22">
        <v>94</v>
      </c>
      <c r="K35" s="22" t="s">
        <v>712</v>
      </c>
      <c r="L35" s="142">
        <v>94</v>
      </c>
      <c r="M35" s="142" t="s">
        <v>712</v>
      </c>
      <c r="N35" s="137">
        <v>4</v>
      </c>
      <c r="O35" s="25"/>
      <c r="P35" s="25"/>
      <c r="Q35" s="153"/>
    </row>
    <row r="36" spans="1:17" x14ac:dyDescent="0.3">
      <c r="A36" s="150">
        <v>34</v>
      </c>
      <c r="B36" s="20" t="s">
        <v>604</v>
      </c>
      <c r="C36" s="21" t="s">
        <v>35</v>
      </c>
      <c r="D36" s="22">
        <v>24</v>
      </c>
      <c r="E36" s="22">
        <v>48</v>
      </c>
      <c r="F36" s="22">
        <v>48</v>
      </c>
      <c r="G36" s="22">
        <v>79</v>
      </c>
      <c r="H36" s="22">
        <v>48</v>
      </c>
      <c r="I36" s="22">
        <v>79</v>
      </c>
      <c r="J36" s="22">
        <v>79</v>
      </c>
      <c r="K36" s="22" t="s">
        <v>603</v>
      </c>
      <c r="L36" s="142" t="s">
        <v>1485</v>
      </c>
      <c r="M36" s="142" t="s">
        <v>603</v>
      </c>
      <c r="N36" s="137">
        <v>3</v>
      </c>
      <c r="O36" s="25"/>
      <c r="P36" s="25"/>
      <c r="Q36" s="153"/>
    </row>
    <row r="37" spans="1:17" x14ac:dyDescent="0.3">
      <c r="A37" s="150">
        <v>35</v>
      </c>
      <c r="B37" s="20" t="s">
        <v>577</v>
      </c>
      <c r="C37" s="21" t="s">
        <v>35</v>
      </c>
      <c r="D37" s="22">
        <v>23</v>
      </c>
      <c r="E37" s="22">
        <v>47</v>
      </c>
      <c r="F37" s="22">
        <v>47</v>
      </c>
      <c r="G37" s="22">
        <v>74</v>
      </c>
      <c r="H37" s="22">
        <v>47</v>
      </c>
      <c r="I37" s="22">
        <v>74</v>
      </c>
      <c r="J37" s="22">
        <v>74</v>
      </c>
      <c r="K37" s="22" t="s">
        <v>576</v>
      </c>
      <c r="L37" s="142">
        <v>74</v>
      </c>
      <c r="M37" s="142" t="s">
        <v>576</v>
      </c>
      <c r="N37" s="137">
        <v>2</v>
      </c>
      <c r="O37" s="25"/>
      <c r="P37" s="25"/>
      <c r="Q37" s="153"/>
    </row>
    <row r="38" spans="1:17" x14ac:dyDescent="0.3">
      <c r="A38" s="150">
        <v>36</v>
      </c>
      <c r="B38" s="20" t="s">
        <v>396</v>
      </c>
      <c r="C38" s="23"/>
      <c r="D38" s="22">
        <v>15</v>
      </c>
      <c r="E38" s="22">
        <v>28</v>
      </c>
      <c r="F38" s="22">
        <v>28</v>
      </c>
      <c r="G38" s="22">
        <v>48</v>
      </c>
      <c r="H38" s="22">
        <v>28</v>
      </c>
      <c r="I38" s="22">
        <v>48</v>
      </c>
      <c r="J38" s="22">
        <v>48</v>
      </c>
      <c r="K38" s="22" t="s">
        <v>395</v>
      </c>
      <c r="L38" s="142">
        <v>48</v>
      </c>
      <c r="M38" s="142" t="s">
        <v>395</v>
      </c>
      <c r="N38" s="25"/>
      <c r="O38" s="25"/>
      <c r="P38" s="25"/>
      <c r="Q38" s="153"/>
    </row>
    <row r="39" spans="1:17" x14ac:dyDescent="0.3">
      <c r="A39" s="150">
        <v>37</v>
      </c>
      <c r="B39" s="20" t="s">
        <v>389</v>
      </c>
      <c r="C39" s="23"/>
      <c r="D39" s="22">
        <v>14</v>
      </c>
      <c r="E39" s="22">
        <v>27</v>
      </c>
      <c r="F39" s="22">
        <v>27</v>
      </c>
      <c r="G39" s="22">
        <v>47</v>
      </c>
      <c r="H39" s="22">
        <v>27</v>
      </c>
      <c r="I39" s="22">
        <v>47</v>
      </c>
      <c r="J39" s="22">
        <v>47</v>
      </c>
      <c r="K39" s="22" t="s">
        <v>388</v>
      </c>
      <c r="L39" s="142">
        <v>47</v>
      </c>
      <c r="M39" s="142" t="s">
        <v>388</v>
      </c>
      <c r="N39" s="25"/>
      <c r="O39" s="25"/>
      <c r="P39" s="25"/>
      <c r="Q39" s="153"/>
    </row>
    <row r="40" spans="1:17" x14ac:dyDescent="0.3">
      <c r="A40" s="150">
        <v>40</v>
      </c>
      <c r="B40" s="20" t="s">
        <v>922</v>
      </c>
      <c r="C40" s="21" t="s">
        <v>869</v>
      </c>
      <c r="D40" s="22" t="s">
        <v>1485</v>
      </c>
      <c r="E40" s="22">
        <v>77</v>
      </c>
      <c r="F40" s="22">
        <v>77</v>
      </c>
      <c r="G40" s="22">
        <v>133</v>
      </c>
      <c r="H40" s="22">
        <v>77</v>
      </c>
      <c r="I40" s="22">
        <v>133</v>
      </c>
      <c r="J40" s="22">
        <v>133</v>
      </c>
      <c r="K40" s="22" t="s">
        <v>921</v>
      </c>
      <c r="L40" s="142">
        <v>133</v>
      </c>
      <c r="M40" s="142" t="s">
        <v>921</v>
      </c>
      <c r="N40" s="25"/>
      <c r="O40" s="25"/>
      <c r="P40" s="137">
        <v>12</v>
      </c>
      <c r="Q40" s="153"/>
    </row>
    <row r="41" spans="1:17" x14ac:dyDescent="0.3">
      <c r="A41" s="150">
        <v>41</v>
      </c>
      <c r="B41" s="20" t="s">
        <v>904</v>
      </c>
      <c r="C41" s="21" t="s">
        <v>869</v>
      </c>
      <c r="D41" s="22" t="s">
        <v>1485</v>
      </c>
      <c r="E41" s="22">
        <v>76</v>
      </c>
      <c r="F41" s="22">
        <v>76</v>
      </c>
      <c r="G41" s="22">
        <v>130</v>
      </c>
      <c r="H41" s="22">
        <v>76</v>
      </c>
      <c r="I41" s="22">
        <v>130</v>
      </c>
      <c r="J41" s="22">
        <v>130</v>
      </c>
      <c r="K41" s="22" t="s">
        <v>903</v>
      </c>
      <c r="L41" s="142">
        <v>130</v>
      </c>
      <c r="M41" s="142" t="s">
        <v>903</v>
      </c>
      <c r="N41" s="25"/>
      <c r="O41" s="25"/>
      <c r="P41" s="137">
        <v>11</v>
      </c>
      <c r="Q41" s="153"/>
    </row>
    <row r="42" spans="1:17" x14ac:dyDescent="0.3">
      <c r="A42" s="150">
        <v>42</v>
      </c>
      <c r="B42" s="20" t="s">
        <v>898</v>
      </c>
      <c r="C42" s="21" t="s">
        <v>869</v>
      </c>
      <c r="D42" s="22" t="s">
        <v>1485</v>
      </c>
      <c r="E42" s="22">
        <v>75</v>
      </c>
      <c r="F42" s="22">
        <v>75</v>
      </c>
      <c r="G42" s="22">
        <v>129</v>
      </c>
      <c r="H42" s="22">
        <v>75</v>
      </c>
      <c r="I42" s="22">
        <v>129</v>
      </c>
      <c r="J42" s="22">
        <v>129</v>
      </c>
      <c r="K42" s="22" t="s">
        <v>897</v>
      </c>
      <c r="L42" s="142">
        <v>129</v>
      </c>
      <c r="M42" s="142" t="s">
        <v>897</v>
      </c>
      <c r="N42" s="25"/>
      <c r="O42" s="25"/>
      <c r="P42" s="137">
        <v>10</v>
      </c>
      <c r="Q42" s="153"/>
    </row>
    <row r="43" spans="1:17" x14ac:dyDescent="0.3">
      <c r="A43" s="150">
        <v>43</v>
      </c>
      <c r="B43" s="20" t="s">
        <v>889</v>
      </c>
      <c r="C43" s="21" t="s">
        <v>869</v>
      </c>
      <c r="D43" s="22" t="s">
        <v>1485</v>
      </c>
      <c r="E43" s="22">
        <v>74</v>
      </c>
      <c r="F43" s="22">
        <v>74</v>
      </c>
      <c r="G43" s="22">
        <v>126</v>
      </c>
      <c r="H43" s="22">
        <v>74</v>
      </c>
      <c r="I43" s="22">
        <v>126</v>
      </c>
      <c r="J43" s="22">
        <v>126</v>
      </c>
      <c r="K43" s="22" t="s">
        <v>888</v>
      </c>
      <c r="L43" s="142">
        <v>126</v>
      </c>
      <c r="M43" s="142" t="s">
        <v>888</v>
      </c>
      <c r="N43" s="25"/>
      <c r="O43" s="25"/>
      <c r="P43" s="137">
        <v>9</v>
      </c>
      <c r="Q43" s="153"/>
    </row>
    <row r="44" spans="1:17" x14ac:dyDescent="0.3">
      <c r="A44" s="150">
        <v>44</v>
      </c>
      <c r="B44" s="20" t="s">
        <v>830</v>
      </c>
      <c r="C44" s="21" t="s">
        <v>35</v>
      </c>
      <c r="D44" s="22" t="s">
        <v>1485</v>
      </c>
      <c r="E44" s="22">
        <v>68</v>
      </c>
      <c r="F44" s="22">
        <v>68</v>
      </c>
      <c r="G44" s="22">
        <v>117</v>
      </c>
      <c r="H44" s="22">
        <v>68</v>
      </c>
      <c r="I44" s="22">
        <v>117</v>
      </c>
      <c r="J44" s="22">
        <v>117</v>
      </c>
      <c r="K44" s="22" t="s">
        <v>829</v>
      </c>
      <c r="L44" s="142">
        <v>117</v>
      </c>
      <c r="M44" s="142" t="s">
        <v>829</v>
      </c>
      <c r="N44" s="137">
        <v>23</v>
      </c>
      <c r="O44" s="25"/>
      <c r="P44" s="25"/>
      <c r="Q44" s="153"/>
    </row>
    <row r="45" spans="1:17" x14ac:dyDescent="0.3">
      <c r="A45" s="150">
        <v>45</v>
      </c>
      <c r="B45" s="20" t="s">
        <v>824</v>
      </c>
      <c r="C45" s="21" t="s">
        <v>71</v>
      </c>
      <c r="D45" s="22">
        <v>32</v>
      </c>
      <c r="E45" s="22">
        <v>67</v>
      </c>
      <c r="F45" s="22">
        <v>67</v>
      </c>
      <c r="G45" s="22">
        <v>116</v>
      </c>
      <c r="H45" s="22">
        <v>67</v>
      </c>
      <c r="I45" s="22">
        <v>116</v>
      </c>
      <c r="J45" s="22">
        <v>116</v>
      </c>
      <c r="K45" s="22" t="s">
        <v>823</v>
      </c>
      <c r="L45" s="142">
        <v>116</v>
      </c>
      <c r="M45" s="142" t="s">
        <v>823</v>
      </c>
      <c r="N45" s="137">
        <v>9</v>
      </c>
      <c r="O45" s="25"/>
      <c r="P45" s="25"/>
      <c r="Q45" s="153"/>
    </row>
    <row r="46" spans="1:17" x14ac:dyDescent="0.3">
      <c r="A46" s="150">
        <v>46</v>
      </c>
      <c r="B46" s="20" t="s">
        <v>811</v>
      </c>
      <c r="C46" s="21" t="s">
        <v>122</v>
      </c>
      <c r="D46" s="22" t="s">
        <v>1485</v>
      </c>
      <c r="E46" s="22">
        <v>66</v>
      </c>
      <c r="F46" s="22">
        <v>66</v>
      </c>
      <c r="G46" s="22">
        <v>114</v>
      </c>
      <c r="H46" s="22">
        <v>66</v>
      </c>
      <c r="I46" s="22">
        <v>114</v>
      </c>
      <c r="J46" s="22">
        <v>114</v>
      </c>
      <c r="K46" s="22" t="s">
        <v>810</v>
      </c>
      <c r="L46" s="142">
        <v>114</v>
      </c>
      <c r="M46" s="142" t="s">
        <v>810</v>
      </c>
      <c r="N46" s="137">
        <v>22</v>
      </c>
      <c r="O46" s="25"/>
      <c r="P46" s="25"/>
      <c r="Q46" s="153"/>
    </row>
    <row r="47" spans="1:17" x14ac:dyDescent="0.3">
      <c r="A47" s="150">
        <v>47</v>
      </c>
      <c r="B47" s="20" t="s">
        <v>806</v>
      </c>
      <c r="C47" s="21" t="s">
        <v>35</v>
      </c>
      <c r="D47" s="22" t="s">
        <v>1485</v>
      </c>
      <c r="E47" s="22">
        <v>65</v>
      </c>
      <c r="F47" s="22">
        <v>65</v>
      </c>
      <c r="G47" s="22">
        <v>113</v>
      </c>
      <c r="H47" s="22">
        <v>65</v>
      </c>
      <c r="I47" s="22">
        <v>113</v>
      </c>
      <c r="J47" s="22">
        <v>113</v>
      </c>
      <c r="K47" s="22" t="s">
        <v>805</v>
      </c>
      <c r="L47" s="142">
        <v>113</v>
      </c>
      <c r="M47" s="142" t="s">
        <v>805</v>
      </c>
      <c r="N47" s="137">
        <v>21</v>
      </c>
      <c r="O47" s="25"/>
      <c r="P47" s="25"/>
      <c r="Q47" s="153"/>
    </row>
    <row r="48" spans="1:17" x14ac:dyDescent="0.3">
      <c r="A48" s="150">
        <v>48</v>
      </c>
      <c r="B48" s="20" t="s">
        <v>801</v>
      </c>
      <c r="C48" s="23"/>
      <c r="D48" s="22" t="s">
        <v>1485</v>
      </c>
      <c r="E48" s="22">
        <v>64</v>
      </c>
      <c r="F48" s="22">
        <v>64</v>
      </c>
      <c r="G48" s="22">
        <v>112</v>
      </c>
      <c r="H48" s="22">
        <v>64</v>
      </c>
      <c r="I48" s="22">
        <v>112</v>
      </c>
      <c r="J48" s="22">
        <v>112</v>
      </c>
      <c r="K48" s="22" t="s">
        <v>800</v>
      </c>
      <c r="L48" s="142">
        <v>112</v>
      </c>
      <c r="M48" s="142" t="s">
        <v>800</v>
      </c>
      <c r="N48" s="25"/>
      <c r="O48" s="25"/>
      <c r="P48" s="25"/>
      <c r="Q48" s="153"/>
    </row>
    <row r="49" spans="1:17" x14ac:dyDescent="0.3">
      <c r="A49" s="150">
        <v>49</v>
      </c>
      <c r="B49" s="20" t="s">
        <v>788</v>
      </c>
      <c r="C49" s="21" t="s">
        <v>35</v>
      </c>
      <c r="D49" s="22" t="s">
        <v>1485</v>
      </c>
      <c r="E49" s="22">
        <v>63</v>
      </c>
      <c r="F49" s="22">
        <v>63</v>
      </c>
      <c r="G49" s="22">
        <v>110</v>
      </c>
      <c r="H49" s="22">
        <v>63</v>
      </c>
      <c r="I49" s="22">
        <v>110</v>
      </c>
      <c r="J49" s="22">
        <v>110</v>
      </c>
      <c r="K49" s="22" t="s">
        <v>787</v>
      </c>
      <c r="L49" s="142">
        <v>110</v>
      </c>
      <c r="M49" s="142" t="s">
        <v>787</v>
      </c>
      <c r="N49" s="137">
        <v>20</v>
      </c>
      <c r="O49" s="25"/>
      <c r="P49" s="25"/>
      <c r="Q49" s="153"/>
    </row>
    <row r="50" spans="1:17" x14ac:dyDescent="0.3">
      <c r="A50" s="150">
        <v>50</v>
      </c>
      <c r="B50" s="20" t="s">
        <v>347</v>
      </c>
      <c r="C50" s="23"/>
      <c r="D50" s="22" t="s">
        <v>1485</v>
      </c>
      <c r="E50" s="22" t="s">
        <v>1485</v>
      </c>
      <c r="F50" s="22" t="s">
        <v>1485</v>
      </c>
      <c r="G50" s="22">
        <v>42</v>
      </c>
      <c r="H50" s="22" t="s">
        <v>1485</v>
      </c>
      <c r="I50" s="22">
        <v>42</v>
      </c>
      <c r="J50" s="22">
        <v>42</v>
      </c>
      <c r="K50" s="22" t="s">
        <v>346</v>
      </c>
      <c r="L50" s="142">
        <v>42</v>
      </c>
      <c r="M50" s="142" t="s">
        <v>346</v>
      </c>
      <c r="N50" s="25"/>
      <c r="O50" s="25"/>
      <c r="P50" s="25"/>
      <c r="Q50" s="153"/>
    </row>
    <row r="51" spans="1:17" x14ac:dyDescent="0.3">
      <c r="A51" s="150">
        <v>51</v>
      </c>
      <c r="B51" s="20" t="s">
        <v>354</v>
      </c>
      <c r="C51" s="23"/>
      <c r="D51" s="22" t="s">
        <v>1485</v>
      </c>
      <c r="E51" s="22" t="s">
        <v>1485</v>
      </c>
      <c r="F51" s="22" t="s">
        <v>1485</v>
      </c>
      <c r="G51" s="22">
        <v>43</v>
      </c>
      <c r="H51" s="22" t="s">
        <v>1485</v>
      </c>
      <c r="I51" s="22">
        <v>43</v>
      </c>
      <c r="J51" s="22">
        <v>43</v>
      </c>
      <c r="K51" s="22" t="s">
        <v>353</v>
      </c>
      <c r="L51" s="142">
        <v>43</v>
      </c>
      <c r="M51" s="142" t="s">
        <v>353</v>
      </c>
      <c r="N51" s="25"/>
      <c r="O51" s="25"/>
      <c r="P51" s="25"/>
      <c r="Q51" s="153"/>
    </row>
    <row r="52" spans="1:17" x14ac:dyDescent="0.3">
      <c r="A52" s="150">
        <v>52</v>
      </c>
      <c r="B52" s="20" t="s">
        <v>362</v>
      </c>
      <c r="C52" s="23"/>
      <c r="D52" s="22" t="s">
        <v>1485</v>
      </c>
      <c r="E52" s="22" t="s">
        <v>1485</v>
      </c>
      <c r="F52" s="22" t="s">
        <v>1485</v>
      </c>
      <c r="G52" s="22">
        <v>44</v>
      </c>
      <c r="H52" s="22" t="s">
        <v>1485</v>
      </c>
      <c r="I52" s="22">
        <v>44</v>
      </c>
      <c r="J52" s="22">
        <v>44</v>
      </c>
      <c r="K52" s="22" t="s">
        <v>361</v>
      </c>
      <c r="L52" s="142">
        <v>44</v>
      </c>
      <c r="M52" s="142" t="s">
        <v>361</v>
      </c>
      <c r="N52" s="25"/>
      <c r="O52" s="25"/>
      <c r="P52" s="25"/>
      <c r="Q52" s="153"/>
    </row>
    <row r="53" spans="1:17" x14ac:dyDescent="0.3">
      <c r="A53" s="150">
        <v>53</v>
      </c>
      <c r="B53" s="20" t="s">
        <v>369</v>
      </c>
      <c r="C53" s="23"/>
      <c r="D53" s="22" t="s">
        <v>1485</v>
      </c>
      <c r="E53" s="22" t="s">
        <v>1485</v>
      </c>
      <c r="F53" s="22" t="s">
        <v>1485</v>
      </c>
      <c r="G53" s="22">
        <v>45</v>
      </c>
      <c r="H53" s="22" t="s">
        <v>1485</v>
      </c>
      <c r="I53" s="22">
        <v>45</v>
      </c>
      <c r="J53" s="22">
        <v>45</v>
      </c>
      <c r="K53" s="22" t="s">
        <v>368</v>
      </c>
      <c r="L53" s="142">
        <v>45</v>
      </c>
      <c r="M53" s="142" t="s">
        <v>368</v>
      </c>
      <c r="N53" s="25"/>
      <c r="O53" s="25"/>
      <c r="P53" s="25"/>
      <c r="Q53" s="153"/>
    </row>
    <row r="54" spans="1:17" x14ac:dyDescent="0.3">
      <c r="A54" s="150">
        <v>54</v>
      </c>
      <c r="B54" s="20" t="s">
        <v>516</v>
      </c>
      <c r="C54" s="23"/>
      <c r="D54" s="22" t="s">
        <v>1485</v>
      </c>
      <c r="E54" s="22" t="s">
        <v>1485</v>
      </c>
      <c r="F54" s="22" t="s">
        <v>1485</v>
      </c>
      <c r="G54" s="22">
        <v>67</v>
      </c>
      <c r="H54" s="22" t="s">
        <v>1485</v>
      </c>
      <c r="I54" s="22">
        <v>67</v>
      </c>
      <c r="J54" s="22">
        <v>67</v>
      </c>
      <c r="K54" s="22" t="s">
        <v>515</v>
      </c>
      <c r="L54" s="142">
        <v>67</v>
      </c>
      <c r="M54" s="142" t="s">
        <v>515</v>
      </c>
      <c r="N54" s="25"/>
      <c r="O54" s="25"/>
      <c r="P54" s="25"/>
      <c r="Q54" s="153"/>
    </row>
    <row r="55" spans="1:17" x14ac:dyDescent="0.3">
      <c r="A55" s="150">
        <v>55</v>
      </c>
      <c r="B55" s="20" t="s">
        <v>534</v>
      </c>
      <c r="C55" s="23"/>
      <c r="D55" s="22" t="s">
        <v>1485</v>
      </c>
      <c r="E55" s="22" t="s">
        <v>1485</v>
      </c>
      <c r="F55" s="22" t="s">
        <v>1485</v>
      </c>
      <c r="G55" s="22">
        <v>69</v>
      </c>
      <c r="H55" s="22" t="s">
        <v>1485</v>
      </c>
      <c r="I55" s="22">
        <v>69</v>
      </c>
      <c r="J55" s="22">
        <v>69</v>
      </c>
      <c r="K55" s="22" t="s">
        <v>533</v>
      </c>
      <c r="L55" s="142">
        <v>69</v>
      </c>
      <c r="M55" s="142" t="s">
        <v>533</v>
      </c>
      <c r="N55" s="25"/>
      <c r="O55" s="25"/>
      <c r="P55" s="25"/>
      <c r="Q55" s="153"/>
    </row>
    <row r="56" spans="1:17" x14ac:dyDescent="0.3">
      <c r="A56" s="150">
        <v>56</v>
      </c>
      <c r="B56" s="20" t="s">
        <v>545</v>
      </c>
      <c r="C56" s="23"/>
      <c r="D56" s="22" t="s">
        <v>1485</v>
      </c>
      <c r="E56" s="22" t="s">
        <v>1485</v>
      </c>
      <c r="F56" s="22" t="s">
        <v>1485</v>
      </c>
      <c r="G56" s="22">
        <v>70</v>
      </c>
      <c r="H56" s="22" t="s">
        <v>1485</v>
      </c>
      <c r="I56" s="22">
        <v>70</v>
      </c>
      <c r="J56" s="22">
        <v>70</v>
      </c>
      <c r="K56" s="22" t="s">
        <v>544</v>
      </c>
      <c r="L56" s="142">
        <v>70</v>
      </c>
      <c r="M56" s="142" t="s">
        <v>544</v>
      </c>
      <c r="N56" s="25"/>
      <c r="O56" s="25"/>
      <c r="P56" s="25"/>
      <c r="Q56" s="153"/>
    </row>
    <row r="57" spans="1:17" x14ac:dyDescent="0.3">
      <c r="A57" s="150">
        <v>57</v>
      </c>
      <c r="B57" s="20" t="s">
        <v>562</v>
      </c>
      <c r="C57" s="23"/>
      <c r="D57" s="22" t="s">
        <v>1485</v>
      </c>
      <c r="E57" s="22" t="s">
        <v>1485</v>
      </c>
      <c r="F57" s="22" t="s">
        <v>1485</v>
      </c>
      <c r="G57" s="22">
        <v>72</v>
      </c>
      <c r="H57" s="22" t="s">
        <v>1485</v>
      </c>
      <c r="I57" s="22">
        <v>72</v>
      </c>
      <c r="J57" s="22">
        <v>72</v>
      </c>
      <c r="K57" s="22" t="s">
        <v>561</v>
      </c>
      <c r="L57" s="142">
        <v>72</v>
      </c>
      <c r="M57" s="142" t="s">
        <v>561</v>
      </c>
      <c r="N57" s="25"/>
      <c r="O57" s="25"/>
      <c r="P57" s="25"/>
      <c r="Q57" s="153"/>
    </row>
    <row r="58" spans="1:17" x14ac:dyDescent="0.3">
      <c r="A58" s="150">
        <v>58</v>
      </c>
      <c r="B58" s="20" t="s">
        <v>569</v>
      </c>
      <c r="C58" s="23"/>
      <c r="D58" s="22" t="s">
        <v>1485</v>
      </c>
      <c r="E58" s="22" t="s">
        <v>1485</v>
      </c>
      <c r="F58" s="22" t="s">
        <v>1485</v>
      </c>
      <c r="G58" s="22">
        <v>73</v>
      </c>
      <c r="H58" s="22" t="s">
        <v>1485</v>
      </c>
      <c r="I58" s="22">
        <v>73</v>
      </c>
      <c r="J58" s="22">
        <v>73</v>
      </c>
      <c r="K58" s="22" t="s">
        <v>568</v>
      </c>
      <c r="L58" s="142">
        <v>73</v>
      </c>
      <c r="M58" s="142" t="s">
        <v>568</v>
      </c>
      <c r="N58" s="25"/>
      <c r="O58" s="25"/>
      <c r="P58" s="25"/>
      <c r="Q58" s="153"/>
    </row>
    <row r="59" spans="1:17" x14ac:dyDescent="0.3">
      <c r="A59" s="150">
        <v>59</v>
      </c>
      <c r="B59" s="20" t="s">
        <v>589</v>
      </c>
      <c r="C59" s="23"/>
      <c r="D59" s="22" t="s">
        <v>1485</v>
      </c>
      <c r="E59" s="22" t="s">
        <v>1485</v>
      </c>
      <c r="F59" s="22" t="s">
        <v>1485</v>
      </c>
      <c r="G59" s="22">
        <v>75</v>
      </c>
      <c r="H59" s="22" t="s">
        <v>1485</v>
      </c>
      <c r="I59" s="22">
        <v>75</v>
      </c>
      <c r="J59" s="22">
        <v>75</v>
      </c>
      <c r="K59" s="22" t="s">
        <v>588</v>
      </c>
      <c r="L59" s="142">
        <v>75</v>
      </c>
      <c r="M59" s="142" t="s">
        <v>588</v>
      </c>
      <c r="N59" s="25"/>
      <c r="O59" s="25"/>
      <c r="P59" s="25"/>
      <c r="Q59" s="153"/>
    </row>
    <row r="60" spans="1:17" x14ac:dyDescent="0.3">
      <c r="A60" s="150">
        <v>60</v>
      </c>
      <c r="B60" s="20" t="s">
        <v>595</v>
      </c>
      <c r="C60" s="23"/>
      <c r="D60" s="22" t="s">
        <v>1485</v>
      </c>
      <c r="E60" s="22" t="s">
        <v>1485</v>
      </c>
      <c r="F60" s="22" t="s">
        <v>1485</v>
      </c>
      <c r="G60" s="22">
        <v>76</v>
      </c>
      <c r="H60" s="22" t="s">
        <v>1485</v>
      </c>
      <c r="I60" s="22">
        <v>76</v>
      </c>
      <c r="J60" s="22">
        <v>76</v>
      </c>
      <c r="K60" s="22" t="s">
        <v>594</v>
      </c>
      <c r="L60" s="142">
        <v>76</v>
      </c>
      <c r="M60" s="142" t="s">
        <v>594</v>
      </c>
      <c r="N60" s="23"/>
      <c r="O60" s="23"/>
      <c r="P60" s="23"/>
      <c r="Q60" s="151"/>
    </row>
    <row r="61" spans="1:17" x14ac:dyDescent="0.3">
      <c r="A61" s="150">
        <v>61</v>
      </c>
      <c r="B61" s="20" t="s">
        <v>615</v>
      </c>
      <c r="C61" s="23"/>
      <c r="D61" s="22" t="s">
        <v>1485</v>
      </c>
      <c r="E61" s="22" t="s">
        <v>1485</v>
      </c>
      <c r="F61" s="22" t="s">
        <v>1485</v>
      </c>
      <c r="G61" s="22">
        <v>80</v>
      </c>
      <c r="H61" s="22" t="s">
        <v>1485</v>
      </c>
      <c r="I61" s="22">
        <v>80</v>
      </c>
      <c r="J61" s="22">
        <v>80</v>
      </c>
      <c r="K61" s="22" t="s">
        <v>614</v>
      </c>
      <c r="L61" s="142">
        <v>80</v>
      </c>
      <c r="M61" s="142" t="s">
        <v>614</v>
      </c>
      <c r="N61" s="24"/>
      <c r="O61" s="24"/>
      <c r="P61" s="24"/>
      <c r="Q61" s="152"/>
    </row>
    <row r="62" spans="1:17" x14ac:dyDescent="0.3">
      <c r="A62" s="150">
        <v>62</v>
      </c>
      <c r="B62" s="20" t="s">
        <v>1423</v>
      </c>
      <c r="C62" s="20"/>
      <c r="D62" s="22" t="s">
        <v>1485</v>
      </c>
      <c r="E62" s="22" t="s">
        <v>1485</v>
      </c>
      <c r="F62" s="22" t="s">
        <v>1485</v>
      </c>
      <c r="G62" s="22">
        <v>60</v>
      </c>
      <c r="H62" s="22" t="s">
        <v>1485</v>
      </c>
      <c r="I62" s="22" t="s">
        <v>1485</v>
      </c>
      <c r="J62" s="22" t="s">
        <v>1485</v>
      </c>
      <c r="K62" s="22" t="s">
        <v>1422</v>
      </c>
      <c r="L62" s="142" t="s">
        <v>1485</v>
      </c>
      <c r="M62" s="142" t="s">
        <v>1422</v>
      </c>
      <c r="N62" s="25"/>
      <c r="O62" s="25"/>
      <c r="P62" s="25"/>
      <c r="Q62" s="153"/>
    </row>
    <row r="63" spans="1:17" x14ac:dyDescent="0.3">
      <c r="A63" s="150">
        <v>63</v>
      </c>
      <c r="B63" s="20" t="s">
        <v>1427</v>
      </c>
      <c r="C63" s="28"/>
      <c r="D63" s="22" t="s">
        <v>1485</v>
      </c>
      <c r="E63" s="22" t="s">
        <v>1485</v>
      </c>
      <c r="F63" s="22" t="s">
        <v>1485</v>
      </c>
      <c r="G63" s="22" t="s">
        <v>1485</v>
      </c>
      <c r="H63" s="22" t="s">
        <v>1485</v>
      </c>
      <c r="I63" s="22" t="s">
        <v>1485</v>
      </c>
      <c r="J63" s="22" t="s">
        <v>1485</v>
      </c>
      <c r="K63" s="22" t="s">
        <v>1426</v>
      </c>
      <c r="L63" s="142" t="s">
        <v>1485</v>
      </c>
      <c r="M63" s="142" t="s">
        <v>1426</v>
      </c>
      <c r="N63" s="23"/>
      <c r="O63" s="23"/>
      <c r="P63" s="23"/>
      <c r="Q63" s="151"/>
    </row>
    <row r="64" spans="1:17" x14ac:dyDescent="0.3">
      <c r="A64" s="150">
        <v>64</v>
      </c>
      <c r="B64" s="20" t="s">
        <v>477</v>
      </c>
      <c r="C64" s="23"/>
      <c r="D64" s="22" t="s">
        <v>1485</v>
      </c>
      <c r="E64" s="22">
        <v>40</v>
      </c>
      <c r="F64" s="22">
        <v>40</v>
      </c>
      <c r="G64" s="22">
        <v>62</v>
      </c>
      <c r="H64" s="22">
        <v>40</v>
      </c>
      <c r="I64" s="22">
        <v>62</v>
      </c>
      <c r="J64" s="22">
        <v>62</v>
      </c>
      <c r="K64" s="22" t="s">
        <v>476</v>
      </c>
      <c r="L64" s="142">
        <v>62</v>
      </c>
      <c r="M64" s="142" t="s">
        <v>476</v>
      </c>
      <c r="N64" s="24"/>
      <c r="O64" s="24"/>
      <c r="P64" s="24"/>
      <c r="Q64" s="152"/>
    </row>
    <row r="65" spans="1:17" x14ac:dyDescent="0.3">
      <c r="A65" s="150">
        <v>65</v>
      </c>
      <c r="B65" s="20" t="s">
        <v>470</v>
      </c>
      <c r="C65" s="23"/>
      <c r="D65" s="22">
        <v>19</v>
      </c>
      <c r="E65" s="22">
        <v>39</v>
      </c>
      <c r="F65" s="22">
        <v>39</v>
      </c>
      <c r="G65" s="22">
        <v>61</v>
      </c>
      <c r="H65" s="22">
        <v>39</v>
      </c>
      <c r="I65" s="22">
        <v>61</v>
      </c>
      <c r="J65" s="22">
        <v>61</v>
      </c>
      <c r="K65" s="22" t="s">
        <v>469</v>
      </c>
      <c r="L65" s="142">
        <v>61</v>
      </c>
      <c r="M65" s="142" t="s">
        <v>469</v>
      </c>
      <c r="N65" s="25"/>
      <c r="O65" s="25"/>
      <c r="P65" s="25"/>
      <c r="Q65" s="153"/>
    </row>
    <row r="66" spans="1:17" x14ac:dyDescent="0.3">
      <c r="A66" s="150">
        <v>66</v>
      </c>
      <c r="B66" s="20" t="s">
        <v>409</v>
      </c>
      <c r="C66" s="23"/>
      <c r="D66" s="22">
        <v>17</v>
      </c>
      <c r="E66" s="22">
        <v>30</v>
      </c>
      <c r="F66" s="22">
        <v>30</v>
      </c>
      <c r="G66" s="22">
        <v>50</v>
      </c>
      <c r="H66" s="22">
        <v>30</v>
      </c>
      <c r="I66" s="22">
        <v>50</v>
      </c>
      <c r="J66" s="22">
        <v>50</v>
      </c>
      <c r="K66" s="22" t="s">
        <v>408</v>
      </c>
      <c r="L66" s="142">
        <v>50</v>
      </c>
      <c r="M66" s="142" t="s">
        <v>408</v>
      </c>
      <c r="N66" s="25"/>
      <c r="O66" s="25"/>
      <c r="P66" s="25"/>
      <c r="Q66" s="153"/>
    </row>
    <row r="67" spans="1:17" x14ac:dyDescent="0.3">
      <c r="A67" s="150">
        <v>67</v>
      </c>
      <c r="B67" s="20" t="s">
        <v>403</v>
      </c>
      <c r="C67" s="23"/>
      <c r="D67" s="22">
        <v>16</v>
      </c>
      <c r="E67" s="22">
        <v>29</v>
      </c>
      <c r="F67" s="22">
        <v>29</v>
      </c>
      <c r="G67" s="22">
        <v>49</v>
      </c>
      <c r="H67" s="22">
        <v>29</v>
      </c>
      <c r="I67" s="22">
        <v>49</v>
      </c>
      <c r="J67" s="22">
        <v>49</v>
      </c>
      <c r="K67" s="22" t="s">
        <v>402</v>
      </c>
      <c r="L67" s="142">
        <v>49</v>
      </c>
      <c r="M67" s="142" t="s">
        <v>402</v>
      </c>
      <c r="N67" s="23"/>
      <c r="O67" s="23"/>
      <c r="P67" s="23"/>
      <c r="Q67" s="151"/>
    </row>
    <row r="68" spans="1:17" x14ac:dyDescent="0.3">
      <c r="A68" s="150">
        <v>68</v>
      </c>
      <c r="B68" s="20" t="s">
        <v>1088</v>
      </c>
      <c r="C68" s="23"/>
      <c r="D68" s="22">
        <v>46</v>
      </c>
      <c r="E68" s="22">
        <v>96</v>
      </c>
      <c r="F68" s="22">
        <v>96</v>
      </c>
      <c r="G68" s="22">
        <v>166</v>
      </c>
      <c r="H68" s="22">
        <v>96</v>
      </c>
      <c r="I68" s="22">
        <v>166</v>
      </c>
      <c r="J68" s="22">
        <v>166</v>
      </c>
      <c r="K68" s="22" t="s">
        <v>1087</v>
      </c>
      <c r="L68" s="142">
        <v>166</v>
      </c>
      <c r="M68" s="142" t="s">
        <v>1087</v>
      </c>
      <c r="N68" s="24"/>
      <c r="O68" s="24"/>
      <c r="P68" s="24"/>
      <c r="Q68" s="152"/>
    </row>
    <row r="69" spans="1:17" x14ac:dyDescent="0.3">
      <c r="A69" s="150">
        <v>69</v>
      </c>
      <c r="B69" s="20" t="s">
        <v>1081</v>
      </c>
      <c r="C69" s="21" t="s">
        <v>875</v>
      </c>
      <c r="D69" s="22">
        <v>45</v>
      </c>
      <c r="E69" s="22">
        <v>95</v>
      </c>
      <c r="F69" s="22">
        <v>95</v>
      </c>
      <c r="G69" s="22">
        <v>165</v>
      </c>
      <c r="H69" s="22">
        <v>95</v>
      </c>
      <c r="I69" s="22">
        <v>165</v>
      </c>
      <c r="J69" s="22">
        <v>165</v>
      </c>
      <c r="K69" s="22" t="s">
        <v>1080</v>
      </c>
      <c r="L69" s="142">
        <v>165</v>
      </c>
      <c r="M69" s="142" t="s">
        <v>1080</v>
      </c>
      <c r="N69" s="25"/>
      <c r="O69" s="25"/>
      <c r="P69" s="137">
        <v>7</v>
      </c>
      <c r="Q69" s="153"/>
    </row>
    <row r="70" spans="1:17" x14ac:dyDescent="0.3">
      <c r="A70" s="150">
        <v>70</v>
      </c>
      <c r="B70" s="20" t="s">
        <v>971</v>
      </c>
      <c r="C70" s="23"/>
      <c r="D70" s="22">
        <v>40</v>
      </c>
      <c r="E70" s="22">
        <v>81</v>
      </c>
      <c r="F70" s="22">
        <v>81</v>
      </c>
      <c r="G70" s="22">
        <v>141</v>
      </c>
      <c r="H70" s="22">
        <v>81</v>
      </c>
      <c r="I70" s="22">
        <v>141</v>
      </c>
      <c r="J70" s="22">
        <v>141</v>
      </c>
      <c r="K70" s="22" t="s">
        <v>970</v>
      </c>
      <c r="L70" s="142">
        <v>141</v>
      </c>
      <c r="M70" s="142" t="s">
        <v>970</v>
      </c>
      <c r="N70" s="23"/>
      <c r="O70" s="23"/>
      <c r="P70" s="20"/>
      <c r="Q70" s="151"/>
    </row>
    <row r="71" spans="1:17" x14ac:dyDescent="0.3">
      <c r="A71" s="150">
        <v>71</v>
      </c>
      <c r="B71" s="20" t="s">
        <v>965</v>
      </c>
      <c r="C71" s="21" t="s">
        <v>969</v>
      </c>
      <c r="D71" s="22">
        <v>39</v>
      </c>
      <c r="E71" s="22">
        <v>80</v>
      </c>
      <c r="F71" s="22">
        <v>80</v>
      </c>
      <c r="G71" s="22">
        <v>140</v>
      </c>
      <c r="H71" s="22">
        <v>80</v>
      </c>
      <c r="I71" s="22">
        <v>140</v>
      </c>
      <c r="J71" s="22">
        <v>140</v>
      </c>
      <c r="K71" s="22" t="s">
        <v>964</v>
      </c>
      <c r="L71" s="142">
        <v>140</v>
      </c>
      <c r="M71" s="142" t="s">
        <v>964</v>
      </c>
      <c r="N71" s="23"/>
      <c r="O71" s="23"/>
      <c r="P71" s="20">
        <v>3</v>
      </c>
      <c r="Q71" s="151"/>
    </row>
    <row r="72" spans="1:17" x14ac:dyDescent="0.3">
      <c r="A72" s="150">
        <v>72</v>
      </c>
      <c r="B72" s="20" t="s">
        <v>739</v>
      </c>
      <c r="C72" s="21" t="s">
        <v>71</v>
      </c>
      <c r="D72" s="22">
        <v>28</v>
      </c>
      <c r="E72" s="22">
        <v>56</v>
      </c>
      <c r="F72" s="22">
        <v>56</v>
      </c>
      <c r="G72" s="22">
        <v>98</v>
      </c>
      <c r="H72" s="22">
        <v>56</v>
      </c>
      <c r="I72" s="22">
        <v>98</v>
      </c>
      <c r="J72" s="22">
        <v>98</v>
      </c>
      <c r="K72" s="22" t="s">
        <v>738</v>
      </c>
      <c r="L72" s="142">
        <v>98</v>
      </c>
      <c r="M72" s="142" t="s">
        <v>738</v>
      </c>
      <c r="N72" s="20">
        <v>7</v>
      </c>
      <c r="O72" s="23"/>
      <c r="P72" s="23"/>
      <c r="Q72" s="151"/>
    </row>
    <row r="73" spans="1:17" x14ac:dyDescent="0.3">
      <c r="A73" s="150">
        <v>73</v>
      </c>
      <c r="B73" s="20" t="s">
        <v>733</v>
      </c>
      <c r="C73" s="21" t="s">
        <v>122</v>
      </c>
      <c r="D73" s="22">
        <v>27</v>
      </c>
      <c r="E73" s="22">
        <v>55</v>
      </c>
      <c r="F73" s="22">
        <v>55</v>
      </c>
      <c r="G73" s="22">
        <v>97</v>
      </c>
      <c r="H73" s="22">
        <v>55</v>
      </c>
      <c r="I73" s="22">
        <v>97</v>
      </c>
      <c r="J73" s="22">
        <v>97</v>
      </c>
      <c r="K73" s="22" t="s">
        <v>732</v>
      </c>
      <c r="L73" s="142">
        <v>97</v>
      </c>
      <c r="M73" s="142" t="s">
        <v>732</v>
      </c>
      <c r="N73" s="20">
        <v>6</v>
      </c>
      <c r="O73" s="23"/>
      <c r="P73" s="23"/>
      <c r="Q73" s="151"/>
    </row>
    <row r="74" spans="1:17" x14ac:dyDescent="0.3">
      <c r="A74" s="150">
        <v>74</v>
      </c>
      <c r="B74" s="20" t="s">
        <v>699</v>
      </c>
      <c r="C74" s="21" t="s">
        <v>35</v>
      </c>
      <c r="D74" s="22" t="s">
        <v>1485</v>
      </c>
      <c r="E74" s="22">
        <v>52</v>
      </c>
      <c r="F74" s="22">
        <v>52</v>
      </c>
      <c r="G74" s="22">
        <v>92</v>
      </c>
      <c r="H74" s="22">
        <v>52</v>
      </c>
      <c r="I74" s="22">
        <v>92</v>
      </c>
      <c r="J74" s="22">
        <v>92</v>
      </c>
      <c r="K74" s="22" t="s">
        <v>698</v>
      </c>
      <c r="L74" s="142">
        <v>92</v>
      </c>
      <c r="M74" s="142" t="s">
        <v>698</v>
      </c>
      <c r="N74" s="20">
        <v>18</v>
      </c>
      <c r="O74" s="23"/>
      <c r="P74" s="23"/>
      <c r="Q74" s="151"/>
    </row>
    <row r="75" spans="1:17" x14ac:dyDescent="0.3">
      <c r="A75" s="150">
        <v>75</v>
      </c>
      <c r="B75" s="20" t="s">
        <v>685</v>
      </c>
      <c r="C75" s="21" t="s">
        <v>122</v>
      </c>
      <c r="D75" s="22" t="s">
        <v>1485</v>
      </c>
      <c r="E75" s="22">
        <v>51</v>
      </c>
      <c r="F75" s="22">
        <v>51</v>
      </c>
      <c r="G75" s="22">
        <v>90</v>
      </c>
      <c r="H75" s="22">
        <v>51</v>
      </c>
      <c r="I75" s="22">
        <v>90</v>
      </c>
      <c r="J75" s="22">
        <v>90</v>
      </c>
      <c r="K75" s="22" t="s">
        <v>684</v>
      </c>
      <c r="L75" s="142">
        <v>90</v>
      </c>
      <c r="M75" s="142" t="s">
        <v>684</v>
      </c>
      <c r="N75" s="20">
        <v>17</v>
      </c>
      <c r="O75" s="23"/>
      <c r="P75" s="23"/>
      <c r="Q75" s="151"/>
    </row>
    <row r="76" spans="1:17" x14ac:dyDescent="0.3">
      <c r="A76" s="150">
        <v>76</v>
      </c>
      <c r="B76" s="20" t="s">
        <v>636</v>
      </c>
      <c r="C76" s="21" t="s">
        <v>35</v>
      </c>
      <c r="D76" s="22" t="s">
        <v>1485</v>
      </c>
      <c r="E76" s="22">
        <v>50</v>
      </c>
      <c r="F76" s="22">
        <v>50</v>
      </c>
      <c r="G76" s="22">
        <v>83</v>
      </c>
      <c r="H76" s="22">
        <v>50</v>
      </c>
      <c r="I76" s="22">
        <v>83</v>
      </c>
      <c r="J76" s="22">
        <v>83</v>
      </c>
      <c r="K76" s="22" t="s">
        <v>635</v>
      </c>
      <c r="L76" s="142">
        <v>83</v>
      </c>
      <c r="M76" s="142" t="s">
        <v>635</v>
      </c>
      <c r="N76" s="20">
        <v>16</v>
      </c>
      <c r="O76" s="23"/>
      <c r="P76" s="23"/>
      <c r="Q76" s="151"/>
    </row>
    <row r="77" spans="1:17" x14ac:dyDescent="0.3">
      <c r="A77" s="150">
        <v>77</v>
      </c>
      <c r="B77" s="20" t="s">
        <v>621</v>
      </c>
      <c r="C77" s="23"/>
      <c r="D77" s="22" t="s">
        <v>1485</v>
      </c>
      <c r="E77" s="22">
        <v>49</v>
      </c>
      <c r="F77" s="22">
        <v>49</v>
      </c>
      <c r="G77" s="22">
        <v>81</v>
      </c>
      <c r="H77" s="22">
        <v>49</v>
      </c>
      <c r="I77" s="22">
        <v>81</v>
      </c>
      <c r="J77" s="22">
        <v>81</v>
      </c>
      <c r="K77" s="22" t="s">
        <v>620</v>
      </c>
      <c r="L77" s="142">
        <v>81</v>
      </c>
      <c r="M77" s="142" t="s">
        <v>620</v>
      </c>
      <c r="N77" s="23"/>
      <c r="O77" s="23"/>
      <c r="P77" s="23"/>
      <c r="Q77" s="151"/>
    </row>
    <row r="78" spans="1:17" x14ac:dyDescent="0.3">
      <c r="A78" s="150">
        <v>78</v>
      </c>
      <c r="B78" s="20" t="s">
        <v>552</v>
      </c>
      <c r="C78" s="21"/>
      <c r="D78" s="22">
        <v>22</v>
      </c>
      <c r="E78" s="22">
        <v>46</v>
      </c>
      <c r="F78" s="22">
        <v>46</v>
      </c>
      <c r="G78" s="22">
        <v>71</v>
      </c>
      <c r="H78" s="22">
        <v>46</v>
      </c>
      <c r="I78" s="22">
        <v>71</v>
      </c>
      <c r="J78" s="22">
        <v>71</v>
      </c>
      <c r="K78" s="22" t="s">
        <v>551</v>
      </c>
      <c r="L78" s="142">
        <v>71</v>
      </c>
      <c r="M78" s="142" t="s">
        <v>551</v>
      </c>
      <c r="N78" s="23"/>
      <c r="O78" s="23"/>
      <c r="P78" s="23"/>
      <c r="Q78" s="151"/>
    </row>
    <row r="79" spans="1:17" x14ac:dyDescent="0.3">
      <c r="A79" s="150">
        <v>79</v>
      </c>
      <c r="B79" s="20" t="s">
        <v>525</v>
      </c>
      <c r="C79" s="23"/>
      <c r="D79" s="22">
        <v>21</v>
      </c>
      <c r="E79" s="22">
        <v>45</v>
      </c>
      <c r="F79" s="22">
        <v>45</v>
      </c>
      <c r="G79" s="22">
        <v>68</v>
      </c>
      <c r="H79" s="22">
        <v>45</v>
      </c>
      <c r="I79" s="22">
        <v>68</v>
      </c>
      <c r="J79" s="22">
        <v>68</v>
      </c>
      <c r="K79" s="22" t="s">
        <v>524</v>
      </c>
      <c r="L79" s="142">
        <v>68</v>
      </c>
      <c r="M79" s="142" t="s">
        <v>524</v>
      </c>
      <c r="N79" s="23"/>
      <c r="O79" s="23"/>
      <c r="P79" s="23"/>
      <c r="Q79" s="151"/>
    </row>
    <row r="80" spans="1:17" x14ac:dyDescent="0.3">
      <c r="A80" s="150">
        <v>80</v>
      </c>
      <c r="B80" s="20" t="s">
        <v>507</v>
      </c>
      <c r="C80" s="23"/>
      <c r="D80" s="22">
        <v>20</v>
      </c>
      <c r="E80" s="22">
        <v>44</v>
      </c>
      <c r="F80" s="22">
        <v>44</v>
      </c>
      <c r="G80" s="22">
        <v>66</v>
      </c>
      <c r="H80" s="22">
        <v>44</v>
      </c>
      <c r="I80" s="22">
        <v>66</v>
      </c>
      <c r="J80" s="22">
        <v>66</v>
      </c>
      <c r="K80" s="22" t="s">
        <v>506</v>
      </c>
      <c r="L80" s="142">
        <v>66</v>
      </c>
      <c r="M80" s="142" t="s">
        <v>506</v>
      </c>
      <c r="N80" s="23"/>
      <c r="O80" s="23"/>
      <c r="P80" s="23"/>
      <c r="Q80" s="151"/>
    </row>
    <row r="81" spans="1:17" x14ac:dyDescent="0.3">
      <c r="A81" s="150">
        <v>81</v>
      </c>
      <c r="B81" s="20" t="s">
        <v>499</v>
      </c>
      <c r="C81" s="23"/>
      <c r="D81" s="22" t="s">
        <v>1485</v>
      </c>
      <c r="E81" s="22">
        <v>43</v>
      </c>
      <c r="F81" s="22">
        <v>43</v>
      </c>
      <c r="G81" s="22">
        <v>65</v>
      </c>
      <c r="H81" s="22">
        <v>43</v>
      </c>
      <c r="I81" s="22">
        <v>65</v>
      </c>
      <c r="J81" s="22">
        <v>65</v>
      </c>
      <c r="K81" s="22" t="s">
        <v>498</v>
      </c>
      <c r="L81" s="142">
        <v>65</v>
      </c>
      <c r="M81" s="142" t="s">
        <v>498</v>
      </c>
      <c r="N81" s="23"/>
      <c r="O81" s="23"/>
      <c r="P81" s="23"/>
      <c r="Q81" s="151"/>
    </row>
    <row r="82" spans="1:17" x14ac:dyDescent="0.3">
      <c r="A82" s="150">
        <v>82</v>
      </c>
      <c r="B82" s="20" t="s">
        <v>629</v>
      </c>
      <c r="C82" s="23"/>
      <c r="D82" s="22" t="s">
        <v>1485</v>
      </c>
      <c r="E82" s="22" t="s">
        <v>1485</v>
      </c>
      <c r="F82" s="22" t="s">
        <v>1485</v>
      </c>
      <c r="G82" s="22">
        <v>82</v>
      </c>
      <c r="H82" s="22" t="s">
        <v>1485</v>
      </c>
      <c r="I82" s="22">
        <v>82</v>
      </c>
      <c r="J82" s="22">
        <v>82</v>
      </c>
      <c r="K82" s="22" t="s">
        <v>628</v>
      </c>
      <c r="L82" s="142">
        <v>82</v>
      </c>
      <c r="M82" s="142" t="s">
        <v>628</v>
      </c>
      <c r="N82" s="23"/>
      <c r="O82" s="23"/>
      <c r="P82" s="23"/>
      <c r="Q82" s="151"/>
    </row>
    <row r="83" spans="1:17" x14ac:dyDescent="0.3">
      <c r="A83" s="150">
        <v>83</v>
      </c>
      <c r="B83" s="20" t="s">
        <v>645</v>
      </c>
      <c r="C83" s="23"/>
      <c r="D83" s="22" t="s">
        <v>1485</v>
      </c>
      <c r="E83" s="22" t="s">
        <v>1485</v>
      </c>
      <c r="F83" s="22" t="s">
        <v>1485</v>
      </c>
      <c r="G83" s="22">
        <v>84</v>
      </c>
      <c r="H83" s="22" t="s">
        <v>1485</v>
      </c>
      <c r="I83" s="22">
        <v>84</v>
      </c>
      <c r="J83" s="22">
        <v>84</v>
      </c>
      <c r="K83" s="22" t="s">
        <v>644</v>
      </c>
      <c r="L83" s="142">
        <v>84</v>
      </c>
      <c r="M83" s="142" t="s">
        <v>644</v>
      </c>
      <c r="N83" s="23"/>
      <c r="O83" s="23"/>
      <c r="P83" s="23"/>
      <c r="Q83" s="151"/>
    </row>
    <row r="84" spans="1:17" x14ac:dyDescent="0.3">
      <c r="A84" s="150">
        <v>84</v>
      </c>
      <c r="B84" s="20" t="s">
        <v>652</v>
      </c>
      <c r="C84" s="23"/>
      <c r="D84" s="22" t="s">
        <v>1485</v>
      </c>
      <c r="E84" s="22" t="s">
        <v>1485</v>
      </c>
      <c r="F84" s="22" t="s">
        <v>1485</v>
      </c>
      <c r="G84" s="22">
        <v>85</v>
      </c>
      <c r="H84" s="22" t="s">
        <v>1485</v>
      </c>
      <c r="I84" s="22">
        <v>85</v>
      </c>
      <c r="J84" s="22">
        <v>85</v>
      </c>
      <c r="K84" s="22" t="s">
        <v>651</v>
      </c>
      <c r="L84" s="142">
        <v>85</v>
      </c>
      <c r="M84" s="142" t="s">
        <v>651</v>
      </c>
      <c r="N84" s="23"/>
      <c r="O84" s="23"/>
      <c r="P84" s="23"/>
      <c r="Q84" s="151"/>
    </row>
    <row r="85" spans="1:17" x14ac:dyDescent="0.3">
      <c r="A85" s="150">
        <v>85</v>
      </c>
      <c r="B85" s="20" t="s">
        <v>660</v>
      </c>
      <c r="C85" s="21" t="s">
        <v>35</v>
      </c>
      <c r="D85" s="22" t="s">
        <v>1485</v>
      </c>
      <c r="E85" s="22" t="s">
        <v>1485</v>
      </c>
      <c r="F85" s="22" t="s">
        <v>1485</v>
      </c>
      <c r="G85" s="22">
        <v>86</v>
      </c>
      <c r="H85" s="22" t="s">
        <v>1485</v>
      </c>
      <c r="I85" s="22">
        <v>86</v>
      </c>
      <c r="J85" s="22">
        <v>86</v>
      </c>
      <c r="K85" s="22" t="s">
        <v>659</v>
      </c>
      <c r="L85" s="142">
        <v>86</v>
      </c>
      <c r="M85" s="142" t="s">
        <v>659</v>
      </c>
      <c r="N85" s="20">
        <v>31</v>
      </c>
      <c r="O85" s="23"/>
      <c r="P85" s="23"/>
      <c r="Q85" s="151"/>
    </row>
    <row r="86" spans="1:17" x14ac:dyDescent="0.3">
      <c r="A86" s="150">
        <v>86</v>
      </c>
      <c r="B86" s="20" t="s">
        <v>1431</v>
      </c>
      <c r="C86" s="28"/>
      <c r="D86" s="22" t="s">
        <v>1485</v>
      </c>
      <c r="E86" s="22" t="s">
        <v>1485</v>
      </c>
      <c r="F86" s="22" t="s">
        <v>1485</v>
      </c>
      <c r="G86" s="22" t="s">
        <v>1485</v>
      </c>
      <c r="H86" s="22" t="s">
        <v>1485</v>
      </c>
      <c r="I86" s="22" t="s">
        <v>1485</v>
      </c>
      <c r="J86" s="22" t="s">
        <v>1485</v>
      </c>
      <c r="K86" s="22" t="s">
        <v>1430</v>
      </c>
      <c r="L86" s="142" t="s">
        <v>1485</v>
      </c>
      <c r="M86" s="142" t="s">
        <v>1430</v>
      </c>
      <c r="N86" s="23"/>
      <c r="O86" s="23"/>
      <c r="P86" s="23"/>
      <c r="Q86" s="151"/>
    </row>
    <row r="87" spans="1:17" x14ac:dyDescent="0.3">
      <c r="A87" s="150">
        <v>87</v>
      </c>
      <c r="B87" s="20" t="s">
        <v>666</v>
      </c>
      <c r="C87" s="21" t="s">
        <v>35</v>
      </c>
      <c r="D87" s="22" t="s">
        <v>1485</v>
      </c>
      <c r="E87" s="22" t="s">
        <v>1485</v>
      </c>
      <c r="F87" s="22" t="s">
        <v>1485</v>
      </c>
      <c r="G87" s="22">
        <v>87</v>
      </c>
      <c r="H87" s="22" t="s">
        <v>1485</v>
      </c>
      <c r="I87" s="22">
        <v>87</v>
      </c>
      <c r="J87" s="22">
        <v>87</v>
      </c>
      <c r="K87" s="22" t="s">
        <v>665</v>
      </c>
      <c r="L87" s="142">
        <v>87</v>
      </c>
      <c r="M87" s="142" t="s">
        <v>665</v>
      </c>
      <c r="N87" s="23"/>
      <c r="O87" s="20">
        <v>0</v>
      </c>
      <c r="P87" s="23"/>
      <c r="Q87" s="151"/>
    </row>
    <row r="88" spans="1:17" x14ac:dyDescent="0.3">
      <c r="A88" s="150">
        <v>88</v>
      </c>
      <c r="B88" s="20" t="s">
        <v>672</v>
      </c>
      <c r="C88" s="21" t="s">
        <v>35</v>
      </c>
      <c r="D88" s="22" t="s">
        <v>1485</v>
      </c>
      <c r="E88" s="22" t="s">
        <v>1485</v>
      </c>
      <c r="F88" s="22" t="s">
        <v>1485</v>
      </c>
      <c r="G88" s="22">
        <v>88</v>
      </c>
      <c r="H88" s="22" t="s">
        <v>1485</v>
      </c>
      <c r="I88" s="22">
        <v>88</v>
      </c>
      <c r="J88" s="22">
        <v>88</v>
      </c>
      <c r="K88" s="22" t="s">
        <v>671</v>
      </c>
      <c r="L88" s="142">
        <v>88</v>
      </c>
      <c r="M88" s="142" t="s">
        <v>671</v>
      </c>
      <c r="N88" s="23"/>
      <c r="O88" s="20">
        <v>1</v>
      </c>
      <c r="P88" s="23"/>
      <c r="Q88" s="151"/>
    </row>
    <row r="89" spans="1:17" x14ac:dyDescent="0.3">
      <c r="A89" s="150">
        <v>89</v>
      </c>
      <c r="B89" s="20" t="s">
        <v>679</v>
      </c>
      <c r="C89" s="21" t="s">
        <v>122</v>
      </c>
      <c r="D89" s="22" t="s">
        <v>1485</v>
      </c>
      <c r="E89" s="22" t="s">
        <v>1485</v>
      </c>
      <c r="F89" s="22" t="s">
        <v>1485</v>
      </c>
      <c r="G89" s="22">
        <v>89</v>
      </c>
      <c r="H89" s="22" t="s">
        <v>1485</v>
      </c>
      <c r="I89" s="22">
        <v>89</v>
      </c>
      <c r="J89" s="22">
        <v>89</v>
      </c>
      <c r="K89" s="22" t="s">
        <v>678</v>
      </c>
      <c r="L89" s="142">
        <v>89</v>
      </c>
      <c r="M89" s="142" t="s">
        <v>678</v>
      </c>
      <c r="N89" s="23"/>
      <c r="O89" s="20">
        <v>2</v>
      </c>
      <c r="P89" s="23"/>
      <c r="Q89" s="151"/>
    </row>
    <row r="90" spans="1:17" x14ac:dyDescent="0.3">
      <c r="A90" s="150">
        <v>90</v>
      </c>
      <c r="B90" s="20" t="s">
        <v>693</v>
      </c>
      <c r="C90" s="21" t="s">
        <v>122</v>
      </c>
      <c r="D90" s="22" t="s">
        <v>1485</v>
      </c>
      <c r="E90" s="22" t="s">
        <v>1485</v>
      </c>
      <c r="F90" s="22" t="s">
        <v>1485</v>
      </c>
      <c r="G90" s="22">
        <v>91</v>
      </c>
      <c r="H90" s="22" t="s">
        <v>1485</v>
      </c>
      <c r="I90" s="22">
        <v>91</v>
      </c>
      <c r="J90" s="22">
        <v>91</v>
      </c>
      <c r="K90" s="22" t="s">
        <v>692</v>
      </c>
      <c r="L90" s="142">
        <v>91</v>
      </c>
      <c r="M90" s="142" t="s">
        <v>692</v>
      </c>
      <c r="N90" s="23"/>
      <c r="O90" s="20">
        <v>3</v>
      </c>
      <c r="P90" s="23"/>
      <c r="Q90" s="151"/>
    </row>
    <row r="91" spans="1:17" x14ac:dyDescent="0.3">
      <c r="A91" s="150">
        <v>91</v>
      </c>
      <c r="B91" s="20" t="s">
        <v>707</v>
      </c>
      <c r="C91" s="21" t="s">
        <v>35</v>
      </c>
      <c r="D91" s="22" t="s">
        <v>1485</v>
      </c>
      <c r="E91" s="22" t="s">
        <v>1485</v>
      </c>
      <c r="F91" s="22" t="s">
        <v>1485</v>
      </c>
      <c r="G91" s="22">
        <v>93</v>
      </c>
      <c r="H91" s="22" t="s">
        <v>1485</v>
      </c>
      <c r="I91" s="22">
        <v>93</v>
      </c>
      <c r="J91" s="22">
        <v>93</v>
      </c>
      <c r="K91" s="22" t="s">
        <v>706</v>
      </c>
      <c r="L91" s="142">
        <v>93</v>
      </c>
      <c r="M91" s="142" t="s">
        <v>706</v>
      </c>
      <c r="N91" s="23"/>
      <c r="O91" s="20">
        <v>4</v>
      </c>
      <c r="P91" s="23"/>
      <c r="Q91" s="151"/>
    </row>
    <row r="92" spans="1:17" x14ac:dyDescent="0.3">
      <c r="A92" s="150">
        <v>92</v>
      </c>
      <c r="B92" s="20" t="s">
        <v>728</v>
      </c>
      <c r="C92" s="21" t="s">
        <v>35</v>
      </c>
      <c r="D92" s="22" t="s">
        <v>1485</v>
      </c>
      <c r="E92" s="22" t="s">
        <v>1485</v>
      </c>
      <c r="F92" s="22" t="s">
        <v>1485</v>
      </c>
      <c r="G92" s="22">
        <v>96</v>
      </c>
      <c r="H92" s="22" t="s">
        <v>1485</v>
      </c>
      <c r="I92" s="22">
        <v>96</v>
      </c>
      <c r="J92" s="22">
        <v>96</v>
      </c>
      <c r="K92" s="22" t="s">
        <v>727</v>
      </c>
      <c r="L92" s="142">
        <v>96</v>
      </c>
      <c r="M92" s="142" t="s">
        <v>727</v>
      </c>
      <c r="N92" s="24"/>
      <c r="O92" s="138">
        <v>5</v>
      </c>
      <c r="P92" s="24"/>
      <c r="Q92" s="152"/>
    </row>
    <row r="93" spans="1:17" x14ac:dyDescent="0.3">
      <c r="A93" s="150">
        <v>93</v>
      </c>
      <c r="B93" s="20" t="s">
        <v>745</v>
      </c>
      <c r="C93" s="21" t="s">
        <v>35</v>
      </c>
      <c r="D93" s="22" t="s">
        <v>1485</v>
      </c>
      <c r="E93" s="22" t="s">
        <v>1485</v>
      </c>
      <c r="F93" s="22" t="s">
        <v>1485</v>
      </c>
      <c r="G93" s="22">
        <v>99</v>
      </c>
      <c r="H93" s="22" t="s">
        <v>1485</v>
      </c>
      <c r="I93" s="22">
        <v>99</v>
      </c>
      <c r="J93" s="22">
        <v>99</v>
      </c>
      <c r="K93" s="22" t="s">
        <v>744</v>
      </c>
      <c r="L93" s="142">
        <v>99</v>
      </c>
      <c r="M93" s="142" t="s">
        <v>744</v>
      </c>
      <c r="N93" s="23"/>
      <c r="O93" s="20">
        <v>6</v>
      </c>
      <c r="P93" s="23"/>
      <c r="Q93" s="151"/>
    </row>
    <row r="94" spans="1:17" x14ac:dyDescent="0.3">
      <c r="A94" s="150">
        <v>94</v>
      </c>
      <c r="B94" s="20" t="s">
        <v>757</v>
      </c>
      <c r="C94" s="21" t="s">
        <v>35</v>
      </c>
      <c r="D94" s="22" t="s">
        <v>1485</v>
      </c>
      <c r="E94" s="22" t="s">
        <v>1485</v>
      </c>
      <c r="F94" s="22" t="s">
        <v>1485</v>
      </c>
      <c r="G94" s="22">
        <v>101</v>
      </c>
      <c r="H94" s="22" t="s">
        <v>1485</v>
      </c>
      <c r="I94" s="22">
        <v>101</v>
      </c>
      <c r="J94" s="22">
        <v>101</v>
      </c>
      <c r="K94" s="22" t="s">
        <v>756</v>
      </c>
      <c r="L94" s="142">
        <v>101</v>
      </c>
      <c r="M94" s="142" t="s">
        <v>756</v>
      </c>
      <c r="N94" s="23"/>
      <c r="O94" s="20">
        <v>7</v>
      </c>
      <c r="P94" s="23"/>
      <c r="Q94" s="151"/>
    </row>
    <row r="95" spans="1:17" x14ac:dyDescent="0.3">
      <c r="A95" s="150">
        <v>95</v>
      </c>
      <c r="B95" s="20" t="s">
        <v>768</v>
      </c>
      <c r="C95" s="21" t="s">
        <v>35</v>
      </c>
      <c r="D95" s="22" t="s">
        <v>1485</v>
      </c>
      <c r="E95" s="22" t="s">
        <v>1485</v>
      </c>
      <c r="F95" s="22" t="s">
        <v>1485</v>
      </c>
      <c r="G95" s="22">
        <v>103</v>
      </c>
      <c r="H95" s="22" t="s">
        <v>1485</v>
      </c>
      <c r="I95" s="22">
        <v>103</v>
      </c>
      <c r="J95" s="22">
        <v>103</v>
      </c>
      <c r="K95" s="22" t="s">
        <v>767</v>
      </c>
      <c r="L95" s="142">
        <v>103</v>
      </c>
      <c r="M95" s="142" t="s">
        <v>767</v>
      </c>
      <c r="N95" s="23"/>
      <c r="O95" s="20">
        <v>8</v>
      </c>
      <c r="P95" s="23"/>
      <c r="Q95" s="151"/>
    </row>
    <row r="96" spans="1:17" x14ac:dyDescent="0.3">
      <c r="A96" s="150">
        <v>96</v>
      </c>
      <c r="B96" s="20" t="s">
        <v>112</v>
      </c>
      <c r="C96" s="21" t="s">
        <v>122</v>
      </c>
      <c r="D96" s="22">
        <v>2</v>
      </c>
      <c r="E96" s="22">
        <v>4</v>
      </c>
      <c r="F96" s="22">
        <v>4</v>
      </c>
      <c r="G96" s="22">
        <v>8</v>
      </c>
      <c r="H96" s="22">
        <v>4</v>
      </c>
      <c r="I96" s="22">
        <v>8</v>
      </c>
      <c r="J96" s="22">
        <v>8</v>
      </c>
      <c r="K96" s="22" t="s">
        <v>111</v>
      </c>
      <c r="L96" s="142">
        <v>8</v>
      </c>
      <c r="M96" s="142" t="s">
        <v>111</v>
      </c>
      <c r="N96" s="20">
        <v>1</v>
      </c>
      <c r="O96" s="23"/>
      <c r="P96" s="23"/>
      <c r="Q96" s="151"/>
    </row>
    <row r="97" spans="1:17" x14ac:dyDescent="0.3">
      <c r="A97" s="150">
        <v>97</v>
      </c>
      <c r="B97" s="20" t="s">
        <v>100</v>
      </c>
      <c r="C97" s="21" t="s">
        <v>71</v>
      </c>
      <c r="D97" s="22">
        <v>1</v>
      </c>
      <c r="E97" s="22">
        <v>3</v>
      </c>
      <c r="F97" s="22">
        <v>3</v>
      </c>
      <c r="G97" s="22">
        <v>7</v>
      </c>
      <c r="H97" s="22">
        <v>3</v>
      </c>
      <c r="I97" s="22">
        <v>7</v>
      </c>
      <c r="J97" s="22">
        <v>7</v>
      </c>
      <c r="K97" s="22" t="s">
        <v>99</v>
      </c>
      <c r="L97" s="142">
        <v>7</v>
      </c>
      <c r="M97" s="142" t="s">
        <v>99</v>
      </c>
      <c r="N97" s="20">
        <v>0</v>
      </c>
      <c r="O97" s="23"/>
      <c r="P97" s="23"/>
      <c r="Q97" s="151"/>
    </row>
    <row r="98" spans="1:17" x14ac:dyDescent="0.3">
      <c r="A98" s="150">
        <v>98</v>
      </c>
      <c r="B98" s="20" t="s">
        <v>856</v>
      </c>
      <c r="C98" s="21" t="s">
        <v>122</v>
      </c>
      <c r="D98" s="22">
        <v>34</v>
      </c>
      <c r="E98" s="22">
        <v>71</v>
      </c>
      <c r="F98" s="22">
        <v>71</v>
      </c>
      <c r="G98" s="22">
        <v>121</v>
      </c>
      <c r="H98" s="22">
        <v>71</v>
      </c>
      <c r="I98" s="22">
        <v>121</v>
      </c>
      <c r="J98" s="22">
        <v>121</v>
      </c>
      <c r="K98" s="22" t="s">
        <v>855</v>
      </c>
      <c r="L98" s="142">
        <v>121</v>
      </c>
      <c r="M98" s="142" t="s">
        <v>855</v>
      </c>
      <c r="N98" s="20">
        <v>11</v>
      </c>
      <c r="O98" s="23"/>
      <c r="P98" s="23"/>
      <c r="Q98" s="151"/>
    </row>
    <row r="99" spans="1:17" x14ac:dyDescent="0.3">
      <c r="A99" s="150">
        <v>99</v>
      </c>
      <c r="B99" s="20" t="s">
        <v>849</v>
      </c>
      <c r="C99" s="21" t="s">
        <v>71</v>
      </c>
      <c r="D99" s="22">
        <v>33</v>
      </c>
      <c r="E99" s="22">
        <v>70</v>
      </c>
      <c r="F99" s="22">
        <v>70</v>
      </c>
      <c r="G99" s="22">
        <v>120</v>
      </c>
      <c r="H99" s="22">
        <v>70</v>
      </c>
      <c r="I99" s="22">
        <v>120</v>
      </c>
      <c r="J99" s="22">
        <v>120</v>
      </c>
      <c r="K99" s="22" t="s">
        <v>848</v>
      </c>
      <c r="L99" s="142">
        <v>120</v>
      </c>
      <c r="M99" s="142" t="s">
        <v>848</v>
      </c>
      <c r="N99" s="20">
        <v>10</v>
      </c>
      <c r="O99" s="23"/>
      <c r="P99" s="23"/>
      <c r="Q99" s="151"/>
    </row>
    <row r="100" spans="1:17" x14ac:dyDescent="0.3">
      <c r="A100" s="150">
        <v>100</v>
      </c>
      <c r="B100" s="20" t="s">
        <v>843</v>
      </c>
      <c r="C100" s="21" t="s">
        <v>122</v>
      </c>
      <c r="D100" s="22" t="s">
        <v>1485</v>
      </c>
      <c r="E100" s="22">
        <v>69</v>
      </c>
      <c r="F100" s="22">
        <v>69</v>
      </c>
      <c r="G100" s="22">
        <v>119</v>
      </c>
      <c r="H100" s="22">
        <v>69</v>
      </c>
      <c r="I100" s="22">
        <v>119</v>
      </c>
      <c r="J100" s="22">
        <v>119</v>
      </c>
      <c r="K100" s="22" t="s">
        <v>842</v>
      </c>
      <c r="L100" s="142">
        <v>119</v>
      </c>
      <c r="M100" s="142" t="s">
        <v>842</v>
      </c>
      <c r="N100" s="20">
        <v>24</v>
      </c>
      <c r="O100" s="23"/>
      <c r="P100" s="23"/>
      <c r="Q100" s="151"/>
    </row>
    <row r="101" spans="1:17" x14ac:dyDescent="0.3">
      <c r="A101" s="150">
        <v>101</v>
      </c>
      <c r="B101" s="20" t="s">
        <v>437</v>
      </c>
      <c r="C101" s="23"/>
      <c r="D101" s="22">
        <v>18</v>
      </c>
      <c r="E101" s="22">
        <v>33</v>
      </c>
      <c r="F101" s="22">
        <v>33</v>
      </c>
      <c r="G101" s="22">
        <v>53</v>
      </c>
      <c r="H101" s="22">
        <v>33</v>
      </c>
      <c r="I101" s="22">
        <v>53</v>
      </c>
      <c r="J101" s="22">
        <v>53</v>
      </c>
      <c r="K101" s="22" t="s">
        <v>436</v>
      </c>
      <c r="L101" s="142">
        <v>53</v>
      </c>
      <c r="M101" s="142" t="s">
        <v>436</v>
      </c>
      <c r="N101" s="23"/>
      <c r="O101" s="23"/>
      <c r="P101" s="23"/>
      <c r="Q101" s="151"/>
    </row>
    <row r="102" spans="1:17" x14ac:dyDescent="0.3">
      <c r="A102" s="150">
        <v>102</v>
      </c>
      <c r="B102" s="20" t="s">
        <v>428</v>
      </c>
      <c r="C102" s="23"/>
      <c r="D102" s="22" t="s">
        <v>1485</v>
      </c>
      <c r="E102" s="22">
        <v>32</v>
      </c>
      <c r="F102" s="22">
        <v>32</v>
      </c>
      <c r="G102" s="22">
        <v>52</v>
      </c>
      <c r="H102" s="22">
        <v>32</v>
      </c>
      <c r="I102" s="22">
        <v>52</v>
      </c>
      <c r="J102" s="22">
        <v>52</v>
      </c>
      <c r="K102" s="22" t="s">
        <v>427</v>
      </c>
      <c r="L102" s="142">
        <v>52</v>
      </c>
      <c r="M102" s="142" t="s">
        <v>427</v>
      </c>
      <c r="N102" s="23"/>
      <c r="O102" s="23"/>
      <c r="P102" s="23"/>
      <c r="Q102" s="151"/>
    </row>
    <row r="103" spans="1:17" x14ac:dyDescent="0.3">
      <c r="A103" s="150">
        <v>103</v>
      </c>
      <c r="B103" s="20" t="s">
        <v>419</v>
      </c>
      <c r="C103" s="23"/>
      <c r="D103" s="22" t="s">
        <v>1485</v>
      </c>
      <c r="E103" s="22">
        <v>31</v>
      </c>
      <c r="F103" s="22">
        <v>31</v>
      </c>
      <c r="G103" s="22">
        <v>51</v>
      </c>
      <c r="H103" s="22">
        <v>31</v>
      </c>
      <c r="I103" s="22">
        <v>51</v>
      </c>
      <c r="J103" s="22">
        <v>51</v>
      </c>
      <c r="K103" s="22" t="s">
        <v>418</v>
      </c>
      <c r="L103" s="142">
        <v>51</v>
      </c>
      <c r="M103" s="142" t="s">
        <v>418</v>
      </c>
      <c r="N103" s="23"/>
      <c r="O103" s="23"/>
      <c r="P103" s="23"/>
      <c r="Q103" s="151"/>
    </row>
    <row r="104" spans="1:17" x14ac:dyDescent="0.3">
      <c r="A104" s="150">
        <v>104</v>
      </c>
      <c r="B104" s="20" t="s">
        <v>491</v>
      </c>
      <c r="C104" s="23"/>
      <c r="D104" s="22" t="s">
        <v>1485</v>
      </c>
      <c r="E104" s="22">
        <v>42</v>
      </c>
      <c r="F104" s="22">
        <v>42</v>
      </c>
      <c r="G104" s="22">
        <v>64</v>
      </c>
      <c r="H104" s="22">
        <v>42</v>
      </c>
      <c r="I104" s="22">
        <v>64</v>
      </c>
      <c r="J104" s="22">
        <v>64</v>
      </c>
      <c r="K104" s="22" t="s">
        <v>490</v>
      </c>
      <c r="L104" s="142">
        <v>64</v>
      </c>
      <c r="M104" s="142" t="s">
        <v>490</v>
      </c>
      <c r="N104" s="23"/>
      <c r="O104" s="23"/>
      <c r="P104" s="23"/>
      <c r="Q104" s="151"/>
    </row>
    <row r="105" spans="1:17" x14ac:dyDescent="0.3">
      <c r="A105" s="150">
        <v>105</v>
      </c>
      <c r="B105" s="20" t="s">
        <v>482</v>
      </c>
      <c r="C105" s="23"/>
      <c r="D105" s="22" t="s">
        <v>1485</v>
      </c>
      <c r="E105" s="22">
        <v>41</v>
      </c>
      <c r="F105" s="22">
        <v>41</v>
      </c>
      <c r="G105" s="22">
        <v>63</v>
      </c>
      <c r="H105" s="22">
        <v>41</v>
      </c>
      <c r="I105" s="22">
        <v>63</v>
      </c>
      <c r="J105" s="22">
        <v>63</v>
      </c>
      <c r="K105" s="22" t="s">
        <v>481</v>
      </c>
      <c r="L105" s="142">
        <v>63</v>
      </c>
      <c r="M105" s="142" t="s">
        <v>481</v>
      </c>
      <c r="N105" s="23"/>
      <c r="O105" s="23"/>
      <c r="P105" s="23"/>
      <c r="Q105" s="151"/>
    </row>
    <row r="106" spans="1:17" x14ac:dyDescent="0.3">
      <c r="A106" s="150">
        <v>106</v>
      </c>
      <c r="B106" s="20" t="s">
        <v>459</v>
      </c>
      <c r="C106" s="23"/>
      <c r="D106" s="22" t="s">
        <v>1485</v>
      </c>
      <c r="E106" s="22">
        <v>36</v>
      </c>
      <c r="F106" s="22">
        <v>36</v>
      </c>
      <c r="G106" s="22">
        <v>56</v>
      </c>
      <c r="H106" s="22">
        <v>36</v>
      </c>
      <c r="I106" s="22">
        <v>56</v>
      </c>
      <c r="J106" s="22">
        <v>56</v>
      </c>
      <c r="K106" s="22" t="s">
        <v>458</v>
      </c>
      <c r="L106" s="142">
        <v>56</v>
      </c>
      <c r="M106" s="142" t="s">
        <v>458</v>
      </c>
      <c r="N106" s="23"/>
      <c r="O106" s="23"/>
      <c r="P106" s="23"/>
      <c r="Q106" s="151"/>
    </row>
    <row r="107" spans="1:17" x14ac:dyDescent="0.3">
      <c r="A107" s="150">
        <v>107</v>
      </c>
      <c r="B107" s="20" t="s">
        <v>452</v>
      </c>
      <c r="C107" s="23"/>
      <c r="D107" s="22" t="s">
        <v>1485</v>
      </c>
      <c r="E107" s="22">
        <v>35</v>
      </c>
      <c r="F107" s="22">
        <v>35</v>
      </c>
      <c r="G107" s="22">
        <v>55</v>
      </c>
      <c r="H107" s="22">
        <v>35</v>
      </c>
      <c r="I107" s="22">
        <v>55</v>
      </c>
      <c r="J107" s="22">
        <v>55</v>
      </c>
      <c r="K107" s="22" t="s">
        <v>451</v>
      </c>
      <c r="L107" s="142">
        <v>55</v>
      </c>
      <c r="M107" s="142" t="s">
        <v>451</v>
      </c>
      <c r="N107" s="23"/>
      <c r="O107" s="23"/>
      <c r="P107" s="23"/>
      <c r="Q107" s="151"/>
    </row>
    <row r="108" spans="1:17" x14ac:dyDescent="0.3">
      <c r="A108" s="150">
        <v>108</v>
      </c>
      <c r="B108" s="20" t="s">
        <v>444</v>
      </c>
      <c r="C108" s="23"/>
      <c r="D108" s="22" t="s">
        <v>1485</v>
      </c>
      <c r="E108" s="22">
        <v>34</v>
      </c>
      <c r="F108" s="22">
        <v>34</v>
      </c>
      <c r="G108" s="22">
        <v>54</v>
      </c>
      <c r="H108" s="22">
        <v>34</v>
      </c>
      <c r="I108" s="22">
        <v>54</v>
      </c>
      <c r="J108" s="22">
        <v>54</v>
      </c>
      <c r="K108" s="22" t="s">
        <v>443</v>
      </c>
      <c r="L108" s="142">
        <v>54</v>
      </c>
      <c r="M108" s="142" t="s">
        <v>443</v>
      </c>
      <c r="N108" s="23"/>
      <c r="O108" s="23"/>
      <c r="P108" s="23"/>
      <c r="Q108" s="151"/>
    </row>
    <row r="109" spans="1:17" x14ac:dyDescent="0.3">
      <c r="A109" s="150">
        <v>109</v>
      </c>
      <c r="B109" s="20" t="s">
        <v>338</v>
      </c>
      <c r="C109" s="23"/>
      <c r="D109" s="22" t="s">
        <v>1485</v>
      </c>
      <c r="E109" s="22">
        <v>25</v>
      </c>
      <c r="F109" s="22">
        <v>25</v>
      </c>
      <c r="G109" s="22">
        <v>41</v>
      </c>
      <c r="H109" s="22" t="s">
        <v>1485</v>
      </c>
      <c r="I109" s="22">
        <v>41</v>
      </c>
      <c r="J109" s="22">
        <v>41</v>
      </c>
      <c r="K109" s="22" t="s">
        <v>337</v>
      </c>
      <c r="L109" s="142">
        <v>41</v>
      </c>
      <c r="M109" s="142" t="s">
        <v>337</v>
      </c>
      <c r="N109" s="23"/>
      <c r="O109" s="23"/>
      <c r="P109" s="23"/>
      <c r="Q109" s="151"/>
    </row>
    <row r="110" spans="1:17" x14ac:dyDescent="0.3">
      <c r="A110" s="150">
        <v>110</v>
      </c>
      <c r="B110" s="20" t="s">
        <v>328</v>
      </c>
      <c r="C110" s="23"/>
      <c r="D110" s="22" t="s">
        <v>1485</v>
      </c>
      <c r="E110" s="22">
        <v>24</v>
      </c>
      <c r="F110" s="22">
        <v>24</v>
      </c>
      <c r="G110" s="22">
        <v>40</v>
      </c>
      <c r="H110" s="22" t="s">
        <v>1485</v>
      </c>
      <c r="I110" s="22">
        <v>40</v>
      </c>
      <c r="J110" s="22">
        <v>40</v>
      </c>
      <c r="K110" s="22" t="s">
        <v>327</v>
      </c>
      <c r="L110" s="142">
        <v>40</v>
      </c>
      <c r="M110" s="142" t="s">
        <v>327</v>
      </c>
      <c r="N110" s="23"/>
      <c r="O110" s="23"/>
      <c r="P110" s="23"/>
      <c r="Q110" s="151"/>
    </row>
    <row r="111" spans="1:17" x14ac:dyDescent="0.3">
      <c r="A111" s="150">
        <v>111</v>
      </c>
      <c r="B111" s="20" t="s">
        <v>295</v>
      </c>
      <c r="C111" s="23"/>
      <c r="D111" s="22">
        <v>11</v>
      </c>
      <c r="E111" s="22">
        <v>22</v>
      </c>
      <c r="F111" s="22">
        <v>22</v>
      </c>
      <c r="G111" s="22">
        <v>35</v>
      </c>
      <c r="H111" s="22">
        <v>22</v>
      </c>
      <c r="I111" s="22">
        <v>35</v>
      </c>
      <c r="J111" s="22">
        <v>35</v>
      </c>
      <c r="K111" s="22" t="s">
        <v>294</v>
      </c>
      <c r="L111" s="142">
        <v>35</v>
      </c>
      <c r="M111" s="142" t="s">
        <v>294</v>
      </c>
      <c r="N111" s="23"/>
      <c r="O111" s="23"/>
      <c r="P111" s="23"/>
      <c r="Q111" s="151"/>
    </row>
    <row r="112" spans="1:17" x14ac:dyDescent="0.3">
      <c r="A112" s="150">
        <v>112</v>
      </c>
      <c r="B112" s="20" t="s">
        <v>286</v>
      </c>
      <c r="C112" s="23"/>
      <c r="D112" s="22" t="s">
        <v>1485</v>
      </c>
      <c r="E112" s="22">
        <v>21</v>
      </c>
      <c r="F112" s="22">
        <v>21</v>
      </c>
      <c r="G112" s="22">
        <v>34</v>
      </c>
      <c r="H112" s="22">
        <v>21</v>
      </c>
      <c r="I112" s="22">
        <v>34</v>
      </c>
      <c r="J112" s="22">
        <v>34</v>
      </c>
      <c r="K112" s="22" t="s">
        <v>285</v>
      </c>
      <c r="L112" s="142">
        <v>34</v>
      </c>
      <c r="M112" s="142" t="s">
        <v>285</v>
      </c>
      <c r="N112" s="23"/>
      <c r="O112" s="23"/>
      <c r="P112" s="23"/>
      <c r="Q112" s="151"/>
    </row>
    <row r="113" spans="1:17" x14ac:dyDescent="0.3">
      <c r="A113" s="150">
        <v>113</v>
      </c>
      <c r="B113" s="20" t="s">
        <v>259</v>
      </c>
      <c r="C113" s="23"/>
      <c r="D113" s="22" t="s">
        <v>1485</v>
      </c>
      <c r="E113" s="22">
        <v>20</v>
      </c>
      <c r="F113" s="22">
        <v>20</v>
      </c>
      <c r="G113" s="22">
        <v>31</v>
      </c>
      <c r="H113" s="22">
        <v>20</v>
      </c>
      <c r="I113" s="22">
        <v>31</v>
      </c>
      <c r="J113" s="22">
        <v>31</v>
      </c>
      <c r="K113" s="22" t="s">
        <v>258</v>
      </c>
      <c r="L113" s="142">
        <v>31</v>
      </c>
      <c r="M113" s="142" t="s">
        <v>258</v>
      </c>
      <c r="N113" s="24"/>
      <c r="O113" s="24"/>
      <c r="P113" s="24"/>
      <c r="Q113" s="152"/>
    </row>
    <row r="114" spans="1:17" x14ac:dyDescent="0.3">
      <c r="A114" s="150">
        <v>114</v>
      </c>
      <c r="B114" s="20" t="s">
        <v>1118</v>
      </c>
      <c r="C114" s="20"/>
      <c r="D114" s="22" t="s">
        <v>1485</v>
      </c>
      <c r="E114" s="22" t="s">
        <v>1485</v>
      </c>
      <c r="F114" s="22" t="s">
        <v>1485</v>
      </c>
      <c r="G114" s="22">
        <v>105</v>
      </c>
      <c r="H114" s="22" t="s">
        <v>1485</v>
      </c>
      <c r="I114" s="22" t="s">
        <v>1485</v>
      </c>
      <c r="J114" s="22" t="s">
        <v>1485</v>
      </c>
      <c r="K114" s="22" t="s">
        <v>1117</v>
      </c>
      <c r="L114" s="142" t="s">
        <v>1485</v>
      </c>
      <c r="M114" s="142" t="s">
        <v>1117</v>
      </c>
      <c r="N114" s="23"/>
      <c r="O114" s="23"/>
      <c r="P114" s="23"/>
      <c r="Q114" s="151"/>
    </row>
    <row r="115" spans="1:17" x14ac:dyDescent="0.3">
      <c r="A115" s="150">
        <v>115</v>
      </c>
      <c r="B115" s="20" t="s">
        <v>1122</v>
      </c>
      <c r="C115" s="20"/>
      <c r="D115" s="22" t="s">
        <v>1485</v>
      </c>
      <c r="E115" s="22" t="s">
        <v>1485</v>
      </c>
      <c r="F115" s="22" t="s">
        <v>1485</v>
      </c>
      <c r="G115" s="22" t="s">
        <v>1485</v>
      </c>
      <c r="H115" s="22" t="s">
        <v>1485</v>
      </c>
      <c r="I115" s="22" t="s">
        <v>1485</v>
      </c>
      <c r="J115" s="22" t="s">
        <v>1485</v>
      </c>
      <c r="K115" s="22" t="s">
        <v>1121</v>
      </c>
      <c r="L115" s="142" t="s">
        <v>1485</v>
      </c>
      <c r="M115" s="142" t="s">
        <v>1121</v>
      </c>
      <c r="N115" s="23"/>
      <c r="O115" s="23"/>
      <c r="P115" s="23"/>
      <c r="Q115" s="151"/>
    </row>
    <row r="116" spans="1:17" x14ac:dyDescent="0.3">
      <c r="A116" s="150">
        <v>116</v>
      </c>
      <c r="B116" s="20" t="s">
        <v>794</v>
      </c>
      <c r="C116" s="21" t="s">
        <v>122</v>
      </c>
      <c r="D116" s="22" t="s">
        <v>1485</v>
      </c>
      <c r="E116" s="22" t="s">
        <v>1485</v>
      </c>
      <c r="F116" s="22" t="s">
        <v>1485</v>
      </c>
      <c r="G116" s="22">
        <v>111</v>
      </c>
      <c r="H116" s="22" t="s">
        <v>1485</v>
      </c>
      <c r="I116" s="22">
        <v>111</v>
      </c>
      <c r="J116" s="22">
        <v>111</v>
      </c>
      <c r="K116" s="22" t="s">
        <v>793</v>
      </c>
      <c r="L116" s="142">
        <v>111</v>
      </c>
      <c r="M116" s="142" t="s">
        <v>793</v>
      </c>
      <c r="N116" s="23"/>
      <c r="O116" s="20">
        <v>11</v>
      </c>
      <c r="P116" s="23"/>
      <c r="Q116" s="151"/>
    </row>
    <row r="117" spans="1:17" x14ac:dyDescent="0.3">
      <c r="A117" s="150">
        <v>117</v>
      </c>
      <c r="B117" s="20" t="s">
        <v>817</v>
      </c>
      <c r="C117" s="21" t="s">
        <v>35</v>
      </c>
      <c r="D117" s="22" t="s">
        <v>1485</v>
      </c>
      <c r="E117" s="22" t="s">
        <v>1485</v>
      </c>
      <c r="F117" s="22" t="s">
        <v>1485</v>
      </c>
      <c r="G117" s="22">
        <v>115</v>
      </c>
      <c r="H117" s="22" t="s">
        <v>1485</v>
      </c>
      <c r="I117" s="22">
        <v>115</v>
      </c>
      <c r="J117" s="22">
        <v>115</v>
      </c>
      <c r="K117" s="22" t="s">
        <v>816</v>
      </c>
      <c r="L117" s="142">
        <v>115</v>
      </c>
      <c r="M117" s="142" t="s">
        <v>816</v>
      </c>
      <c r="N117" s="23"/>
      <c r="O117" s="20">
        <v>12</v>
      </c>
      <c r="P117" s="23"/>
      <c r="Q117" s="151"/>
    </row>
    <row r="118" spans="1:17" x14ac:dyDescent="0.3">
      <c r="A118" s="150">
        <v>118</v>
      </c>
      <c r="B118" s="20" t="s">
        <v>836</v>
      </c>
      <c r="C118" s="21" t="s">
        <v>35</v>
      </c>
      <c r="D118" s="22" t="s">
        <v>1485</v>
      </c>
      <c r="E118" s="22" t="s">
        <v>1485</v>
      </c>
      <c r="F118" s="22" t="s">
        <v>1485</v>
      </c>
      <c r="G118" s="22">
        <v>118</v>
      </c>
      <c r="H118" s="22" t="s">
        <v>1485</v>
      </c>
      <c r="I118" s="22">
        <v>118</v>
      </c>
      <c r="J118" s="22">
        <v>118</v>
      </c>
      <c r="K118" s="22" t="s">
        <v>835</v>
      </c>
      <c r="L118" s="142">
        <v>118</v>
      </c>
      <c r="M118" s="142" t="s">
        <v>835</v>
      </c>
      <c r="N118" s="23"/>
      <c r="O118" s="20">
        <v>13</v>
      </c>
      <c r="P118" s="23"/>
      <c r="Q118" s="151"/>
    </row>
    <row r="119" spans="1:17" x14ac:dyDescent="0.3">
      <c r="A119" s="150">
        <v>119</v>
      </c>
      <c r="B119" s="20" t="s">
        <v>863</v>
      </c>
      <c r="C119" s="21" t="s">
        <v>869</v>
      </c>
      <c r="D119" s="22" t="s">
        <v>1485</v>
      </c>
      <c r="E119" s="22" t="s">
        <v>1485</v>
      </c>
      <c r="F119" s="22" t="s">
        <v>1485</v>
      </c>
      <c r="G119" s="22">
        <v>122</v>
      </c>
      <c r="H119" s="22" t="s">
        <v>1485</v>
      </c>
      <c r="I119" s="22">
        <v>122</v>
      </c>
      <c r="J119" s="22">
        <v>122</v>
      </c>
      <c r="K119" s="22" t="s">
        <v>862</v>
      </c>
      <c r="L119" s="142">
        <v>122</v>
      </c>
      <c r="M119" s="142" t="s">
        <v>862</v>
      </c>
      <c r="N119" s="24"/>
      <c r="O119" s="24"/>
      <c r="P119" s="139">
        <v>22</v>
      </c>
      <c r="Q119" s="152"/>
    </row>
    <row r="120" spans="1:17" x14ac:dyDescent="0.3">
      <c r="A120" s="150">
        <v>120</v>
      </c>
      <c r="B120" s="20" t="s">
        <v>882</v>
      </c>
      <c r="C120" s="21" t="s">
        <v>875</v>
      </c>
      <c r="D120" s="22" t="s">
        <v>1485</v>
      </c>
      <c r="E120" s="22" t="s">
        <v>1485</v>
      </c>
      <c r="F120" s="22" t="s">
        <v>1485</v>
      </c>
      <c r="G120" s="22">
        <v>125</v>
      </c>
      <c r="H120" s="22" t="s">
        <v>1485</v>
      </c>
      <c r="I120" s="22">
        <v>125</v>
      </c>
      <c r="J120" s="22">
        <v>125</v>
      </c>
      <c r="K120" s="22" t="s">
        <v>881</v>
      </c>
      <c r="L120" s="142">
        <v>125</v>
      </c>
      <c r="M120" s="142" t="s">
        <v>881</v>
      </c>
      <c r="N120" s="23"/>
      <c r="O120" s="23"/>
      <c r="P120" s="20">
        <v>23</v>
      </c>
      <c r="Q120" s="151"/>
    </row>
    <row r="121" spans="1:17" x14ac:dyDescent="0.3">
      <c r="A121" s="150">
        <v>121</v>
      </c>
      <c r="B121" s="20" t="s">
        <v>1126</v>
      </c>
      <c r="C121" s="20"/>
      <c r="D121" s="22" t="s">
        <v>1485</v>
      </c>
      <c r="E121" s="22" t="s">
        <v>1485</v>
      </c>
      <c r="F121" s="22" t="s">
        <v>1485</v>
      </c>
      <c r="G121" s="22" t="s">
        <v>1485</v>
      </c>
      <c r="H121" s="22" t="s">
        <v>1485</v>
      </c>
      <c r="I121" s="22" t="s">
        <v>1485</v>
      </c>
      <c r="J121" s="22" t="s">
        <v>1485</v>
      </c>
      <c r="K121" s="22" t="s">
        <v>1125</v>
      </c>
      <c r="L121" s="142" t="s">
        <v>1485</v>
      </c>
      <c r="M121" s="142" t="s">
        <v>1125</v>
      </c>
      <c r="N121" s="23"/>
      <c r="O121" s="23"/>
      <c r="P121" s="23"/>
      <c r="Q121" s="151"/>
    </row>
    <row r="122" spans="1:17" x14ac:dyDescent="0.3">
      <c r="A122" s="150">
        <v>122</v>
      </c>
      <c r="B122" s="20" t="s">
        <v>909</v>
      </c>
      <c r="C122" s="21" t="s">
        <v>869</v>
      </c>
      <c r="D122" s="22" t="s">
        <v>1485</v>
      </c>
      <c r="E122" s="22" t="s">
        <v>1485</v>
      </c>
      <c r="F122" s="22" t="s">
        <v>1485</v>
      </c>
      <c r="G122" s="22">
        <v>131</v>
      </c>
      <c r="H122" s="22" t="s">
        <v>1485</v>
      </c>
      <c r="I122" s="22">
        <v>131</v>
      </c>
      <c r="J122" s="22">
        <v>131</v>
      </c>
      <c r="K122" s="22" t="s">
        <v>908</v>
      </c>
      <c r="L122" s="142">
        <v>131</v>
      </c>
      <c r="M122" s="142" t="s">
        <v>908</v>
      </c>
      <c r="N122" s="23"/>
      <c r="O122" s="23"/>
      <c r="P122" s="20">
        <v>24</v>
      </c>
      <c r="Q122" s="151"/>
    </row>
    <row r="123" spans="1:17" x14ac:dyDescent="0.3">
      <c r="A123" s="150">
        <v>123</v>
      </c>
      <c r="B123" s="20" t="s">
        <v>916</v>
      </c>
      <c r="C123" s="21" t="s">
        <v>875</v>
      </c>
      <c r="D123" s="22" t="s">
        <v>1485</v>
      </c>
      <c r="E123" s="22" t="s">
        <v>1485</v>
      </c>
      <c r="F123" s="22" t="s">
        <v>1485</v>
      </c>
      <c r="G123" s="22">
        <v>132</v>
      </c>
      <c r="H123" s="22" t="s">
        <v>1485</v>
      </c>
      <c r="I123" s="22">
        <v>132</v>
      </c>
      <c r="J123" s="22">
        <v>132</v>
      </c>
      <c r="K123" s="22" t="s">
        <v>915</v>
      </c>
      <c r="L123" s="142">
        <v>132</v>
      </c>
      <c r="M123" s="142" t="s">
        <v>915</v>
      </c>
      <c r="N123" s="23"/>
      <c r="O123" s="23"/>
      <c r="P123" s="20">
        <v>25</v>
      </c>
      <c r="Q123" s="151"/>
    </row>
    <row r="124" spans="1:17" x14ac:dyDescent="0.3">
      <c r="A124" s="150">
        <v>124</v>
      </c>
      <c r="B124" s="20" t="s">
        <v>928</v>
      </c>
      <c r="C124" s="21" t="s">
        <v>875</v>
      </c>
      <c r="D124" s="22" t="s">
        <v>1485</v>
      </c>
      <c r="E124" s="22" t="s">
        <v>1485</v>
      </c>
      <c r="F124" s="22" t="s">
        <v>1485</v>
      </c>
      <c r="G124" s="22">
        <v>134</v>
      </c>
      <c r="H124" s="22" t="s">
        <v>1485</v>
      </c>
      <c r="I124" s="22">
        <v>134</v>
      </c>
      <c r="J124" s="22">
        <v>134</v>
      </c>
      <c r="K124" s="22" t="s">
        <v>927</v>
      </c>
      <c r="L124" s="142">
        <v>134</v>
      </c>
      <c r="M124" s="142" t="s">
        <v>927</v>
      </c>
      <c r="N124" s="23"/>
      <c r="O124" s="23"/>
      <c r="P124" s="20">
        <v>26</v>
      </c>
      <c r="Q124" s="151"/>
    </row>
    <row r="125" spans="1:17" x14ac:dyDescent="0.3">
      <c r="A125" s="150">
        <v>125</v>
      </c>
      <c r="B125" s="20" t="s">
        <v>940</v>
      </c>
      <c r="C125" s="21" t="s">
        <v>875</v>
      </c>
      <c r="D125" s="22" t="s">
        <v>1485</v>
      </c>
      <c r="E125" s="22" t="s">
        <v>1485</v>
      </c>
      <c r="F125" s="22" t="s">
        <v>1485</v>
      </c>
      <c r="G125" s="22">
        <v>136</v>
      </c>
      <c r="H125" s="22" t="s">
        <v>1485</v>
      </c>
      <c r="I125" s="22">
        <v>136</v>
      </c>
      <c r="J125" s="22">
        <v>136</v>
      </c>
      <c r="K125" s="22" t="s">
        <v>939</v>
      </c>
      <c r="L125" s="142">
        <v>136</v>
      </c>
      <c r="M125" s="142" t="s">
        <v>939</v>
      </c>
      <c r="N125" s="23"/>
      <c r="O125" s="23"/>
      <c r="P125" s="20">
        <v>27</v>
      </c>
      <c r="Q125" s="151"/>
    </row>
    <row r="126" spans="1:17" x14ac:dyDescent="0.3">
      <c r="A126" s="150">
        <v>126</v>
      </c>
      <c r="B126" s="20" t="s">
        <v>954</v>
      </c>
      <c r="C126" s="21" t="s">
        <v>869</v>
      </c>
      <c r="D126" s="22" t="s">
        <v>1485</v>
      </c>
      <c r="E126" s="22" t="s">
        <v>1485</v>
      </c>
      <c r="F126" s="22" t="s">
        <v>1485</v>
      </c>
      <c r="G126" s="22">
        <v>138</v>
      </c>
      <c r="H126" s="22" t="s">
        <v>1485</v>
      </c>
      <c r="I126" s="22">
        <v>138</v>
      </c>
      <c r="J126" s="22">
        <v>138</v>
      </c>
      <c r="K126" s="22" t="s">
        <v>953</v>
      </c>
      <c r="L126" s="142">
        <v>138</v>
      </c>
      <c r="M126" s="142" t="s">
        <v>953</v>
      </c>
      <c r="N126" s="23"/>
      <c r="O126" s="23"/>
      <c r="P126" s="20">
        <v>28</v>
      </c>
      <c r="Q126" s="151"/>
    </row>
    <row r="127" spans="1:17" x14ac:dyDescent="0.3">
      <c r="A127" s="150">
        <v>127</v>
      </c>
      <c r="B127" s="20" t="s">
        <v>960</v>
      </c>
      <c r="C127" s="21" t="s">
        <v>869</v>
      </c>
      <c r="D127" s="22" t="s">
        <v>1485</v>
      </c>
      <c r="E127" s="22" t="s">
        <v>1485</v>
      </c>
      <c r="F127" s="22" t="s">
        <v>1485</v>
      </c>
      <c r="G127" s="22">
        <v>139</v>
      </c>
      <c r="H127" s="22" t="s">
        <v>1485</v>
      </c>
      <c r="I127" s="22">
        <v>139</v>
      </c>
      <c r="J127" s="22">
        <v>139</v>
      </c>
      <c r="K127" s="22" t="s">
        <v>959</v>
      </c>
      <c r="L127" s="142">
        <v>139</v>
      </c>
      <c r="M127" s="142" t="s">
        <v>959</v>
      </c>
      <c r="N127" s="23"/>
      <c r="O127" s="23"/>
      <c r="P127" s="20">
        <v>29</v>
      </c>
      <c r="Q127" s="151"/>
    </row>
    <row r="128" spans="1:17" x14ac:dyDescent="0.3">
      <c r="A128" s="150">
        <v>128</v>
      </c>
      <c r="B128" s="20" t="s">
        <v>1071</v>
      </c>
      <c r="C128" s="21" t="s">
        <v>869</v>
      </c>
      <c r="D128" s="22" t="s">
        <v>1485</v>
      </c>
      <c r="E128" s="22">
        <v>94</v>
      </c>
      <c r="F128" s="22">
        <v>94</v>
      </c>
      <c r="G128" s="22">
        <v>163</v>
      </c>
      <c r="H128" s="22">
        <v>94</v>
      </c>
      <c r="I128" s="22">
        <v>163</v>
      </c>
      <c r="J128" s="22">
        <v>163</v>
      </c>
      <c r="K128" s="22" t="s">
        <v>1070</v>
      </c>
      <c r="L128" s="142">
        <v>163</v>
      </c>
      <c r="M128" s="142" t="s">
        <v>1070</v>
      </c>
      <c r="N128" s="23"/>
      <c r="O128" s="23"/>
      <c r="P128" s="20">
        <v>19</v>
      </c>
      <c r="Q128" s="151"/>
    </row>
    <row r="129" spans="1:17" x14ac:dyDescent="0.3">
      <c r="A129" s="150">
        <v>129</v>
      </c>
      <c r="B129" s="20" t="s">
        <v>1066</v>
      </c>
      <c r="C129" s="21" t="s">
        <v>875</v>
      </c>
      <c r="D129" s="22" t="s">
        <v>1485</v>
      </c>
      <c r="E129" s="22">
        <v>93</v>
      </c>
      <c r="F129" s="22">
        <v>93</v>
      </c>
      <c r="G129" s="22">
        <v>162</v>
      </c>
      <c r="H129" s="22">
        <v>93</v>
      </c>
      <c r="I129" s="22">
        <v>162</v>
      </c>
      <c r="J129" s="22">
        <v>162</v>
      </c>
      <c r="K129" s="22" t="s">
        <v>1065</v>
      </c>
      <c r="L129" s="142">
        <v>162</v>
      </c>
      <c r="M129" s="142" t="s">
        <v>1065</v>
      </c>
      <c r="N129" s="23"/>
      <c r="O129" s="23"/>
      <c r="P129" s="20">
        <v>18</v>
      </c>
      <c r="Q129" s="151"/>
    </row>
    <row r="130" spans="1:17" x14ac:dyDescent="0.3">
      <c r="A130" s="150">
        <v>130</v>
      </c>
      <c r="B130" s="20" t="s">
        <v>1004</v>
      </c>
      <c r="C130" s="21" t="s">
        <v>875</v>
      </c>
      <c r="D130" s="22" t="s">
        <v>1485</v>
      </c>
      <c r="E130" s="22">
        <v>85</v>
      </c>
      <c r="F130" s="22">
        <v>85</v>
      </c>
      <c r="G130" s="22">
        <v>147</v>
      </c>
      <c r="H130" s="22">
        <v>85</v>
      </c>
      <c r="I130" s="22">
        <v>147</v>
      </c>
      <c r="J130" s="22">
        <v>147</v>
      </c>
      <c r="K130" s="22" t="s">
        <v>1003</v>
      </c>
      <c r="L130" s="142">
        <v>147</v>
      </c>
      <c r="M130" s="142" t="s">
        <v>1003</v>
      </c>
      <c r="N130" s="23"/>
      <c r="O130" s="23"/>
      <c r="P130" s="20">
        <v>16</v>
      </c>
      <c r="Q130" s="151"/>
    </row>
    <row r="131" spans="1:17" x14ac:dyDescent="0.3">
      <c r="A131" s="150">
        <v>131</v>
      </c>
      <c r="B131" s="20" t="s">
        <v>223</v>
      </c>
      <c r="C131" s="23"/>
      <c r="D131" s="22" t="s">
        <v>1485</v>
      </c>
      <c r="E131" s="22">
        <v>18</v>
      </c>
      <c r="F131" s="22">
        <v>18</v>
      </c>
      <c r="G131" s="22">
        <v>27</v>
      </c>
      <c r="H131" s="22">
        <v>18</v>
      </c>
      <c r="I131" s="22">
        <v>27</v>
      </c>
      <c r="J131" s="22">
        <v>27</v>
      </c>
      <c r="K131" s="22" t="s">
        <v>222</v>
      </c>
      <c r="L131" s="142" t="s">
        <v>1485</v>
      </c>
      <c r="M131" s="142" t="s">
        <v>222</v>
      </c>
      <c r="N131" s="23"/>
      <c r="O131" s="23"/>
      <c r="P131" s="23"/>
      <c r="Q131" s="151"/>
    </row>
    <row r="132" spans="1:17" x14ac:dyDescent="0.3">
      <c r="A132" s="150">
        <v>132</v>
      </c>
      <c r="B132" s="20" t="s">
        <v>164</v>
      </c>
      <c r="C132" s="21" t="s">
        <v>35</v>
      </c>
      <c r="D132" s="22" t="s">
        <v>1485</v>
      </c>
      <c r="E132" s="22" t="s">
        <v>1485</v>
      </c>
      <c r="F132" s="22" t="s">
        <v>1485</v>
      </c>
      <c r="G132" s="22">
        <v>13</v>
      </c>
      <c r="H132" s="22" t="s">
        <v>1485</v>
      </c>
      <c r="I132" s="22">
        <v>13</v>
      </c>
      <c r="J132" s="22">
        <v>13</v>
      </c>
      <c r="K132" s="22" t="s">
        <v>163</v>
      </c>
      <c r="L132" s="142">
        <v>13</v>
      </c>
      <c r="M132" s="142" t="s">
        <v>163</v>
      </c>
      <c r="N132" s="20">
        <v>30</v>
      </c>
      <c r="O132" s="23"/>
      <c r="P132" s="23"/>
      <c r="Q132" s="151"/>
    </row>
    <row r="133" spans="1:17" x14ac:dyDescent="0.3">
      <c r="A133" s="150">
        <v>133</v>
      </c>
      <c r="B133" s="20" t="s">
        <v>155</v>
      </c>
      <c r="C133" s="21" t="s">
        <v>35</v>
      </c>
      <c r="D133" s="22" t="s">
        <v>1485</v>
      </c>
      <c r="E133" s="22" t="s">
        <v>1485</v>
      </c>
      <c r="F133" s="22" t="s">
        <v>1485</v>
      </c>
      <c r="G133" s="22">
        <v>12</v>
      </c>
      <c r="H133" s="22" t="s">
        <v>1485</v>
      </c>
      <c r="I133" s="22">
        <v>12</v>
      </c>
      <c r="J133" s="22">
        <v>12</v>
      </c>
      <c r="K133" s="22" t="s">
        <v>154</v>
      </c>
      <c r="L133" s="142">
        <v>12</v>
      </c>
      <c r="M133" s="142" t="s">
        <v>154</v>
      </c>
      <c r="N133" s="138">
        <v>29</v>
      </c>
      <c r="O133" s="24"/>
      <c r="P133" s="23"/>
      <c r="Q133" s="152"/>
    </row>
    <row r="134" spans="1:17" x14ac:dyDescent="0.3">
      <c r="A134" s="150">
        <v>134</v>
      </c>
      <c r="B134" s="20" t="s">
        <v>999</v>
      </c>
      <c r="C134" s="21" t="s">
        <v>969</v>
      </c>
      <c r="D134" s="22" t="s">
        <v>1485</v>
      </c>
      <c r="E134" s="22">
        <v>84</v>
      </c>
      <c r="F134" s="22">
        <v>84</v>
      </c>
      <c r="G134" s="22">
        <v>146</v>
      </c>
      <c r="H134" s="22">
        <v>84</v>
      </c>
      <c r="I134" s="22">
        <v>146</v>
      </c>
      <c r="J134" s="22">
        <v>146</v>
      </c>
      <c r="K134" s="22" t="s">
        <v>998</v>
      </c>
      <c r="L134" s="142">
        <v>146</v>
      </c>
      <c r="M134" s="142" t="s">
        <v>998</v>
      </c>
      <c r="N134" s="23"/>
      <c r="O134" s="23"/>
      <c r="P134" s="20">
        <v>15</v>
      </c>
      <c r="Q134" s="151"/>
    </row>
    <row r="135" spans="1:17" x14ac:dyDescent="0.3">
      <c r="A135" s="150">
        <v>135</v>
      </c>
      <c r="B135" s="20" t="s">
        <v>775</v>
      </c>
      <c r="C135" s="21" t="s">
        <v>35</v>
      </c>
      <c r="D135" s="22" t="s">
        <v>1485</v>
      </c>
      <c r="E135" s="22">
        <v>59</v>
      </c>
      <c r="F135" s="22">
        <v>59</v>
      </c>
      <c r="G135" s="22">
        <v>104</v>
      </c>
      <c r="H135" s="22" t="s">
        <v>1485</v>
      </c>
      <c r="I135" s="22">
        <v>104</v>
      </c>
      <c r="J135" s="22">
        <v>104</v>
      </c>
      <c r="K135" s="22" t="s">
        <v>774</v>
      </c>
      <c r="L135" s="142">
        <v>104</v>
      </c>
      <c r="M135" s="142" t="s">
        <v>774</v>
      </c>
      <c r="N135" s="23"/>
      <c r="O135" s="20">
        <v>9</v>
      </c>
      <c r="P135" s="23"/>
      <c r="Q135" s="151"/>
    </row>
    <row r="136" spans="1:17" x14ac:dyDescent="0.3">
      <c r="A136" s="150">
        <v>136</v>
      </c>
      <c r="B136" s="20" t="s">
        <v>378</v>
      </c>
      <c r="C136" s="23"/>
      <c r="D136" s="22">
        <v>13</v>
      </c>
      <c r="E136" s="22">
        <v>26</v>
      </c>
      <c r="F136" s="22">
        <v>26</v>
      </c>
      <c r="G136" s="22">
        <v>46</v>
      </c>
      <c r="H136" s="22">
        <v>26</v>
      </c>
      <c r="I136" s="22">
        <v>46</v>
      </c>
      <c r="J136" s="22">
        <v>46</v>
      </c>
      <c r="K136" s="22" t="s">
        <v>377</v>
      </c>
      <c r="L136" s="142">
        <v>46</v>
      </c>
      <c r="M136" s="142" t="s">
        <v>377</v>
      </c>
      <c r="N136" s="23"/>
      <c r="O136" s="23"/>
      <c r="P136" s="23"/>
      <c r="Q136" s="151"/>
    </row>
    <row r="137" spans="1:17" x14ac:dyDescent="0.3">
      <c r="A137" s="150">
        <v>137</v>
      </c>
      <c r="B137" s="20" t="s">
        <v>309</v>
      </c>
      <c r="C137" s="23"/>
      <c r="D137" s="22">
        <v>12</v>
      </c>
      <c r="E137" s="22">
        <v>23</v>
      </c>
      <c r="F137" s="22">
        <v>23</v>
      </c>
      <c r="G137" s="22">
        <v>36</v>
      </c>
      <c r="H137" s="22">
        <v>23</v>
      </c>
      <c r="I137" s="22">
        <v>36</v>
      </c>
      <c r="J137" s="22">
        <v>36</v>
      </c>
      <c r="K137" s="22" t="s">
        <v>308</v>
      </c>
      <c r="L137" s="142" t="s">
        <v>1485</v>
      </c>
      <c r="M137" s="142" t="s">
        <v>308</v>
      </c>
      <c r="N137" s="23"/>
      <c r="O137" s="23"/>
      <c r="P137" s="23"/>
      <c r="Q137" s="151"/>
    </row>
    <row r="138" spans="1:17" x14ac:dyDescent="0.3">
      <c r="A138" s="150">
        <v>138</v>
      </c>
      <c r="B138" s="20" t="s">
        <v>136</v>
      </c>
      <c r="C138" s="21" t="s">
        <v>71</v>
      </c>
      <c r="D138" s="22" t="s">
        <v>1485</v>
      </c>
      <c r="E138" s="22">
        <v>6</v>
      </c>
      <c r="F138" s="22">
        <v>6</v>
      </c>
      <c r="G138" s="22">
        <v>10</v>
      </c>
      <c r="H138" s="22">
        <v>6</v>
      </c>
      <c r="I138" s="22">
        <v>10</v>
      </c>
      <c r="J138" s="22">
        <v>10</v>
      </c>
      <c r="K138" s="22" t="s">
        <v>135</v>
      </c>
      <c r="L138" s="142">
        <v>10</v>
      </c>
      <c r="M138" s="142" t="s">
        <v>135</v>
      </c>
      <c r="N138" s="20">
        <v>15</v>
      </c>
      <c r="O138" s="23"/>
      <c r="P138" s="23"/>
      <c r="Q138" s="151"/>
    </row>
    <row r="139" spans="1:17" x14ac:dyDescent="0.3">
      <c r="A139" s="150">
        <v>139</v>
      </c>
      <c r="B139" s="20" t="s">
        <v>124</v>
      </c>
      <c r="C139" s="21" t="s">
        <v>122</v>
      </c>
      <c r="D139" s="22" t="s">
        <v>1485</v>
      </c>
      <c r="E139" s="22">
        <v>5</v>
      </c>
      <c r="F139" s="22">
        <v>5</v>
      </c>
      <c r="G139" s="22">
        <v>9</v>
      </c>
      <c r="H139" s="22">
        <v>5</v>
      </c>
      <c r="I139" s="22">
        <v>9</v>
      </c>
      <c r="J139" s="22">
        <v>9</v>
      </c>
      <c r="K139" s="22" t="s">
        <v>123</v>
      </c>
      <c r="L139" s="142">
        <v>9</v>
      </c>
      <c r="M139" s="142" t="s">
        <v>123</v>
      </c>
      <c r="N139" s="20">
        <v>14</v>
      </c>
      <c r="O139" s="23"/>
      <c r="P139" s="23"/>
      <c r="Q139" s="151"/>
    </row>
    <row r="140" spans="1:17" x14ac:dyDescent="0.3">
      <c r="A140" s="150">
        <v>140</v>
      </c>
      <c r="B140" s="20" t="s">
        <v>241</v>
      </c>
      <c r="C140" s="23"/>
      <c r="D140" s="22" t="s">
        <v>1485</v>
      </c>
      <c r="E140" s="22">
        <v>19</v>
      </c>
      <c r="F140" s="22">
        <v>19</v>
      </c>
      <c r="G140" s="22">
        <v>29</v>
      </c>
      <c r="H140" s="22">
        <v>19</v>
      </c>
      <c r="I140" s="22">
        <v>29</v>
      </c>
      <c r="J140" s="22">
        <v>29</v>
      </c>
      <c r="K140" s="22" t="s">
        <v>240</v>
      </c>
      <c r="L140" s="142">
        <v>29</v>
      </c>
      <c r="M140" s="142" t="s">
        <v>240</v>
      </c>
      <c r="N140" s="24"/>
      <c r="O140" s="24"/>
      <c r="P140" s="24"/>
      <c r="Q140" s="152"/>
    </row>
    <row r="141" spans="1:17" x14ac:dyDescent="0.3">
      <c r="A141" s="150">
        <v>141</v>
      </c>
      <c r="B141" s="20" t="s">
        <v>148</v>
      </c>
      <c r="C141" s="23"/>
      <c r="D141" s="22" t="s">
        <v>1485</v>
      </c>
      <c r="E141" s="22">
        <v>7</v>
      </c>
      <c r="F141" s="22">
        <v>7</v>
      </c>
      <c r="G141" s="22">
        <v>11</v>
      </c>
      <c r="H141" s="22">
        <v>7</v>
      </c>
      <c r="I141" s="22">
        <v>11</v>
      </c>
      <c r="J141" s="22">
        <v>11</v>
      </c>
      <c r="K141" s="22" t="s">
        <v>147</v>
      </c>
      <c r="L141" s="142">
        <v>11</v>
      </c>
      <c r="M141" s="142" t="s">
        <v>147</v>
      </c>
      <c r="N141" s="25"/>
      <c r="O141" s="25"/>
      <c r="P141" s="25"/>
      <c r="Q141" s="153"/>
    </row>
    <row r="142" spans="1:17" x14ac:dyDescent="0.3">
      <c r="A142" s="150">
        <v>142</v>
      </c>
      <c r="B142" s="20" t="s">
        <v>215</v>
      </c>
      <c r="C142" s="23"/>
      <c r="D142" s="22" t="s">
        <v>1485</v>
      </c>
      <c r="E142" s="22" t="s">
        <v>1485</v>
      </c>
      <c r="F142" s="22" t="s">
        <v>1485</v>
      </c>
      <c r="G142" s="22">
        <v>26</v>
      </c>
      <c r="H142" s="22" t="s">
        <v>1485</v>
      </c>
      <c r="I142" s="22">
        <v>26</v>
      </c>
      <c r="J142" s="22">
        <v>26</v>
      </c>
      <c r="K142" s="22" t="s">
        <v>214</v>
      </c>
      <c r="L142" s="142" t="s">
        <v>1485</v>
      </c>
      <c r="M142" s="142" t="s">
        <v>214</v>
      </c>
      <c r="N142" s="23"/>
      <c r="O142" s="23"/>
      <c r="P142" s="23"/>
      <c r="Q142" s="151"/>
    </row>
    <row r="143" spans="1:17" x14ac:dyDescent="0.3">
      <c r="A143" s="150">
        <v>143</v>
      </c>
      <c r="B143" s="20" t="s">
        <v>73</v>
      </c>
      <c r="C143" s="21" t="s">
        <v>71</v>
      </c>
      <c r="D143" s="22" t="s">
        <v>1485</v>
      </c>
      <c r="E143" s="22">
        <v>2</v>
      </c>
      <c r="F143" s="22">
        <v>2</v>
      </c>
      <c r="G143" s="22">
        <v>5</v>
      </c>
      <c r="H143" s="22">
        <v>2</v>
      </c>
      <c r="I143" s="22">
        <v>5</v>
      </c>
      <c r="J143" s="22">
        <v>5</v>
      </c>
      <c r="K143" s="22" t="s">
        <v>72</v>
      </c>
      <c r="L143" s="142">
        <v>5</v>
      </c>
      <c r="M143" s="142" t="s">
        <v>72</v>
      </c>
      <c r="N143" s="20">
        <v>13</v>
      </c>
      <c r="O143" s="23"/>
      <c r="P143" s="23"/>
      <c r="Q143" s="151"/>
    </row>
    <row r="144" spans="1:17" x14ac:dyDescent="0.3">
      <c r="A144" s="150">
        <v>144</v>
      </c>
      <c r="B144" s="20" t="s">
        <v>58</v>
      </c>
      <c r="C144" s="21" t="s">
        <v>71</v>
      </c>
      <c r="D144" s="22" t="s">
        <v>1485</v>
      </c>
      <c r="E144" s="22">
        <v>1</v>
      </c>
      <c r="F144" s="22">
        <v>1</v>
      </c>
      <c r="G144" s="22">
        <v>4</v>
      </c>
      <c r="H144" s="22">
        <v>1</v>
      </c>
      <c r="I144" s="22">
        <v>4</v>
      </c>
      <c r="J144" s="22">
        <v>4</v>
      </c>
      <c r="K144" s="22" t="s">
        <v>57</v>
      </c>
      <c r="L144" s="142">
        <v>4</v>
      </c>
      <c r="M144" s="142" t="s">
        <v>57</v>
      </c>
      <c r="N144" s="20">
        <v>12</v>
      </c>
      <c r="O144" s="23"/>
      <c r="P144" s="24"/>
      <c r="Q144" s="151"/>
    </row>
    <row r="145" spans="1:17" x14ac:dyDescent="0.3">
      <c r="A145" s="150">
        <v>145</v>
      </c>
      <c r="B145" s="20" t="s">
        <v>976</v>
      </c>
      <c r="C145" s="21" t="s">
        <v>875</v>
      </c>
      <c r="D145" s="22" t="s">
        <v>1485</v>
      </c>
      <c r="E145" s="22" t="s">
        <v>1485</v>
      </c>
      <c r="F145" s="22" t="s">
        <v>1485</v>
      </c>
      <c r="G145" s="22">
        <v>142</v>
      </c>
      <c r="H145" s="22" t="s">
        <v>1485</v>
      </c>
      <c r="I145" s="22">
        <v>142</v>
      </c>
      <c r="J145" s="22">
        <v>142</v>
      </c>
      <c r="K145" s="22" t="s">
        <v>975</v>
      </c>
      <c r="L145" s="142">
        <v>142</v>
      </c>
      <c r="M145" s="142" t="s">
        <v>975</v>
      </c>
      <c r="N145" s="24"/>
      <c r="O145" s="24"/>
      <c r="P145" s="138">
        <v>30</v>
      </c>
      <c r="Q145" s="152"/>
    </row>
    <row r="146" spans="1:17" x14ac:dyDescent="0.3">
      <c r="A146" s="150">
        <v>146</v>
      </c>
      <c r="B146" s="20" t="s">
        <v>988</v>
      </c>
      <c r="C146" s="21" t="s">
        <v>869</v>
      </c>
      <c r="D146" s="22" t="s">
        <v>1485</v>
      </c>
      <c r="E146" s="22" t="s">
        <v>1485</v>
      </c>
      <c r="F146" s="22" t="s">
        <v>1485</v>
      </c>
      <c r="G146" s="22">
        <v>144</v>
      </c>
      <c r="H146" s="22" t="s">
        <v>1485</v>
      </c>
      <c r="I146" s="22">
        <v>144</v>
      </c>
      <c r="J146" s="22">
        <v>144</v>
      </c>
      <c r="K146" s="22" t="s">
        <v>987</v>
      </c>
      <c r="L146" s="142">
        <v>144</v>
      </c>
      <c r="M146" s="142" t="s">
        <v>987</v>
      </c>
      <c r="N146" s="25"/>
      <c r="O146" s="25"/>
      <c r="P146" s="137">
        <v>31</v>
      </c>
      <c r="Q146" s="153"/>
    </row>
    <row r="147" spans="1:17" x14ac:dyDescent="0.3">
      <c r="A147" s="150">
        <v>147</v>
      </c>
      <c r="B147" s="20" t="s">
        <v>1130</v>
      </c>
      <c r="C147" s="20"/>
      <c r="D147" s="22" t="s">
        <v>1485</v>
      </c>
      <c r="E147" s="22" t="s">
        <v>1485</v>
      </c>
      <c r="F147" s="22" t="s">
        <v>1485</v>
      </c>
      <c r="G147" s="22">
        <v>148</v>
      </c>
      <c r="H147" s="22" t="s">
        <v>1485</v>
      </c>
      <c r="I147" s="22" t="s">
        <v>1485</v>
      </c>
      <c r="J147" s="22" t="s">
        <v>1485</v>
      </c>
      <c r="K147" s="22" t="s">
        <v>1129</v>
      </c>
      <c r="L147" s="142" t="s">
        <v>1485</v>
      </c>
      <c r="M147" s="142" t="s">
        <v>1129</v>
      </c>
      <c r="N147" s="25"/>
      <c r="O147" s="25"/>
      <c r="P147" s="25"/>
      <c r="Q147" s="153"/>
    </row>
    <row r="148" spans="1:17" x14ac:dyDescent="0.3">
      <c r="A148" s="150">
        <v>148</v>
      </c>
      <c r="B148" s="20" t="s">
        <v>1134</v>
      </c>
      <c r="C148" s="20"/>
      <c r="D148" s="22" t="s">
        <v>1485</v>
      </c>
      <c r="E148" s="22" t="s">
        <v>1485</v>
      </c>
      <c r="F148" s="22" t="s">
        <v>1485</v>
      </c>
      <c r="G148" s="22" t="s">
        <v>1485</v>
      </c>
      <c r="H148" s="22" t="s">
        <v>1485</v>
      </c>
      <c r="I148" s="22" t="s">
        <v>1485</v>
      </c>
      <c r="J148" s="22" t="s">
        <v>1485</v>
      </c>
      <c r="K148" s="22" t="s">
        <v>1133</v>
      </c>
      <c r="L148" s="142" t="s">
        <v>1485</v>
      </c>
      <c r="M148" s="142" t="s">
        <v>1133</v>
      </c>
      <c r="N148" s="25"/>
      <c r="O148" s="25"/>
      <c r="P148" s="25"/>
      <c r="Q148" s="153"/>
    </row>
    <row r="149" spans="1:17" x14ac:dyDescent="0.3">
      <c r="A149" s="150">
        <v>149</v>
      </c>
      <c r="B149" s="20" t="s">
        <v>1018</v>
      </c>
      <c r="C149" s="21" t="s">
        <v>869</v>
      </c>
      <c r="D149" s="22" t="s">
        <v>1485</v>
      </c>
      <c r="E149" s="22" t="s">
        <v>1485</v>
      </c>
      <c r="F149" s="22" t="s">
        <v>1485</v>
      </c>
      <c r="G149" s="22">
        <v>153</v>
      </c>
      <c r="H149" s="22" t="s">
        <v>1485</v>
      </c>
      <c r="I149" s="22">
        <v>153</v>
      </c>
      <c r="J149" s="22">
        <v>153</v>
      </c>
      <c r="K149" s="22" t="s">
        <v>1017</v>
      </c>
      <c r="L149" s="142">
        <v>153</v>
      </c>
      <c r="M149" s="142" t="s">
        <v>1017</v>
      </c>
      <c r="N149" s="25"/>
      <c r="O149" s="25"/>
      <c r="P149" s="25"/>
      <c r="Q149" s="154">
        <v>0</v>
      </c>
    </row>
    <row r="150" spans="1:17" x14ac:dyDescent="0.3">
      <c r="A150" s="150">
        <v>150</v>
      </c>
      <c r="B150" s="20" t="s">
        <v>1023</v>
      </c>
      <c r="C150" s="21" t="s">
        <v>869</v>
      </c>
      <c r="D150" s="22" t="s">
        <v>1485</v>
      </c>
      <c r="E150" s="22" t="s">
        <v>1485</v>
      </c>
      <c r="F150" s="22" t="s">
        <v>1485</v>
      </c>
      <c r="G150" s="22">
        <v>154</v>
      </c>
      <c r="H150" s="22" t="s">
        <v>1485</v>
      </c>
      <c r="I150" s="22">
        <v>154</v>
      </c>
      <c r="J150" s="22">
        <v>154</v>
      </c>
      <c r="K150" s="22" t="s">
        <v>1022</v>
      </c>
      <c r="L150" s="142">
        <v>154</v>
      </c>
      <c r="M150" s="142" t="s">
        <v>1022</v>
      </c>
      <c r="N150" s="25"/>
      <c r="O150" s="25"/>
      <c r="P150" s="25"/>
      <c r="Q150" s="154">
        <v>1</v>
      </c>
    </row>
    <row r="151" spans="1:17" x14ac:dyDescent="0.3">
      <c r="A151" s="150">
        <v>151</v>
      </c>
      <c r="B151" s="20" t="s">
        <v>1034</v>
      </c>
      <c r="C151" s="21" t="s">
        <v>869</v>
      </c>
      <c r="D151" s="22" t="s">
        <v>1485</v>
      </c>
      <c r="E151" s="22" t="s">
        <v>1485</v>
      </c>
      <c r="F151" s="22" t="s">
        <v>1485</v>
      </c>
      <c r="G151" s="22">
        <v>156</v>
      </c>
      <c r="H151" s="22" t="s">
        <v>1485</v>
      </c>
      <c r="I151" s="22">
        <v>156</v>
      </c>
      <c r="J151" s="22">
        <v>156</v>
      </c>
      <c r="K151" s="22" t="s">
        <v>1033</v>
      </c>
      <c r="L151" s="142">
        <v>156</v>
      </c>
      <c r="M151" s="142" t="s">
        <v>1033</v>
      </c>
      <c r="N151" s="25"/>
      <c r="O151" s="25"/>
      <c r="P151" s="25"/>
      <c r="Q151" s="154">
        <v>2</v>
      </c>
    </row>
    <row r="152" spans="1:17" x14ac:dyDescent="0.3">
      <c r="A152" s="150">
        <v>152</v>
      </c>
      <c r="B152" s="20" t="s">
        <v>1039</v>
      </c>
      <c r="C152" s="21" t="s">
        <v>869</v>
      </c>
      <c r="D152" s="22" t="s">
        <v>1485</v>
      </c>
      <c r="E152" s="22" t="s">
        <v>1485</v>
      </c>
      <c r="F152" s="22" t="s">
        <v>1485</v>
      </c>
      <c r="G152" s="22">
        <v>157</v>
      </c>
      <c r="H152" s="22" t="s">
        <v>1485</v>
      </c>
      <c r="I152" s="22">
        <v>157</v>
      </c>
      <c r="J152" s="22">
        <v>157</v>
      </c>
      <c r="K152" s="22" t="s">
        <v>1038</v>
      </c>
      <c r="L152" s="142">
        <v>157</v>
      </c>
      <c r="M152" s="142" t="s">
        <v>1038</v>
      </c>
      <c r="N152" s="25"/>
      <c r="O152" s="25"/>
      <c r="P152" s="25"/>
      <c r="Q152" s="154">
        <v>3</v>
      </c>
    </row>
    <row r="153" spans="1:17" x14ac:dyDescent="0.3">
      <c r="A153" s="150">
        <v>153</v>
      </c>
      <c r="B153" s="20" t="s">
        <v>1044</v>
      </c>
      <c r="C153" s="21" t="s">
        <v>869</v>
      </c>
      <c r="D153" s="22" t="s">
        <v>1485</v>
      </c>
      <c r="E153" s="22" t="s">
        <v>1485</v>
      </c>
      <c r="F153" s="22" t="s">
        <v>1485</v>
      </c>
      <c r="G153" s="22">
        <v>158</v>
      </c>
      <c r="H153" s="22" t="s">
        <v>1485</v>
      </c>
      <c r="I153" s="22">
        <v>158</v>
      </c>
      <c r="J153" s="22">
        <v>158</v>
      </c>
      <c r="K153" s="22" t="s">
        <v>1043</v>
      </c>
      <c r="L153" s="142">
        <v>158</v>
      </c>
      <c r="M153" s="142" t="s">
        <v>1043</v>
      </c>
      <c r="N153" s="25"/>
      <c r="O153" s="25"/>
      <c r="P153" s="25"/>
      <c r="Q153" s="154">
        <v>4</v>
      </c>
    </row>
    <row r="154" spans="1:17" x14ac:dyDescent="0.3">
      <c r="A154" s="150">
        <v>154</v>
      </c>
      <c r="B154" s="20" t="s">
        <v>1076</v>
      </c>
      <c r="C154" s="21" t="s">
        <v>869</v>
      </c>
      <c r="D154" s="22" t="s">
        <v>1485</v>
      </c>
      <c r="E154" s="22" t="s">
        <v>1485</v>
      </c>
      <c r="F154" s="22" t="s">
        <v>1485</v>
      </c>
      <c r="G154" s="22">
        <v>164</v>
      </c>
      <c r="H154" s="22" t="s">
        <v>1485</v>
      </c>
      <c r="I154" s="22">
        <v>164</v>
      </c>
      <c r="J154" s="22">
        <v>164</v>
      </c>
      <c r="K154" s="22" t="s">
        <v>1075</v>
      </c>
      <c r="L154" s="142">
        <v>164</v>
      </c>
      <c r="M154" s="142" t="s">
        <v>1075</v>
      </c>
      <c r="N154" s="25"/>
      <c r="O154" s="25"/>
      <c r="P154" s="25"/>
      <c r="Q154" s="154">
        <v>5</v>
      </c>
    </row>
    <row r="155" spans="1:17" x14ac:dyDescent="0.3">
      <c r="A155" s="150">
        <v>155</v>
      </c>
      <c r="B155" s="20" t="s">
        <v>1138</v>
      </c>
      <c r="C155" s="23"/>
      <c r="D155" s="22" t="s">
        <v>1485</v>
      </c>
      <c r="E155" s="22" t="s">
        <v>1485</v>
      </c>
      <c r="F155" s="22" t="s">
        <v>1485</v>
      </c>
      <c r="G155" s="22" t="s">
        <v>1485</v>
      </c>
      <c r="H155" s="22" t="s">
        <v>1485</v>
      </c>
      <c r="I155" s="22" t="s">
        <v>1485</v>
      </c>
      <c r="J155" s="22" t="s">
        <v>1485</v>
      </c>
      <c r="K155" s="22" t="s">
        <v>1137</v>
      </c>
      <c r="L155" s="142" t="s">
        <v>1485</v>
      </c>
      <c r="M155" s="142" t="s">
        <v>1137</v>
      </c>
      <c r="N155" s="25"/>
      <c r="O155" s="25"/>
      <c r="P155" s="25"/>
      <c r="Q155" s="153"/>
    </row>
    <row r="156" spans="1:17" x14ac:dyDescent="0.3">
      <c r="A156" s="150">
        <v>156</v>
      </c>
      <c r="B156" s="20" t="s">
        <v>1142</v>
      </c>
      <c r="C156" s="23"/>
      <c r="D156" s="22" t="s">
        <v>1485</v>
      </c>
      <c r="E156" s="22" t="s">
        <v>1485</v>
      </c>
      <c r="F156" s="22" t="s">
        <v>1485</v>
      </c>
      <c r="G156" s="22" t="s">
        <v>1485</v>
      </c>
      <c r="H156" s="22" t="s">
        <v>1485</v>
      </c>
      <c r="I156" s="22" t="s">
        <v>1485</v>
      </c>
      <c r="J156" s="22" t="s">
        <v>1485</v>
      </c>
      <c r="K156" s="22" t="s">
        <v>1141</v>
      </c>
      <c r="L156" s="142" t="s">
        <v>1485</v>
      </c>
      <c r="M156" s="142" t="s">
        <v>1141</v>
      </c>
      <c r="N156" s="25"/>
      <c r="O156" s="25"/>
      <c r="P156" s="25"/>
      <c r="Q156" s="153"/>
    </row>
    <row r="157" spans="1:17" x14ac:dyDescent="0.3">
      <c r="A157" s="150">
        <v>157</v>
      </c>
      <c r="B157" s="20" t="s">
        <v>1146</v>
      </c>
      <c r="C157" s="23"/>
      <c r="D157" s="22" t="s">
        <v>1485</v>
      </c>
      <c r="E157" s="22" t="s">
        <v>1485</v>
      </c>
      <c r="F157" s="22" t="s">
        <v>1485</v>
      </c>
      <c r="G157" s="22" t="s">
        <v>1485</v>
      </c>
      <c r="H157" s="22" t="s">
        <v>1485</v>
      </c>
      <c r="I157" s="22" t="s">
        <v>1485</v>
      </c>
      <c r="J157" s="22" t="s">
        <v>1485</v>
      </c>
      <c r="K157" s="22" t="s">
        <v>1145</v>
      </c>
      <c r="L157" s="142" t="s">
        <v>1485</v>
      </c>
      <c r="M157" s="142" t="s">
        <v>1145</v>
      </c>
      <c r="N157" s="25"/>
      <c r="O157" s="25"/>
      <c r="P157" s="25"/>
      <c r="Q157" s="153"/>
    </row>
    <row r="158" spans="1:17" x14ac:dyDescent="0.3">
      <c r="A158" s="150">
        <v>158</v>
      </c>
      <c r="B158" s="20" t="s">
        <v>1150</v>
      </c>
      <c r="C158" s="23"/>
      <c r="D158" s="22" t="s">
        <v>1485</v>
      </c>
      <c r="E158" s="22" t="s">
        <v>1485</v>
      </c>
      <c r="F158" s="22" t="s">
        <v>1485</v>
      </c>
      <c r="G158" s="22" t="s">
        <v>1485</v>
      </c>
      <c r="H158" s="22" t="s">
        <v>1485</v>
      </c>
      <c r="I158" s="22" t="s">
        <v>1485</v>
      </c>
      <c r="J158" s="22" t="s">
        <v>1485</v>
      </c>
      <c r="K158" s="22" t="s">
        <v>1149</v>
      </c>
      <c r="L158" s="142" t="s">
        <v>1485</v>
      </c>
      <c r="M158" s="142" t="s">
        <v>1149</v>
      </c>
      <c r="N158" s="25"/>
      <c r="O158" s="25"/>
      <c r="P158" s="25"/>
      <c r="Q158" s="153"/>
    </row>
    <row r="159" spans="1:17" x14ac:dyDescent="0.3">
      <c r="A159" s="150">
        <v>159</v>
      </c>
      <c r="B159" s="20" t="s">
        <v>1154</v>
      </c>
      <c r="C159" s="23"/>
      <c r="D159" s="22" t="s">
        <v>1485</v>
      </c>
      <c r="E159" s="22" t="s">
        <v>1485</v>
      </c>
      <c r="F159" s="22" t="s">
        <v>1485</v>
      </c>
      <c r="G159" s="22" t="s">
        <v>1485</v>
      </c>
      <c r="H159" s="22" t="s">
        <v>1485</v>
      </c>
      <c r="I159" s="22" t="s">
        <v>1485</v>
      </c>
      <c r="J159" s="22" t="s">
        <v>1485</v>
      </c>
      <c r="K159" s="22" t="s">
        <v>1153</v>
      </c>
      <c r="L159" s="142" t="s">
        <v>1485</v>
      </c>
      <c r="M159" s="142" t="s">
        <v>1153</v>
      </c>
      <c r="N159" s="25"/>
      <c r="O159" s="25"/>
      <c r="P159" s="25"/>
      <c r="Q159" s="153"/>
    </row>
    <row r="160" spans="1:17" x14ac:dyDescent="0.3">
      <c r="A160" s="150">
        <v>160</v>
      </c>
      <c r="B160" s="20" t="s">
        <v>1158</v>
      </c>
      <c r="C160" s="23"/>
      <c r="D160" s="22" t="s">
        <v>1485</v>
      </c>
      <c r="E160" s="22" t="s">
        <v>1485</v>
      </c>
      <c r="F160" s="22" t="s">
        <v>1485</v>
      </c>
      <c r="G160" s="22" t="s">
        <v>1485</v>
      </c>
      <c r="H160" s="22" t="s">
        <v>1485</v>
      </c>
      <c r="I160" s="22" t="s">
        <v>1485</v>
      </c>
      <c r="J160" s="22" t="s">
        <v>1485</v>
      </c>
      <c r="K160" s="22" t="s">
        <v>1157</v>
      </c>
      <c r="L160" s="142" t="s">
        <v>1485</v>
      </c>
      <c r="M160" s="142" t="s">
        <v>1157</v>
      </c>
      <c r="N160" s="25"/>
      <c r="O160" s="25"/>
      <c r="P160" s="25"/>
      <c r="Q160" s="153"/>
    </row>
    <row r="161" spans="1:17" x14ac:dyDescent="0.3">
      <c r="A161" s="150">
        <v>161</v>
      </c>
      <c r="B161" s="20" t="s">
        <v>1162</v>
      </c>
      <c r="C161" s="23"/>
      <c r="D161" s="22" t="s">
        <v>1485</v>
      </c>
      <c r="E161" s="22" t="s">
        <v>1485</v>
      </c>
      <c r="F161" s="22" t="s">
        <v>1485</v>
      </c>
      <c r="G161" s="22" t="s">
        <v>1485</v>
      </c>
      <c r="H161" s="22" t="s">
        <v>1485</v>
      </c>
      <c r="I161" s="22" t="s">
        <v>1485</v>
      </c>
      <c r="J161" s="22" t="s">
        <v>1485</v>
      </c>
      <c r="K161" s="22" t="s">
        <v>1161</v>
      </c>
      <c r="L161" s="142" t="s">
        <v>1485</v>
      </c>
      <c r="M161" s="142" t="s">
        <v>1161</v>
      </c>
      <c r="N161" s="25"/>
      <c r="O161" s="25"/>
      <c r="P161" s="25"/>
      <c r="Q161" s="153"/>
    </row>
    <row r="162" spans="1:17" x14ac:dyDescent="0.3">
      <c r="A162" s="150">
        <v>162</v>
      </c>
      <c r="B162" s="20" t="s">
        <v>1166</v>
      </c>
      <c r="C162" s="23"/>
      <c r="D162" s="22" t="s">
        <v>1485</v>
      </c>
      <c r="E162" s="22" t="s">
        <v>1485</v>
      </c>
      <c r="F162" s="22" t="s">
        <v>1485</v>
      </c>
      <c r="G162" s="22" t="s">
        <v>1485</v>
      </c>
      <c r="H162" s="22" t="s">
        <v>1485</v>
      </c>
      <c r="I162" s="22" t="s">
        <v>1485</v>
      </c>
      <c r="J162" s="22" t="s">
        <v>1485</v>
      </c>
      <c r="K162" s="22" t="s">
        <v>1165</v>
      </c>
      <c r="L162" s="142" t="s">
        <v>1485</v>
      </c>
      <c r="M162" s="142" t="s">
        <v>1165</v>
      </c>
      <c r="N162" s="25"/>
      <c r="O162" s="25"/>
      <c r="P162" s="25"/>
      <c r="Q162" s="153"/>
    </row>
    <row r="163" spans="1:17" x14ac:dyDescent="0.3">
      <c r="A163" s="150">
        <v>163</v>
      </c>
      <c r="B163" s="20" t="s">
        <v>1170</v>
      </c>
      <c r="C163" s="23"/>
      <c r="D163" s="22" t="s">
        <v>1485</v>
      </c>
      <c r="E163" s="22" t="s">
        <v>1485</v>
      </c>
      <c r="F163" s="22" t="s">
        <v>1485</v>
      </c>
      <c r="G163" s="22" t="s">
        <v>1485</v>
      </c>
      <c r="H163" s="22" t="s">
        <v>1485</v>
      </c>
      <c r="I163" s="22" t="s">
        <v>1485</v>
      </c>
      <c r="J163" s="22" t="s">
        <v>1485</v>
      </c>
      <c r="K163" s="22" t="s">
        <v>1169</v>
      </c>
      <c r="L163" s="142" t="s">
        <v>1485</v>
      </c>
      <c r="M163" s="142" t="s">
        <v>1169</v>
      </c>
      <c r="N163" s="25"/>
      <c r="O163" s="25"/>
      <c r="P163" s="25"/>
      <c r="Q163" s="153"/>
    </row>
    <row r="164" spans="1:17" x14ac:dyDescent="0.3">
      <c r="A164" s="150">
        <v>164</v>
      </c>
      <c r="B164" s="20" t="s">
        <v>1174</v>
      </c>
      <c r="C164" s="23"/>
      <c r="D164" s="22" t="s">
        <v>1485</v>
      </c>
      <c r="E164" s="22" t="s">
        <v>1485</v>
      </c>
      <c r="F164" s="22" t="s">
        <v>1485</v>
      </c>
      <c r="G164" s="22" t="s">
        <v>1485</v>
      </c>
      <c r="H164" s="22" t="s">
        <v>1485</v>
      </c>
      <c r="I164" s="22" t="s">
        <v>1485</v>
      </c>
      <c r="J164" s="22" t="s">
        <v>1485</v>
      </c>
      <c r="K164" s="22" t="s">
        <v>1173</v>
      </c>
      <c r="L164" s="142" t="s">
        <v>1485</v>
      </c>
      <c r="M164" s="142" t="s">
        <v>1173</v>
      </c>
      <c r="N164" s="25"/>
      <c r="O164" s="25"/>
      <c r="P164" s="25"/>
      <c r="Q164" s="153"/>
    </row>
    <row r="165" spans="1:17" x14ac:dyDescent="0.3">
      <c r="A165" s="150">
        <v>165</v>
      </c>
      <c r="B165" s="20" t="s">
        <v>1178</v>
      </c>
      <c r="C165" s="23"/>
      <c r="D165" s="22" t="s">
        <v>1485</v>
      </c>
      <c r="E165" s="22" t="s">
        <v>1485</v>
      </c>
      <c r="F165" s="22" t="s">
        <v>1485</v>
      </c>
      <c r="G165" s="22" t="s">
        <v>1485</v>
      </c>
      <c r="H165" s="22" t="s">
        <v>1485</v>
      </c>
      <c r="I165" s="22" t="s">
        <v>1485</v>
      </c>
      <c r="J165" s="22" t="s">
        <v>1485</v>
      </c>
      <c r="K165" s="22" t="s">
        <v>1177</v>
      </c>
      <c r="L165" s="142" t="s">
        <v>1485</v>
      </c>
      <c r="M165" s="142" t="s">
        <v>1177</v>
      </c>
      <c r="N165" s="25"/>
      <c r="O165" s="25"/>
      <c r="P165" s="25"/>
      <c r="Q165" s="153"/>
    </row>
    <row r="166" spans="1:17" x14ac:dyDescent="0.3">
      <c r="A166" s="150">
        <v>166</v>
      </c>
      <c r="B166" s="20" t="s">
        <v>1182</v>
      </c>
      <c r="C166" s="23"/>
      <c r="D166" s="22" t="s">
        <v>1485</v>
      </c>
      <c r="E166" s="22" t="s">
        <v>1485</v>
      </c>
      <c r="F166" s="22" t="s">
        <v>1485</v>
      </c>
      <c r="G166" s="22" t="s">
        <v>1485</v>
      </c>
      <c r="H166" s="22" t="s">
        <v>1485</v>
      </c>
      <c r="I166" s="22" t="s">
        <v>1485</v>
      </c>
      <c r="J166" s="22" t="s">
        <v>1485</v>
      </c>
      <c r="K166" s="22" t="s">
        <v>1181</v>
      </c>
      <c r="L166" s="142" t="s">
        <v>1485</v>
      </c>
      <c r="M166" s="142" t="s">
        <v>1181</v>
      </c>
      <c r="N166" s="25"/>
      <c r="O166" s="25"/>
      <c r="P166" s="25"/>
      <c r="Q166" s="153"/>
    </row>
    <row r="167" spans="1:17" x14ac:dyDescent="0.3">
      <c r="A167" s="150">
        <v>167</v>
      </c>
      <c r="B167" s="20" t="s">
        <v>1186</v>
      </c>
      <c r="C167" s="23"/>
      <c r="D167" s="22" t="s">
        <v>1485</v>
      </c>
      <c r="E167" s="22" t="s">
        <v>1485</v>
      </c>
      <c r="F167" s="22" t="s">
        <v>1485</v>
      </c>
      <c r="G167" s="22" t="s">
        <v>1485</v>
      </c>
      <c r="H167" s="22" t="s">
        <v>1485</v>
      </c>
      <c r="I167" s="22" t="s">
        <v>1485</v>
      </c>
      <c r="J167" s="22" t="s">
        <v>1485</v>
      </c>
      <c r="K167" s="22" t="s">
        <v>1185</v>
      </c>
      <c r="L167" s="142" t="s">
        <v>1485</v>
      </c>
      <c r="M167" s="142" t="s">
        <v>1185</v>
      </c>
      <c r="N167" s="25"/>
      <c r="O167" s="25"/>
      <c r="P167" s="25"/>
      <c r="Q167" s="153"/>
    </row>
    <row r="168" spans="1:17" x14ac:dyDescent="0.3">
      <c r="A168" s="150">
        <v>168</v>
      </c>
      <c r="B168" s="20" t="s">
        <v>1190</v>
      </c>
      <c r="C168" s="23"/>
      <c r="D168" s="22" t="s">
        <v>1485</v>
      </c>
      <c r="E168" s="22" t="s">
        <v>1485</v>
      </c>
      <c r="F168" s="22" t="s">
        <v>1485</v>
      </c>
      <c r="G168" s="22" t="s">
        <v>1485</v>
      </c>
      <c r="H168" s="22" t="s">
        <v>1485</v>
      </c>
      <c r="I168" s="22" t="s">
        <v>1485</v>
      </c>
      <c r="J168" s="22" t="s">
        <v>1485</v>
      </c>
      <c r="K168" s="22" t="s">
        <v>1189</v>
      </c>
      <c r="L168" s="142" t="s">
        <v>1485</v>
      </c>
      <c r="M168" s="142" t="s">
        <v>1189</v>
      </c>
      <c r="N168" s="25"/>
      <c r="O168" s="25"/>
      <c r="P168" s="25"/>
      <c r="Q168" s="153"/>
    </row>
    <row r="169" spans="1:17" x14ac:dyDescent="0.3">
      <c r="A169" s="150">
        <v>169</v>
      </c>
      <c r="B169" s="20" t="s">
        <v>1194</v>
      </c>
      <c r="C169" s="23"/>
      <c r="D169" s="22" t="s">
        <v>1485</v>
      </c>
      <c r="E169" s="22" t="s">
        <v>1485</v>
      </c>
      <c r="F169" s="22" t="s">
        <v>1485</v>
      </c>
      <c r="G169" s="22" t="s">
        <v>1485</v>
      </c>
      <c r="H169" s="22" t="s">
        <v>1485</v>
      </c>
      <c r="I169" s="22" t="s">
        <v>1485</v>
      </c>
      <c r="J169" s="22" t="s">
        <v>1485</v>
      </c>
      <c r="K169" s="22" t="s">
        <v>1193</v>
      </c>
      <c r="L169" s="142" t="s">
        <v>1485</v>
      </c>
      <c r="M169" s="142" t="s">
        <v>1193</v>
      </c>
      <c r="N169" s="25"/>
      <c r="O169" s="25"/>
      <c r="P169" s="25"/>
      <c r="Q169" s="153"/>
    </row>
    <row r="170" spans="1:17" x14ac:dyDescent="0.3">
      <c r="A170" s="150">
        <v>170</v>
      </c>
      <c r="B170" s="20" t="s">
        <v>1198</v>
      </c>
      <c r="C170" s="23"/>
      <c r="D170" s="22" t="s">
        <v>1485</v>
      </c>
      <c r="E170" s="22" t="s">
        <v>1485</v>
      </c>
      <c r="F170" s="22" t="s">
        <v>1485</v>
      </c>
      <c r="G170" s="22" t="s">
        <v>1485</v>
      </c>
      <c r="H170" s="22" t="s">
        <v>1485</v>
      </c>
      <c r="I170" s="22" t="s">
        <v>1485</v>
      </c>
      <c r="J170" s="22" t="s">
        <v>1485</v>
      </c>
      <c r="K170" s="22" t="s">
        <v>1197</v>
      </c>
      <c r="L170" s="142" t="s">
        <v>1485</v>
      </c>
      <c r="M170" s="142" t="s">
        <v>1197</v>
      </c>
      <c r="N170" s="25"/>
      <c r="O170" s="25"/>
      <c r="P170" s="25"/>
      <c r="Q170" s="153"/>
    </row>
    <row r="171" spans="1:17" x14ac:dyDescent="0.3">
      <c r="A171" s="150">
        <v>171</v>
      </c>
      <c r="B171" s="20" t="s">
        <v>1202</v>
      </c>
      <c r="C171" s="23"/>
      <c r="D171" s="22" t="s">
        <v>1485</v>
      </c>
      <c r="E171" s="22" t="s">
        <v>1485</v>
      </c>
      <c r="F171" s="22" t="s">
        <v>1485</v>
      </c>
      <c r="G171" s="22" t="s">
        <v>1485</v>
      </c>
      <c r="H171" s="22" t="s">
        <v>1485</v>
      </c>
      <c r="I171" s="22" t="s">
        <v>1485</v>
      </c>
      <c r="J171" s="22" t="s">
        <v>1485</v>
      </c>
      <c r="K171" s="22" t="s">
        <v>1201</v>
      </c>
      <c r="L171" s="142" t="s">
        <v>1485</v>
      </c>
      <c r="M171" s="142" t="s">
        <v>1201</v>
      </c>
      <c r="N171" s="25"/>
      <c r="O171" s="25"/>
      <c r="P171" s="25"/>
      <c r="Q171" s="153"/>
    </row>
    <row r="172" spans="1:17" x14ac:dyDescent="0.3">
      <c r="A172" s="150">
        <v>172</v>
      </c>
      <c r="B172" s="20" t="s">
        <v>1206</v>
      </c>
      <c r="C172" s="23"/>
      <c r="D172" s="22" t="s">
        <v>1485</v>
      </c>
      <c r="E172" s="22" t="s">
        <v>1485</v>
      </c>
      <c r="F172" s="22" t="s">
        <v>1485</v>
      </c>
      <c r="G172" s="22" t="s">
        <v>1485</v>
      </c>
      <c r="H172" s="22" t="s">
        <v>1485</v>
      </c>
      <c r="I172" s="22" t="s">
        <v>1485</v>
      </c>
      <c r="J172" s="22" t="s">
        <v>1485</v>
      </c>
      <c r="K172" s="22" t="s">
        <v>1205</v>
      </c>
      <c r="L172" s="142" t="s">
        <v>1485</v>
      </c>
      <c r="M172" s="142" t="s">
        <v>1205</v>
      </c>
      <c r="N172" s="25"/>
      <c r="O172" s="25"/>
      <c r="P172" s="25"/>
      <c r="Q172" s="153"/>
    </row>
    <row r="173" spans="1:17" x14ac:dyDescent="0.3">
      <c r="A173" s="150">
        <v>173</v>
      </c>
      <c r="B173" s="20" t="s">
        <v>1210</v>
      </c>
      <c r="C173" s="23"/>
      <c r="D173" s="22" t="s">
        <v>1485</v>
      </c>
      <c r="E173" s="22" t="s">
        <v>1485</v>
      </c>
      <c r="F173" s="22" t="s">
        <v>1485</v>
      </c>
      <c r="G173" s="22" t="s">
        <v>1485</v>
      </c>
      <c r="H173" s="22" t="s">
        <v>1485</v>
      </c>
      <c r="I173" s="22" t="s">
        <v>1485</v>
      </c>
      <c r="J173" s="22" t="s">
        <v>1485</v>
      </c>
      <c r="K173" s="22" t="s">
        <v>1209</v>
      </c>
      <c r="L173" s="142" t="s">
        <v>1485</v>
      </c>
      <c r="M173" s="142" t="s">
        <v>1209</v>
      </c>
      <c r="N173" s="25"/>
      <c r="O173" s="25"/>
      <c r="P173" s="25"/>
      <c r="Q173" s="153"/>
    </row>
    <row r="174" spans="1:17" x14ac:dyDescent="0.3">
      <c r="A174" s="150">
        <v>174</v>
      </c>
      <c r="B174" s="20" t="s">
        <v>1214</v>
      </c>
      <c r="C174" s="23"/>
      <c r="D174" s="22" t="s">
        <v>1485</v>
      </c>
      <c r="E174" s="22" t="s">
        <v>1485</v>
      </c>
      <c r="F174" s="22" t="s">
        <v>1485</v>
      </c>
      <c r="G174" s="22" t="s">
        <v>1485</v>
      </c>
      <c r="H174" s="22" t="s">
        <v>1485</v>
      </c>
      <c r="I174" s="22" t="s">
        <v>1485</v>
      </c>
      <c r="J174" s="22" t="s">
        <v>1485</v>
      </c>
      <c r="K174" s="22" t="s">
        <v>1213</v>
      </c>
      <c r="L174" s="142" t="s">
        <v>1485</v>
      </c>
      <c r="M174" s="142" t="s">
        <v>1213</v>
      </c>
      <c r="N174" s="25"/>
      <c r="O174" s="25"/>
      <c r="P174" s="25"/>
      <c r="Q174" s="153"/>
    </row>
    <row r="175" spans="1:17" x14ac:dyDescent="0.3">
      <c r="A175" s="150">
        <v>175</v>
      </c>
      <c r="B175" s="20" t="s">
        <v>1218</v>
      </c>
      <c r="C175" s="23"/>
      <c r="D175" s="22" t="s">
        <v>1485</v>
      </c>
      <c r="E175" s="22" t="s">
        <v>1485</v>
      </c>
      <c r="F175" s="22" t="s">
        <v>1485</v>
      </c>
      <c r="G175" s="22" t="s">
        <v>1485</v>
      </c>
      <c r="H175" s="22" t="s">
        <v>1485</v>
      </c>
      <c r="I175" s="22" t="s">
        <v>1485</v>
      </c>
      <c r="J175" s="22" t="s">
        <v>1485</v>
      </c>
      <c r="K175" s="22" t="s">
        <v>1217</v>
      </c>
      <c r="L175" s="142" t="s">
        <v>1485</v>
      </c>
      <c r="M175" s="142" t="s">
        <v>1217</v>
      </c>
      <c r="N175" s="25"/>
      <c r="O175" s="25"/>
      <c r="P175" s="25"/>
      <c r="Q175" s="153"/>
    </row>
    <row r="176" spans="1:17" x14ac:dyDescent="0.3">
      <c r="A176" s="150">
        <v>176</v>
      </c>
      <c r="B176" s="20" t="s">
        <v>1222</v>
      </c>
      <c r="C176" s="23"/>
      <c r="D176" s="22" t="s">
        <v>1485</v>
      </c>
      <c r="E176" s="22" t="s">
        <v>1485</v>
      </c>
      <c r="F176" s="22" t="s">
        <v>1485</v>
      </c>
      <c r="G176" s="22" t="s">
        <v>1485</v>
      </c>
      <c r="H176" s="22" t="s">
        <v>1485</v>
      </c>
      <c r="I176" s="22" t="s">
        <v>1485</v>
      </c>
      <c r="J176" s="22" t="s">
        <v>1485</v>
      </c>
      <c r="K176" s="22" t="s">
        <v>1221</v>
      </c>
      <c r="L176" s="142" t="s">
        <v>1485</v>
      </c>
      <c r="M176" s="142" t="s">
        <v>1221</v>
      </c>
      <c r="N176" s="25"/>
      <c r="O176" s="25"/>
      <c r="P176" s="25"/>
      <c r="Q176" s="153"/>
    </row>
    <row r="177" spans="1:17" x14ac:dyDescent="0.3">
      <c r="A177" s="150">
        <v>177</v>
      </c>
      <c r="B177" s="20" t="s">
        <v>1226</v>
      </c>
      <c r="C177" s="23"/>
      <c r="D177" s="22" t="s">
        <v>1485</v>
      </c>
      <c r="E177" s="22" t="s">
        <v>1485</v>
      </c>
      <c r="F177" s="22" t="s">
        <v>1485</v>
      </c>
      <c r="G177" s="22" t="s">
        <v>1485</v>
      </c>
      <c r="H177" s="22" t="s">
        <v>1485</v>
      </c>
      <c r="I177" s="22" t="s">
        <v>1485</v>
      </c>
      <c r="J177" s="22" t="s">
        <v>1485</v>
      </c>
      <c r="K177" s="22" t="s">
        <v>1225</v>
      </c>
      <c r="L177" s="142" t="s">
        <v>1485</v>
      </c>
      <c r="M177" s="142" t="s">
        <v>1225</v>
      </c>
      <c r="N177" s="25"/>
      <c r="O177" s="25"/>
      <c r="P177" s="25"/>
      <c r="Q177" s="153"/>
    </row>
    <row r="178" spans="1:17" x14ac:dyDescent="0.3">
      <c r="A178" s="150">
        <v>178</v>
      </c>
      <c r="B178" s="20" t="s">
        <v>1230</v>
      </c>
      <c r="C178" s="23"/>
      <c r="D178" s="22" t="s">
        <v>1485</v>
      </c>
      <c r="E178" s="22" t="s">
        <v>1485</v>
      </c>
      <c r="F178" s="22" t="s">
        <v>1485</v>
      </c>
      <c r="G178" s="22" t="s">
        <v>1485</v>
      </c>
      <c r="H178" s="22" t="s">
        <v>1485</v>
      </c>
      <c r="I178" s="22" t="s">
        <v>1485</v>
      </c>
      <c r="J178" s="22" t="s">
        <v>1485</v>
      </c>
      <c r="K178" s="22" t="s">
        <v>1229</v>
      </c>
      <c r="L178" s="142" t="s">
        <v>1485</v>
      </c>
      <c r="M178" s="142" t="s">
        <v>1229</v>
      </c>
      <c r="N178" s="25"/>
      <c r="O178" s="25"/>
      <c r="P178" s="25"/>
      <c r="Q178" s="153"/>
    </row>
    <row r="179" spans="1:17" x14ac:dyDescent="0.3">
      <c r="A179" s="150">
        <v>179</v>
      </c>
      <c r="B179" s="20" t="s">
        <v>1234</v>
      </c>
      <c r="C179" s="23"/>
      <c r="D179" s="22" t="s">
        <v>1485</v>
      </c>
      <c r="E179" s="22" t="s">
        <v>1485</v>
      </c>
      <c r="F179" s="22" t="s">
        <v>1485</v>
      </c>
      <c r="G179" s="22" t="s">
        <v>1485</v>
      </c>
      <c r="H179" s="22" t="s">
        <v>1485</v>
      </c>
      <c r="I179" s="22" t="s">
        <v>1485</v>
      </c>
      <c r="J179" s="22" t="s">
        <v>1485</v>
      </c>
      <c r="K179" s="22" t="s">
        <v>1233</v>
      </c>
      <c r="L179" s="142" t="s">
        <v>1485</v>
      </c>
      <c r="M179" s="142" t="s">
        <v>1233</v>
      </c>
      <c r="N179" s="25"/>
      <c r="O179" s="25"/>
      <c r="P179" s="25"/>
      <c r="Q179" s="153"/>
    </row>
    <row r="180" spans="1:17" x14ac:dyDescent="0.3">
      <c r="A180" s="150">
        <v>180</v>
      </c>
      <c r="B180" s="20" t="s">
        <v>1238</v>
      </c>
      <c r="C180" s="23"/>
      <c r="D180" s="22" t="s">
        <v>1485</v>
      </c>
      <c r="E180" s="22" t="s">
        <v>1485</v>
      </c>
      <c r="F180" s="22" t="s">
        <v>1485</v>
      </c>
      <c r="G180" s="22" t="s">
        <v>1485</v>
      </c>
      <c r="H180" s="22" t="s">
        <v>1485</v>
      </c>
      <c r="I180" s="22" t="s">
        <v>1485</v>
      </c>
      <c r="J180" s="22" t="s">
        <v>1485</v>
      </c>
      <c r="K180" s="22" t="s">
        <v>1237</v>
      </c>
      <c r="L180" s="142" t="s">
        <v>1485</v>
      </c>
      <c r="M180" s="142" t="s">
        <v>1237</v>
      </c>
      <c r="N180" s="25"/>
      <c r="O180" s="25"/>
      <c r="P180" s="25"/>
      <c r="Q180" s="153"/>
    </row>
    <row r="181" spans="1:17" x14ac:dyDescent="0.3">
      <c r="A181" s="150">
        <v>181</v>
      </c>
      <c r="B181" s="20" t="s">
        <v>1242</v>
      </c>
      <c r="C181" s="23"/>
      <c r="D181" s="22" t="s">
        <v>1485</v>
      </c>
      <c r="E181" s="22" t="s">
        <v>1485</v>
      </c>
      <c r="F181" s="22" t="s">
        <v>1485</v>
      </c>
      <c r="G181" s="22" t="s">
        <v>1485</v>
      </c>
      <c r="H181" s="22" t="s">
        <v>1485</v>
      </c>
      <c r="I181" s="22" t="s">
        <v>1485</v>
      </c>
      <c r="J181" s="22" t="s">
        <v>1485</v>
      </c>
      <c r="K181" s="22" t="s">
        <v>1241</v>
      </c>
      <c r="L181" s="142" t="s">
        <v>1485</v>
      </c>
      <c r="M181" s="142" t="s">
        <v>1241</v>
      </c>
      <c r="N181" s="25"/>
      <c r="O181" s="25"/>
      <c r="P181" s="25"/>
      <c r="Q181" s="153"/>
    </row>
    <row r="182" spans="1:17" x14ac:dyDescent="0.3">
      <c r="A182" s="150">
        <v>182</v>
      </c>
      <c r="B182" s="20" t="s">
        <v>1246</v>
      </c>
      <c r="C182" s="23"/>
      <c r="D182" s="22" t="s">
        <v>1485</v>
      </c>
      <c r="E182" s="22" t="s">
        <v>1485</v>
      </c>
      <c r="F182" s="22" t="s">
        <v>1485</v>
      </c>
      <c r="G182" s="22" t="s">
        <v>1485</v>
      </c>
      <c r="H182" s="22" t="s">
        <v>1485</v>
      </c>
      <c r="I182" s="22" t="s">
        <v>1485</v>
      </c>
      <c r="J182" s="22" t="s">
        <v>1485</v>
      </c>
      <c r="K182" s="22" t="s">
        <v>1245</v>
      </c>
      <c r="L182" s="142" t="s">
        <v>1485</v>
      </c>
      <c r="M182" s="142" t="s">
        <v>1245</v>
      </c>
      <c r="N182" s="25"/>
      <c r="O182" s="25"/>
      <c r="P182" s="25"/>
      <c r="Q182" s="153"/>
    </row>
    <row r="183" spans="1:17" x14ac:dyDescent="0.3">
      <c r="A183" s="150">
        <v>183</v>
      </c>
      <c r="B183" s="20" t="s">
        <v>1250</v>
      </c>
      <c r="C183" s="23"/>
      <c r="D183" s="22" t="s">
        <v>1485</v>
      </c>
      <c r="E183" s="22" t="s">
        <v>1485</v>
      </c>
      <c r="F183" s="22" t="s">
        <v>1485</v>
      </c>
      <c r="G183" s="22" t="s">
        <v>1485</v>
      </c>
      <c r="H183" s="22" t="s">
        <v>1485</v>
      </c>
      <c r="I183" s="22" t="s">
        <v>1485</v>
      </c>
      <c r="J183" s="22" t="s">
        <v>1485</v>
      </c>
      <c r="K183" s="22" t="s">
        <v>1249</v>
      </c>
      <c r="L183" s="142" t="s">
        <v>1485</v>
      </c>
      <c r="M183" s="142" t="s">
        <v>1249</v>
      </c>
      <c r="N183" s="25"/>
      <c r="O183" s="25"/>
      <c r="P183" s="25"/>
      <c r="Q183" s="153"/>
    </row>
    <row r="184" spans="1:17" x14ac:dyDescent="0.3">
      <c r="A184" s="150">
        <v>184</v>
      </c>
      <c r="B184" s="20" t="s">
        <v>1254</v>
      </c>
      <c r="C184" s="23"/>
      <c r="D184" s="22" t="s">
        <v>1485</v>
      </c>
      <c r="E184" s="22" t="s">
        <v>1485</v>
      </c>
      <c r="F184" s="22" t="s">
        <v>1485</v>
      </c>
      <c r="G184" s="22" t="s">
        <v>1485</v>
      </c>
      <c r="H184" s="22" t="s">
        <v>1485</v>
      </c>
      <c r="I184" s="22" t="s">
        <v>1485</v>
      </c>
      <c r="J184" s="22" t="s">
        <v>1485</v>
      </c>
      <c r="K184" s="22" t="s">
        <v>1253</v>
      </c>
      <c r="L184" s="142" t="s">
        <v>1485</v>
      </c>
      <c r="M184" s="142" t="s">
        <v>1253</v>
      </c>
      <c r="N184" s="25"/>
      <c r="O184" s="25"/>
      <c r="P184" s="25"/>
      <c r="Q184" s="153"/>
    </row>
    <row r="185" spans="1:17" x14ac:dyDescent="0.3">
      <c r="A185" s="150">
        <v>185</v>
      </c>
      <c r="B185" s="20" t="s">
        <v>1258</v>
      </c>
      <c r="C185" s="23"/>
      <c r="D185" s="22" t="s">
        <v>1485</v>
      </c>
      <c r="E185" s="22" t="s">
        <v>1485</v>
      </c>
      <c r="F185" s="22" t="s">
        <v>1485</v>
      </c>
      <c r="G185" s="22" t="s">
        <v>1485</v>
      </c>
      <c r="H185" s="22" t="s">
        <v>1485</v>
      </c>
      <c r="I185" s="22" t="s">
        <v>1485</v>
      </c>
      <c r="J185" s="22" t="s">
        <v>1485</v>
      </c>
      <c r="K185" s="22" t="s">
        <v>1257</v>
      </c>
      <c r="L185" s="142" t="s">
        <v>1485</v>
      </c>
      <c r="M185" s="142" t="s">
        <v>1257</v>
      </c>
      <c r="N185" s="25"/>
      <c r="O185" s="25"/>
      <c r="P185" s="25"/>
      <c r="Q185" s="153"/>
    </row>
    <row r="186" spans="1:17" x14ac:dyDescent="0.3">
      <c r="A186" s="150">
        <v>186</v>
      </c>
      <c r="B186" s="20" t="s">
        <v>1262</v>
      </c>
      <c r="C186" s="23"/>
      <c r="D186" s="22" t="s">
        <v>1485</v>
      </c>
      <c r="E186" s="22" t="s">
        <v>1485</v>
      </c>
      <c r="F186" s="22" t="s">
        <v>1485</v>
      </c>
      <c r="G186" s="22" t="s">
        <v>1485</v>
      </c>
      <c r="H186" s="22" t="s">
        <v>1485</v>
      </c>
      <c r="I186" s="22" t="s">
        <v>1485</v>
      </c>
      <c r="J186" s="22" t="s">
        <v>1485</v>
      </c>
      <c r="K186" s="22" t="s">
        <v>1261</v>
      </c>
      <c r="L186" s="142" t="s">
        <v>1485</v>
      </c>
      <c r="M186" s="142" t="s">
        <v>1261</v>
      </c>
      <c r="N186" s="25"/>
      <c r="O186" s="25"/>
      <c r="P186" s="25"/>
      <c r="Q186" s="153"/>
    </row>
    <row r="187" spans="1:17" x14ac:dyDescent="0.3">
      <c r="A187" s="150">
        <v>187</v>
      </c>
      <c r="B187" s="20" t="s">
        <v>1266</v>
      </c>
      <c r="C187" s="23"/>
      <c r="D187" s="22" t="s">
        <v>1485</v>
      </c>
      <c r="E187" s="22" t="s">
        <v>1485</v>
      </c>
      <c r="F187" s="22" t="s">
        <v>1485</v>
      </c>
      <c r="G187" s="22" t="s">
        <v>1485</v>
      </c>
      <c r="H187" s="22" t="s">
        <v>1485</v>
      </c>
      <c r="I187" s="22" t="s">
        <v>1485</v>
      </c>
      <c r="J187" s="22" t="s">
        <v>1485</v>
      </c>
      <c r="K187" s="22" t="s">
        <v>1265</v>
      </c>
      <c r="L187" s="142" t="s">
        <v>1485</v>
      </c>
      <c r="M187" s="142" t="s">
        <v>1265</v>
      </c>
      <c r="N187" s="25"/>
      <c r="O187" s="25"/>
      <c r="P187" s="25"/>
      <c r="Q187" s="153"/>
    </row>
    <row r="188" spans="1:17" x14ac:dyDescent="0.3">
      <c r="A188" s="150">
        <v>188</v>
      </c>
      <c r="B188" s="20" t="s">
        <v>1270</v>
      </c>
      <c r="C188" s="23"/>
      <c r="D188" s="22" t="s">
        <v>1485</v>
      </c>
      <c r="E188" s="22" t="s">
        <v>1485</v>
      </c>
      <c r="F188" s="22" t="s">
        <v>1485</v>
      </c>
      <c r="G188" s="22" t="s">
        <v>1485</v>
      </c>
      <c r="H188" s="22" t="s">
        <v>1485</v>
      </c>
      <c r="I188" s="22" t="s">
        <v>1485</v>
      </c>
      <c r="J188" s="22" t="s">
        <v>1485</v>
      </c>
      <c r="K188" s="22" t="s">
        <v>1269</v>
      </c>
      <c r="L188" s="142" t="s">
        <v>1485</v>
      </c>
      <c r="M188" s="142" t="s">
        <v>1269</v>
      </c>
      <c r="N188" s="25"/>
      <c r="O188" s="25"/>
      <c r="P188" s="25"/>
      <c r="Q188" s="153"/>
    </row>
    <row r="189" spans="1:17" x14ac:dyDescent="0.3">
      <c r="A189" s="150">
        <v>189</v>
      </c>
      <c r="B189" s="20" t="s">
        <v>1275</v>
      </c>
      <c r="C189" s="23"/>
      <c r="D189" s="22" t="s">
        <v>1485</v>
      </c>
      <c r="E189" s="22" t="s">
        <v>1485</v>
      </c>
      <c r="F189" s="22" t="s">
        <v>1485</v>
      </c>
      <c r="G189" s="22" t="s">
        <v>1485</v>
      </c>
      <c r="H189" s="22" t="s">
        <v>1485</v>
      </c>
      <c r="I189" s="22" t="s">
        <v>1485</v>
      </c>
      <c r="J189" s="22" t="s">
        <v>1485</v>
      </c>
      <c r="K189" s="22" t="s">
        <v>1274</v>
      </c>
      <c r="L189" s="142" t="s">
        <v>1485</v>
      </c>
      <c r="M189" s="142" t="s">
        <v>1274</v>
      </c>
      <c r="N189" s="25"/>
      <c r="O189" s="25"/>
      <c r="P189" s="25"/>
      <c r="Q189" s="153"/>
    </row>
    <row r="190" spans="1:17" x14ac:dyDescent="0.3">
      <c r="A190" s="150">
        <v>190</v>
      </c>
      <c r="B190" s="20" t="s">
        <v>1279</v>
      </c>
      <c r="C190" s="23"/>
      <c r="D190" s="22" t="s">
        <v>1485</v>
      </c>
      <c r="E190" s="22" t="s">
        <v>1485</v>
      </c>
      <c r="F190" s="22" t="s">
        <v>1485</v>
      </c>
      <c r="G190" s="22" t="s">
        <v>1485</v>
      </c>
      <c r="H190" s="22" t="s">
        <v>1485</v>
      </c>
      <c r="I190" s="22" t="s">
        <v>1485</v>
      </c>
      <c r="J190" s="22" t="s">
        <v>1485</v>
      </c>
      <c r="K190" s="22" t="s">
        <v>1278</v>
      </c>
      <c r="L190" s="142" t="s">
        <v>1485</v>
      </c>
      <c r="M190" s="142" t="s">
        <v>1278</v>
      </c>
      <c r="N190" s="25"/>
      <c r="O190" s="25"/>
      <c r="P190" s="25"/>
      <c r="Q190" s="153"/>
    </row>
    <row r="191" spans="1:17" x14ac:dyDescent="0.3">
      <c r="A191" s="150">
        <v>191</v>
      </c>
      <c r="B191" s="20" t="s">
        <v>1283</v>
      </c>
      <c r="C191" s="23"/>
      <c r="D191" s="22" t="s">
        <v>1485</v>
      </c>
      <c r="E191" s="22" t="s">
        <v>1485</v>
      </c>
      <c r="F191" s="22" t="s">
        <v>1485</v>
      </c>
      <c r="G191" s="22" t="s">
        <v>1485</v>
      </c>
      <c r="H191" s="22" t="s">
        <v>1485</v>
      </c>
      <c r="I191" s="22" t="s">
        <v>1485</v>
      </c>
      <c r="J191" s="22" t="s">
        <v>1485</v>
      </c>
      <c r="K191" s="22" t="s">
        <v>1282</v>
      </c>
      <c r="L191" s="142" t="s">
        <v>1485</v>
      </c>
      <c r="M191" s="142" t="s">
        <v>1282</v>
      </c>
      <c r="N191" s="25"/>
      <c r="O191" s="25"/>
      <c r="P191" s="25"/>
      <c r="Q191" s="153"/>
    </row>
    <row r="192" spans="1:17" x14ac:dyDescent="0.3">
      <c r="A192" s="150">
        <v>192</v>
      </c>
      <c r="B192" s="20" t="s">
        <v>1287</v>
      </c>
      <c r="C192" s="23"/>
      <c r="D192" s="22" t="s">
        <v>1485</v>
      </c>
      <c r="E192" s="22" t="s">
        <v>1485</v>
      </c>
      <c r="F192" s="22" t="s">
        <v>1485</v>
      </c>
      <c r="G192" s="22" t="s">
        <v>1485</v>
      </c>
      <c r="H192" s="22" t="s">
        <v>1485</v>
      </c>
      <c r="I192" s="22" t="s">
        <v>1485</v>
      </c>
      <c r="J192" s="22" t="s">
        <v>1485</v>
      </c>
      <c r="K192" s="22" t="s">
        <v>1286</v>
      </c>
      <c r="L192" s="142" t="s">
        <v>1485</v>
      </c>
      <c r="M192" s="142" t="s">
        <v>1286</v>
      </c>
      <c r="N192" s="25"/>
      <c r="O192" s="25"/>
      <c r="P192" s="25"/>
      <c r="Q192" s="153"/>
    </row>
    <row r="193" spans="1:17" x14ac:dyDescent="0.3">
      <c r="A193" s="150">
        <v>193</v>
      </c>
      <c r="B193" s="20" t="s">
        <v>1291</v>
      </c>
      <c r="C193" s="23"/>
      <c r="D193" s="22" t="s">
        <v>1485</v>
      </c>
      <c r="E193" s="22" t="s">
        <v>1485</v>
      </c>
      <c r="F193" s="22" t="s">
        <v>1485</v>
      </c>
      <c r="G193" s="22" t="s">
        <v>1485</v>
      </c>
      <c r="H193" s="22" t="s">
        <v>1485</v>
      </c>
      <c r="I193" s="22" t="s">
        <v>1485</v>
      </c>
      <c r="J193" s="22" t="s">
        <v>1485</v>
      </c>
      <c r="K193" s="22" t="s">
        <v>1290</v>
      </c>
      <c r="L193" s="142" t="s">
        <v>1485</v>
      </c>
      <c r="M193" s="142" t="s">
        <v>1290</v>
      </c>
      <c r="N193" s="25"/>
      <c r="O193" s="25"/>
      <c r="P193" s="25"/>
      <c r="Q193" s="153"/>
    </row>
    <row r="194" spans="1:17" x14ac:dyDescent="0.3">
      <c r="A194" s="150">
        <v>194</v>
      </c>
      <c r="B194" s="20" t="s">
        <v>1295</v>
      </c>
      <c r="C194" s="23"/>
      <c r="D194" s="22" t="s">
        <v>1485</v>
      </c>
      <c r="E194" s="22" t="s">
        <v>1485</v>
      </c>
      <c r="F194" s="22" t="s">
        <v>1485</v>
      </c>
      <c r="G194" s="22" t="s">
        <v>1485</v>
      </c>
      <c r="H194" s="22" t="s">
        <v>1485</v>
      </c>
      <c r="I194" s="22" t="s">
        <v>1485</v>
      </c>
      <c r="J194" s="22" t="s">
        <v>1485</v>
      </c>
      <c r="K194" s="22" t="s">
        <v>1294</v>
      </c>
      <c r="L194" s="142" t="s">
        <v>1485</v>
      </c>
      <c r="M194" s="142" t="s">
        <v>1294</v>
      </c>
      <c r="N194" s="25"/>
      <c r="O194" s="25"/>
      <c r="P194" s="25"/>
      <c r="Q194" s="153"/>
    </row>
    <row r="195" spans="1:17" x14ac:dyDescent="0.3">
      <c r="A195" s="150">
        <v>195</v>
      </c>
      <c r="B195" s="20" t="s">
        <v>1299</v>
      </c>
      <c r="C195" s="23"/>
      <c r="D195" s="22" t="s">
        <v>1485</v>
      </c>
      <c r="E195" s="22" t="s">
        <v>1485</v>
      </c>
      <c r="F195" s="22" t="s">
        <v>1485</v>
      </c>
      <c r="G195" s="22" t="s">
        <v>1485</v>
      </c>
      <c r="H195" s="22" t="s">
        <v>1485</v>
      </c>
      <c r="I195" s="22" t="s">
        <v>1485</v>
      </c>
      <c r="J195" s="22" t="s">
        <v>1485</v>
      </c>
      <c r="K195" s="22" t="s">
        <v>1298</v>
      </c>
      <c r="L195" s="142" t="s">
        <v>1485</v>
      </c>
      <c r="M195" s="142" t="s">
        <v>1298</v>
      </c>
      <c r="N195" s="25"/>
      <c r="O195" s="25"/>
      <c r="P195" s="25"/>
      <c r="Q195" s="153"/>
    </row>
    <row r="196" spans="1:17" x14ac:dyDescent="0.3">
      <c r="A196" s="150">
        <v>196</v>
      </c>
      <c r="B196" s="20" t="s">
        <v>1303</v>
      </c>
      <c r="C196" s="23"/>
      <c r="D196" s="22" t="s">
        <v>1485</v>
      </c>
      <c r="E196" s="22" t="s">
        <v>1485</v>
      </c>
      <c r="F196" s="22" t="s">
        <v>1485</v>
      </c>
      <c r="G196" s="22" t="s">
        <v>1485</v>
      </c>
      <c r="H196" s="22" t="s">
        <v>1485</v>
      </c>
      <c r="I196" s="22" t="s">
        <v>1485</v>
      </c>
      <c r="J196" s="22" t="s">
        <v>1485</v>
      </c>
      <c r="K196" s="22" t="s">
        <v>1302</v>
      </c>
      <c r="L196" s="142" t="s">
        <v>1485</v>
      </c>
      <c r="M196" s="142" t="s">
        <v>1302</v>
      </c>
      <c r="N196" s="25"/>
      <c r="O196" s="25"/>
      <c r="P196" s="25"/>
      <c r="Q196" s="153"/>
    </row>
    <row r="197" spans="1:17" x14ac:dyDescent="0.3">
      <c r="A197" s="150">
        <v>197</v>
      </c>
      <c r="B197" s="20" t="s">
        <v>1307</v>
      </c>
      <c r="C197" s="23"/>
      <c r="D197" s="22" t="s">
        <v>1485</v>
      </c>
      <c r="E197" s="22" t="s">
        <v>1485</v>
      </c>
      <c r="F197" s="22" t="s">
        <v>1485</v>
      </c>
      <c r="G197" s="22" t="s">
        <v>1485</v>
      </c>
      <c r="H197" s="22" t="s">
        <v>1485</v>
      </c>
      <c r="I197" s="22" t="s">
        <v>1485</v>
      </c>
      <c r="J197" s="22" t="s">
        <v>1485</v>
      </c>
      <c r="K197" s="22" t="s">
        <v>1306</v>
      </c>
      <c r="L197" s="142" t="s">
        <v>1485</v>
      </c>
      <c r="M197" s="142" t="s">
        <v>1306</v>
      </c>
      <c r="N197" s="25"/>
      <c r="O197" s="25"/>
      <c r="P197" s="25"/>
      <c r="Q197" s="153"/>
    </row>
    <row r="198" spans="1:17" x14ac:dyDescent="0.3">
      <c r="A198" s="150">
        <v>198</v>
      </c>
      <c r="B198" s="20" t="s">
        <v>1311</v>
      </c>
      <c r="C198" s="23"/>
      <c r="D198" s="22" t="s">
        <v>1485</v>
      </c>
      <c r="E198" s="22" t="s">
        <v>1485</v>
      </c>
      <c r="F198" s="22" t="s">
        <v>1485</v>
      </c>
      <c r="G198" s="22" t="s">
        <v>1485</v>
      </c>
      <c r="H198" s="22" t="s">
        <v>1485</v>
      </c>
      <c r="I198" s="22" t="s">
        <v>1485</v>
      </c>
      <c r="J198" s="22" t="s">
        <v>1485</v>
      </c>
      <c r="K198" s="22" t="s">
        <v>1310</v>
      </c>
      <c r="L198" s="142" t="s">
        <v>1485</v>
      </c>
      <c r="M198" s="142" t="s">
        <v>1310</v>
      </c>
      <c r="N198" s="25"/>
      <c r="O198" s="25"/>
      <c r="P198" s="25"/>
      <c r="Q198" s="153"/>
    </row>
    <row r="199" spans="1:17" x14ac:dyDescent="0.3">
      <c r="A199" s="150">
        <v>199</v>
      </c>
      <c r="B199" s="20" t="s">
        <v>1315</v>
      </c>
      <c r="C199" s="23"/>
      <c r="D199" s="22" t="s">
        <v>1485</v>
      </c>
      <c r="E199" s="22" t="s">
        <v>1485</v>
      </c>
      <c r="F199" s="22" t="s">
        <v>1485</v>
      </c>
      <c r="G199" s="22" t="s">
        <v>1485</v>
      </c>
      <c r="H199" s="22" t="s">
        <v>1485</v>
      </c>
      <c r="I199" s="22" t="s">
        <v>1485</v>
      </c>
      <c r="J199" s="22" t="s">
        <v>1485</v>
      </c>
      <c r="K199" s="22" t="s">
        <v>1314</v>
      </c>
      <c r="L199" s="142" t="s">
        <v>1485</v>
      </c>
      <c r="M199" s="142" t="s">
        <v>1314</v>
      </c>
      <c r="N199" s="25"/>
      <c r="O199" s="25"/>
      <c r="P199" s="25"/>
      <c r="Q199" s="153"/>
    </row>
    <row r="200" spans="1:17" x14ac:dyDescent="0.3">
      <c r="A200" s="150">
        <v>200</v>
      </c>
      <c r="B200" s="20" t="s">
        <v>1319</v>
      </c>
      <c r="C200" s="23"/>
      <c r="D200" s="22" t="s">
        <v>1485</v>
      </c>
      <c r="E200" s="22" t="s">
        <v>1485</v>
      </c>
      <c r="F200" s="22" t="s">
        <v>1485</v>
      </c>
      <c r="G200" s="22" t="s">
        <v>1485</v>
      </c>
      <c r="H200" s="22" t="s">
        <v>1485</v>
      </c>
      <c r="I200" s="22" t="s">
        <v>1485</v>
      </c>
      <c r="J200" s="22" t="s">
        <v>1485</v>
      </c>
      <c r="K200" s="22" t="s">
        <v>1318</v>
      </c>
      <c r="L200" s="142" t="s">
        <v>1485</v>
      </c>
      <c r="M200" s="142" t="s">
        <v>1318</v>
      </c>
      <c r="N200" s="25"/>
      <c r="O200" s="25"/>
      <c r="P200" s="25"/>
      <c r="Q200" s="153"/>
    </row>
    <row r="201" spans="1:17" x14ac:dyDescent="0.3">
      <c r="A201" s="150">
        <v>201</v>
      </c>
      <c r="B201" s="20" t="s">
        <v>1323</v>
      </c>
      <c r="C201" s="23"/>
      <c r="D201" s="22" t="s">
        <v>1485</v>
      </c>
      <c r="E201" s="22" t="s">
        <v>1485</v>
      </c>
      <c r="F201" s="22" t="s">
        <v>1485</v>
      </c>
      <c r="G201" s="22" t="s">
        <v>1485</v>
      </c>
      <c r="H201" s="22" t="s">
        <v>1485</v>
      </c>
      <c r="I201" s="22" t="s">
        <v>1485</v>
      </c>
      <c r="J201" s="22" t="s">
        <v>1485</v>
      </c>
      <c r="K201" s="22" t="s">
        <v>1322</v>
      </c>
      <c r="L201" s="142" t="s">
        <v>1485</v>
      </c>
      <c r="M201" s="142" t="s">
        <v>1322</v>
      </c>
      <c r="N201" s="25"/>
      <c r="O201" s="25"/>
      <c r="P201" s="25"/>
      <c r="Q201" s="153"/>
    </row>
    <row r="202" spans="1:17" x14ac:dyDescent="0.3">
      <c r="A202" s="150">
        <v>202</v>
      </c>
      <c r="B202" s="20" t="s">
        <v>1327</v>
      </c>
      <c r="C202" s="23"/>
      <c r="D202" s="22" t="s">
        <v>1485</v>
      </c>
      <c r="E202" s="22" t="s">
        <v>1485</v>
      </c>
      <c r="F202" s="22" t="s">
        <v>1485</v>
      </c>
      <c r="G202" s="22" t="s">
        <v>1485</v>
      </c>
      <c r="H202" s="22" t="s">
        <v>1485</v>
      </c>
      <c r="I202" s="22" t="s">
        <v>1485</v>
      </c>
      <c r="J202" s="22" t="s">
        <v>1485</v>
      </c>
      <c r="K202" s="22" t="s">
        <v>1326</v>
      </c>
      <c r="L202" s="142" t="s">
        <v>1485</v>
      </c>
      <c r="M202" s="142" t="s">
        <v>1326</v>
      </c>
      <c r="N202" s="25"/>
      <c r="O202" s="25"/>
      <c r="P202" s="25"/>
      <c r="Q202" s="153"/>
    </row>
    <row r="203" spans="1:17" x14ac:dyDescent="0.3">
      <c r="A203" s="150">
        <v>203</v>
      </c>
      <c r="B203" s="20" t="s">
        <v>1331</v>
      </c>
      <c r="C203" s="23"/>
      <c r="D203" s="22" t="s">
        <v>1485</v>
      </c>
      <c r="E203" s="22" t="s">
        <v>1485</v>
      </c>
      <c r="F203" s="22" t="s">
        <v>1485</v>
      </c>
      <c r="G203" s="22" t="s">
        <v>1485</v>
      </c>
      <c r="H203" s="22" t="s">
        <v>1485</v>
      </c>
      <c r="I203" s="22" t="s">
        <v>1485</v>
      </c>
      <c r="J203" s="22" t="s">
        <v>1485</v>
      </c>
      <c r="K203" s="22" t="s">
        <v>1330</v>
      </c>
      <c r="L203" s="142" t="s">
        <v>1485</v>
      </c>
      <c r="M203" s="142" t="s">
        <v>1330</v>
      </c>
      <c r="N203" s="25"/>
      <c r="O203" s="25"/>
      <c r="P203" s="25"/>
      <c r="Q203" s="153"/>
    </row>
    <row r="204" spans="1:17" x14ac:dyDescent="0.3">
      <c r="A204" s="150">
        <v>204</v>
      </c>
      <c r="B204" s="20" t="s">
        <v>1335</v>
      </c>
      <c r="C204" s="23"/>
      <c r="D204" s="22" t="s">
        <v>1485</v>
      </c>
      <c r="E204" s="22" t="s">
        <v>1485</v>
      </c>
      <c r="F204" s="22" t="s">
        <v>1485</v>
      </c>
      <c r="G204" s="22" t="s">
        <v>1485</v>
      </c>
      <c r="H204" s="22" t="s">
        <v>1485</v>
      </c>
      <c r="I204" s="22" t="s">
        <v>1485</v>
      </c>
      <c r="J204" s="22" t="s">
        <v>1485</v>
      </c>
      <c r="K204" s="22" t="s">
        <v>1334</v>
      </c>
      <c r="L204" s="142" t="s">
        <v>1485</v>
      </c>
      <c r="M204" s="142" t="s">
        <v>1334</v>
      </c>
      <c r="N204" s="25"/>
      <c r="O204" s="25"/>
      <c r="P204" s="25"/>
      <c r="Q204" s="153"/>
    </row>
    <row r="205" spans="1:17" x14ac:dyDescent="0.3">
      <c r="A205" s="150">
        <v>205</v>
      </c>
      <c r="B205" s="20" t="s">
        <v>1339</v>
      </c>
      <c r="C205" s="23"/>
      <c r="D205" s="22" t="s">
        <v>1485</v>
      </c>
      <c r="E205" s="22" t="s">
        <v>1485</v>
      </c>
      <c r="F205" s="22" t="s">
        <v>1485</v>
      </c>
      <c r="G205" s="22" t="s">
        <v>1485</v>
      </c>
      <c r="H205" s="22" t="s">
        <v>1485</v>
      </c>
      <c r="I205" s="22" t="s">
        <v>1485</v>
      </c>
      <c r="J205" s="22" t="s">
        <v>1485</v>
      </c>
      <c r="K205" s="22" t="s">
        <v>1338</v>
      </c>
      <c r="L205" s="142" t="s">
        <v>1485</v>
      </c>
      <c r="M205" s="142" t="s">
        <v>1338</v>
      </c>
      <c r="N205" s="25"/>
      <c r="O205" s="25"/>
      <c r="P205" s="25"/>
      <c r="Q205" s="153"/>
    </row>
    <row r="206" spans="1:17" x14ac:dyDescent="0.3">
      <c r="A206" s="150">
        <v>206</v>
      </c>
      <c r="B206" s="20" t="s">
        <v>1343</v>
      </c>
      <c r="C206" s="23"/>
      <c r="D206" s="22" t="s">
        <v>1485</v>
      </c>
      <c r="E206" s="22" t="s">
        <v>1485</v>
      </c>
      <c r="F206" s="22" t="s">
        <v>1485</v>
      </c>
      <c r="G206" s="22" t="s">
        <v>1485</v>
      </c>
      <c r="H206" s="22" t="s">
        <v>1485</v>
      </c>
      <c r="I206" s="22" t="s">
        <v>1485</v>
      </c>
      <c r="J206" s="22" t="s">
        <v>1485</v>
      </c>
      <c r="K206" s="22" t="s">
        <v>1342</v>
      </c>
      <c r="L206" s="142" t="s">
        <v>1485</v>
      </c>
      <c r="M206" s="142" t="s">
        <v>1342</v>
      </c>
      <c r="N206" s="25"/>
      <c r="O206" s="25"/>
      <c r="P206" s="25"/>
      <c r="Q206" s="153"/>
    </row>
    <row r="207" spans="1:17" x14ac:dyDescent="0.3">
      <c r="A207" s="150">
        <v>207</v>
      </c>
      <c r="B207" s="20" t="s">
        <v>1347</v>
      </c>
      <c r="C207" s="23"/>
      <c r="D207" s="22" t="s">
        <v>1485</v>
      </c>
      <c r="E207" s="22" t="s">
        <v>1485</v>
      </c>
      <c r="F207" s="22" t="s">
        <v>1485</v>
      </c>
      <c r="G207" s="22" t="s">
        <v>1485</v>
      </c>
      <c r="H207" s="22" t="s">
        <v>1485</v>
      </c>
      <c r="I207" s="22" t="s">
        <v>1485</v>
      </c>
      <c r="J207" s="22" t="s">
        <v>1485</v>
      </c>
      <c r="K207" s="22" t="s">
        <v>1346</v>
      </c>
      <c r="L207" s="142" t="s">
        <v>1485</v>
      </c>
      <c r="M207" s="142" t="s">
        <v>1346</v>
      </c>
      <c r="N207" s="25"/>
      <c r="O207" s="25"/>
      <c r="P207" s="25"/>
      <c r="Q207" s="153"/>
    </row>
    <row r="208" spans="1:17" x14ac:dyDescent="0.3">
      <c r="A208" s="150">
        <v>208</v>
      </c>
      <c r="B208" s="20" t="s">
        <v>1351</v>
      </c>
      <c r="C208" s="23"/>
      <c r="D208" s="22" t="s">
        <v>1485</v>
      </c>
      <c r="E208" s="22" t="s">
        <v>1485</v>
      </c>
      <c r="F208" s="22" t="s">
        <v>1485</v>
      </c>
      <c r="G208" s="22" t="s">
        <v>1485</v>
      </c>
      <c r="H208" s="22" t="s">
        <v>1485</v>
      </c>
      <c r="I208" s="22" t="s">
        <v>1485</v>
      </c>
      <c r="J208" s="22" t="s">
        <v>1485</v>
      </c>
      <c r="K208" s="22" t="s">
        <v>1350</v>
      </c>
      <c r="L208" s="142" t="s">
        <v>1485</v>
      </c>
      <c r="M208" s="142" t="s">
        <v>1350</v>
      </c>
      <c r="N208" s="25"/>
      <c r="O208" s="25"/>
      <c r="P208" s="25"/>
      <c r="Q208" s="153"/>
    </row>
    <row r="209" spans="1:17" x14ac:dyDescent="0.3">
      <c r="A209" s="150">
        <v>209</v>
      </c>
      <c r="B209" s="20" t="s">
        <v>1355</v>
      </c>
      <c r="C209" s="23"/>
      <c r="D209" s="22" t="s">
        <v>1485</v>
      </c>
      <c r="E209" s="22" t="s">
        <v>1485</v>
      </c>
      <c r="F209" s="22" t="s">
        <v>1485</v>
      </c>
      <c r="G209" s="22" t="s">
        <v>1485</v>
      </c>
      <c r="H209" s="22" t="s">
        <v>1485</v>
      </c>
      <c r="I209" s="22" t="s">
        <v>1485</v>
      </c>
      <c r="J209" s="22" t="s">
        <v>1485</v>
      </c>
      <c r="K209" s="22" t="s">
        <v>1354</v>
      </c>
      <c r="L209" s="142" t="s">
        <v>1485</v>
      </c>
      <c r="M209" s="142" t="s">
        <v>1354</v>
      </c>
      <c r="N209" s="25"/>
      <c r="O209" s="25"/>
      <c r="P209" s="25"/>
      <c r="Q209" s="153"/>
    </row>
    <row r="210" spans="1:17" x14ac:dyDescent="0.3">
      <c r="A210" s="150">
        <v>210</v>
      </c>
      <c r="B210" s="20" t="s">
        <v>1360</v>
      </c>
      <c r="C210" s="23"/>
      <c r="D210" s="22" t="s">
        <v>1485</v>
      </c>
      <c r="E210" s="22" t="s">
        <v>1485</v>
      </c>
      <c r="F210" s="22" t="s">
        <v>1485</v>
      </c>
      <c r="G210" s="22" t="s">
        <v>1485</v>
      </c>
      <c r="H210" s="22" t="s">
        <v>1485</v>
      </c>
      <c r="I210" s="22" t="s">
        <v>1485</v>
      </c>
      <c r="J210" s="22" t="s">
        <v>1485</v>
      </c>
      <c r="K210" s="22" t="s">
        <v>1359</v>
      </c>
      <c r="L210" s="142" t="s">
        <v>1485</v>
      </c>
      <c r="M210" s="142" t="s">
        <v>1359</v>
      </c>
      <c r="N210" s="25"/>
      <c r="O210" s="25"/>
      <c r="P210" s="25"/>
      <c r="Q210" s="153"/>
    </row>
    <row r="211" spans="1:17" x14ac:dyDescent="0.3">
      <c r="A211" s="150">
        <v>211</v>
      </c>
      <c r="B211" s="20" t="s">
        <v>1365</v>
      </c>
      <c r="C211" s="23"/>
      <c r="D211" s="22" t="s">
        <v>1485</v>
      </c>
      <c r="E211" s="22" t="s">
        <v>1485</v>
      </c>
      <c r="F211" s="22" t="s">
        <v>1485</v>
      </c>
      <c r="G211" s="22" t="s">
        <v>1485</v>
      </c>
      <c r="H211" s="22" t="s">
        <v>1485</v>
      </c>
      <c r="I211" s="22" t="s">
        <v>1485</v>
      </c>
      <c r="J211" s="22" t="s">
        <v>1485</v>
      </c>
      <c r="K211" s="22" t="s">
        <v>1364</v>
      </c>
      <c r="L211" s="142" t="s">
        <v>1485</v>
      </c>
      <c r="M211" s="142" t="s">
        <v>1364</v>
      </c>
      <c r="N211" s="25"/>
      <c r="O211" s="25"/>
      <c r="P211" s="25"/>
      <c r="Q211" s="153"/>
    </row>
    <row r="212" spans="1:17" x14ac:dyDescent="0.3">
      <c r="A212" s="150">
        <v>212</v>
      </c>
      <c r="B212" s="20" t="s">
        <v>1370</v>
      </c>
      <c r="C212" s="23"/>
      <c r="D212" s="22" t="s">
        <v>1485</v>
      </c>
      <c r="E212" s="22" t="s">
        <v>1485</v>
      </c>
      <c r="F212" s="22" t="s">
        <v>1485</v>
      </c>
      <c r="G212" s="22" t="s">
        <v>1485</v>
      </c>
      <c r="H212" s="22" t="s">
        <v>1485</v>
      </c>
      <c r="I212" s="22" t="s">
        <v>1485</v>
      </c>
      <c r="J212" s="22" t="s">
        <v>1485</v>
      </c>
      <c r="K212" s="22" t="s">
        <v>1369</v>
      </c>
      <c r="L212" s="142" t="s">
        <v>1485</v>
      </c>
      <c r="M212" s="142" t="s">
        <v>1369</v>
      </c>
      <c r="N212" s="25"/>
      <c r="O212" s="25"/>
      <c r="P212" s="25"/>
      <c r="Q212" s="153"/>
    </row>
    <row r="213" spans="1:17" x14ac:dyDescent="0.3">
      <c r="A213" s="150">
        <v>213</v>
      </c>
      <c r="B213" s="20" t="s">
        <v>1375</v>
      </c>
      <c r="C213" s="23"/>
      <c r="D213" s="22" t="s">
        <v>1485</v>
      </c>
      <c r="E213" s="22" t="s">
        <v>1485</v>
      </c>
      <c r="F213" s="22" t="s">
        <v>1485</v>
      </c>
      <c r="G213" s="22" t="s">
        <v>1485</v>
      </c>
      <c r="H213" s="22" t="s">
        <v>1485</v>
      </c>
      <c r="I213" s="22" t="s">
        <v>1485</v>
      </c>
      <c r="J213" s="22" t="s">
        <v>1485</v>
      </c>
      <c r="K213" s="22" t="s">
        <v>1374</v>
      </c>
      <c r="L213" s="142" t="s">
        <v>1485</v>
      </c>
      <c r="M213" s="142" t="s">
        <v>1374</v>
      </c>
      <c r="N213" s="25"/>
      <c r="O213" s="25"/>
      <c r="P213" s="25"/>
      <c r="Q213" s="153"/>
    </row>
    <row r="214" spans="1:17" x14ac:dyDescent="0.3">
      <c r="A214" s="150">
        <v>214</v>
      </c>
      <c r="B214" s="20" t="s">
        <v>1380</v>
      </c>
      <c r="C214" s="23"/>
      <c r="D214" s="22" t="s">
        <v>1485</v>
      </c>
      <c r="E214" s="22" t="s">
        <v>1485</v>
      </c>
      <c r="F214" s="22" t="s">
        <v>1485</v>
      </c>
      <c r="G214" s="22" t="s">
        <v>1485</v>
      </c>
      <c r="H214" s="22" t="s">
        <v>1485</v>
      </c>
      <c r="I214" s="22" t="s">
        <v>1485</v>
      </c>
      <c r="J214" s="22" t="s">
        <v>1485</v>
      </c>
      <c r="K214" s="22" t="s">
        <v>1379</v>
      </c>
      <c r="L214" s="142" t="s">
        <v>1485</v>
      </c>
      <c r="M214" s="142" t="s">
        <v>1379</v>
      </c>
      <c r="N214" s="25"/>
      <c r="O214" s="25"/>
      <c r="P214" s="25"/>
      <c r="Q214" s="153"/>
    </row>
    <row r="215" spans="1:17" x14ac:dyDescent="0.3">
      <c r="A215" s="150">
        <v>215</v>
      </c>
      <c r="B215" s="20" t="s">
        <v>1385</v>
      </c>
      <c r="C215" s="23"/>
      <c r="D215" s="22" t="s">
        <v>1485</v>
      </c>
      <c r="E215" s="22" t="s">
        <v>1485</v>
      </c>
      <c r="F215" s="22" t="s">
        <v>1485</v>
      </c>
      <c r="G215" s="22" t="s">
        <v>1485</v>
      </c>
      <c r="H215" s="22" t="s">
        <v>1485</v>
      </c>
      <c r="I215" s="22" t="s">
        <v>1485</v>
      </c>
      <c r="J215" s="22" t="s">
        <v>1485</v>
      </c>
      <c r="K215" s="22" t="s">
        <v>1384</v>
      </c>
      <c r="L215" s="142" t="s">
        <v>1485</v>
      </c>
      <c r="M215" s="142" t="s">
        <v>1384</v>
      </c>
      <c r="N215" s="25"/>
      <c r="O215" s="25"/>
      <c r="P215" s="25"/>
      <c r="Q215" s="153"/>
    </row>
    <row r="216" spans="1:17" x14ac:dyDescent="0.3">
      <c r="A216" s="150">
        <v>216</v>
      </c>
      <c r="B216" s="20" t="s">
        <v>1390</v>
      </c>
      <c r="C216" s="23"/>
      <c r="D216" s="22" t="s">
        <v>1485</v>
      </c>
      <c r="E216" s="22" t="s">
        <v>1485</v>
      </c>
      <c r="F216" s="22" t="s">
        <v>1485</v>
      </c>
      <c r="G216" s="22" t="s">
        <v>1485</v>
      </c>
      <c r="H216" s="22" t="s">
        <v>1485</v>
      </c>
      <c r="I216" s="22" t="s">
        <v>1485</v>
      </c>
      <c r="J216" s="22" t="s">
        <v>1485</v>
      </c>
      <c r="K216" s="22" t="s">
        <v>1389</v>
      </c>
      <c r="L216" s="142" t="s">
        <v>1485</v>
      </c>
      <c r="M216" s="142" t="s">
        <v>1389</v>
      </c>
      <c r="N216" s="25"/>
      <c r="O216" s="25"/>
      <c r="P216" s="25"/>
      <c r="Q216" s="153"/>
    </row>
    <row r="217" spans="1:17" x14ac:dyDescent="0.3">
      <c r="A217" s="150">
        <v>217</v>
      </c>
      <c r="B217" s="20" t="s">
        <v>1395</v>
      </c>
      <c r="C217" s="23"/>
      <c r="D217" s="22" t="s">
        <v>1485</v>
      </c>
      <c r="E217" s="22" t="s">
        <v>1485</v>
      </c>
      <c r="F217" s="22" t="s">
        <v>1485</v>
      </c>
      <c r="G217" s="22" t="s">
        <v>1485</v>
      </c>
      <c r="H217" s="22" t="s">
        <v>1485</v>
      </c>
      <c r="I217" s="22" t="s">
        <v>1485</v>
      </c>
      <c r="J217" s="22" t="s">
        <v>1485</v>
      </c>
      <c r="K217" s="22" t="s">
        <v>1394</v>
      </c>
      <c r="L217" s="142" t="s">
        <v>1485</v>
      </c>
      <c r="M217" s="142" t="s">
        <v>1394</v>
      </c>
      <c r="N217" s="25"/>
      <c r="O217" s="25"/>
      <c r="P217" s="25"/>
      <c r="Q217" s="153"/>
    </row>
    <row r="218" spans="1:17" x14ac:dyDescent="0.3">
      <c r="A218" s="150">
        <v>218</v>
      </c>
      <c r="B218" s="20" t="s">
        <v>1400</v>
      </c>
      <c r="C218" s="23"/>
      <c r="D218" s="22" t="s">
        <v>1485</v>
      </c>
      <c r="E218" s="22" t="s">
        <v>1485</v>
      </c>
      <c r="F218" s="22" t="s">
        <v>1485</v>
      </c>
      <c r="G218" s="22" t="s">
        <v>1485</v>
      </c>
      <c r="H218" s="22" t="s">
        <v>1485</v>
      </c>
      <c r="I218" s="22" t="s">
        <v>1485</v>
      </c>
      <c r="J218" s="22" t="s">
        <v>1485</v>
      </c>
      <c r="K218" s="22" t="s">
        <v>1399</v>
      </c>
      <c r="L218" s="142" t="s">
        <v>1485</v>
      </c>
      <c r="M218" s="142" t="s">
        <v>1399</v>
      </c>
      <c r="N218" s="25"/>
      <c r="O218" s="25"/>
      <c r="P218" s="25"/>
      <c r="Q218" s="153"/>
    </row>
    <row r="219" spans="1:17" x14ac:dyDescent="0.3">
      <c r="A219" s="150">
        <v>219</v>
      </c>
      <c r="B219" s="20" t="s">
        <v>1405</v>
      </c>
      <c r="C219" s="23"/>
      <c r="D219" s="22" t="s">
        <v>1485</v>
      </c>
      <c r="E219" s="22" t="s">
        <v>1485</v>
      </c>
      <c r="F219" s="22" t="s">
        <v>1485</v>
      </c>
      <c r="G219" s="22" t="s">
        <v>1485</v>
      </c>
      <c r="H219" s="22" t="s">
        <v>1485</v>
      </c>
      <c r="I219" s="22" t="s">
        <v>1485</v>
      </c>
      <c r="J219" s="22" t="s">
        <v>1485</v>
      </c>
      <c r="K219" s="22" t="s">
        <v>1404</v>
      </c>
      <c r="L219" s="142" t="s">
        <v>1485</v>
      </c>
      <c r="M219" s="142" t="s">
        <v>1404</v>
      </c>
      <c r="N219" s="25"/>
      <c r="O219" s="25"/>
      <c r="P219" s="25"/>
      <c r="Q219" s="153"/>
    </row>
    <row r="220" spans="1:17" x14ac:dyDescent="0.3">
      <c r="A220" s="150">
        <v>220</v>
      </c>
      <c r="B220" s="20" t="s">
        <v>2615</v>
      </c>
      <c r="C220" s="23"/>
      <c r="D220" s="22" t="s">
        <v>1485</v>
      </c>
      <c r="E220" s="22" t="s">
        <v>1485</v>
      </c>
      <c r="F220" s="22" t="s">
        <v>1485</v>
      </c>
      <c r="G220" s="22" t="s">
        <v>1485</v>
      </c>
      <c r="H220" s="22" t="s">
        <v>1485</v>
      </c>
      <c r="I220" s="22" t="s">
        <v>1485</v>
      </c>
      <c r="J220" s="22" t="s">
        <v>1485</v>
      </c>
      <c r="K220" s="22" t="s">
        <v>1485</v>
      </c>
      <c r="L220" s="22" t="s">
        <v>1485</v>
      </c>
      <c r="M220" s="142" t="s">
        <v>2616</v>
      </c>
      <c r="N220" s="25"/>
      <c r="O220" s="25"/>
      <c r="P220" s="25"/>
      <c r="Q220" s="153"/>
    </row>
    <row r="221" spans="1:17" x14ac:dyDescent="0.3">
      <c r="A221" s="150">
        <v>221</v>
      </c>
      <c r="B221" s="20" t="s">
        <v>2617</v>
      </c>
      <c r="C221" s="23"/>
      <c r="D221" s="22" t="s">
        <v>1485</v>
      </c>
      <c r="E221" s="22" t="s">
        <v>1485</v>
      </c>
      <c r="F221" s="22" t="s">
        <v>1485</v>
      </c>
      <c r="G221" s="22" t="s">
        <v>1485</v>
      </c>
      <c r="H221" s="22" t="s">
        <v>1485</v>
      </c>
      <c r="I221" s="22" t="s">
        <v>1485</v>
      </c>
      <c r="J221" s="22" t="s">
        <v>1485</v>
      </c>
      <c r="K221" s="22" t="s">
        <v>1485</v>
      </c>
      <c r="L221" s="22" t="s">
        <v>1485</v>
      </c>
      <c r="M221" s="142" t="s">
        <v>2618</v>
      </c>
      <c r="N221" s="25"/>
      <c r="O221" s="25"/>
      <c r="P221" s="25"/>
      <c r="Q221" s="153"/>
    </row>
    <row r="222" spans="1:17" x14ac:dyDescent="0.3">
      <c r="A222" s="150">
        <v>222</v>
      </c>
      <c r="B222" s="20" t="s">
        <v>2619</v>
      </c>
      <c r="C222" s="23"/>
      <c r="D222" s="22" t="s">
        <v>1485</v>
      </c>
      <c r="E222" s="22" t="s">
        <v>1485</v>
      </c>
      <c r="F222" s="22" t="s">
        <v>1485</v>
      </c>
      <c r="G222" s="22" t="s">
        <v>1485</v>
      </c>
      <c r="H222" s="22" t="s">
        <v>1485</v>
      </c>
      <c r="I222" s="22" t="s">
        <v>1485</v>
      </c>
      <c r="J222" s="22" t="s">
        <v>1485</v>
      </c>
      <c r="K222" s="22" t="s">
        <v>1485</v>
      </c>
      <c r="L222" s="22" t="s">
        <v>1485</v>
      </c>
      <c r="M222" s="142" t="s">
        <v>2620</v>
      </c>
      <c r="N222" s="144"/>
      <c r="O222" s="144"/>
      <c r="P222" s="144"/>
      <c r="Q222" s="155"/>
    </row>
    <row r="223" spans="1:17" x14ac:dyDescent="0.3">
      <c r="A223" s="150">
        <v>223</v>
      </c>
      <c r="B223" s="20" t="s">
        <v>2621</v>
      </c>
      <c r="C223" s="23"/>
      <c r="D223" s="22" t="s">
        <v>1485</v>
      </c>
      <c r="E223" s="22" t="s">
        <v>1485</v>
      </c>
      <c r="F223" s="22" t="s">
        <v>1485</v>
      </c>
      <c r="G223" s="22" t="s">
        <v>1485</v>
      </c>
      <c r="H223" s="22" t="s">
        <v>1485</v>
      </c>
      <c r="I223" s="22" t="s">
        <v>1485</v>
      </c>
      <c r="J223" s="22" t="s">
        <v>1485</v>
      </c>
      <c r="K223" s="22" t="s">
        <v>1485</v>
      </c>
      <c r="L223" s="22" t="s">
        <v>1485</v>
      </c>
      <c r="M223" s="142" t="s">
        <v>2622</v>
      </c>
      <c r="N223" s="23"/>
      <c r="O223" s="23"/>
      <c r="P223" s="23"/>
      <c r="Q223" s="151"/>
    </row>
    <row r="224" spans="1:17" x14ac:dyDescent="0.3">
      <c r="A224" s="150">
        <v>224</v>
      </c>
      <c r="B224" s="20" t="s">
        <v>2623</v>
      </c>
      <c r="C224" s="23"/>
      <c r="D224" s="22" t="s">
        <v>1485</v>
      </c>
      <c r="E224" s="22" t="s">
        <v>1485</v>
      </c>
      <c r="F224" s="22" t="s">
        <v>1485</v>
      </c>
      <c r="G224" s="22" t="s">
        <v>1485</v>
      </c>
      <c r="H224" s="22" t="s">
        <v>1485</v>
      </c>
      <c r="I224" s="22" t="s">
        <v>1485</v>
      </c>
      <c r="J224" s="22" t="s">
        <v>1485</v>
      </c>
      <c r="K224" s="22" t="s">
        <v>1485</v>
      </c>
      <c r="L224" s="22" t="s">
        <v>1485</v>
      </c>
      <c r="M224" s="142" t="s">
        <v>2624</v>
      </c>
      <c r="N224" s="23"/>
      <c r="O224" s="23"/>
      <c r="P224" s="23"/>
      <c r="Q224" s="151"/>
    </row>
    <row r="225" spans="1:17" x14ac:dyDescent="0.3">
      <c r="A225" s="150">
        <v>225</v>
      </c>
      <c r="B225" s="20" t="s">
        <v>2625</v>
      </c>
      <c r="C225" s="23"/>
      <c r="D225" s="22" t="s">
        <v>1485</v>
      </c>
      <c r="E225" s="22" t="s">
        <v>1485</v>
      </c>
      <c r="F225" s="22" t="s">
        <v>1485</v>
      </c>
      <c r="G225" s="22" t="s">
        <v>1485</v>
      </c>
      <c r="H225" s="22" t="s">
        <v>1485</v>
      </c>
      <c r="I225" s="22" t="s">
        <v>1485</v>
      </c>
      <c r="J225" s="22" t="s">
        <v>1485</v>
      </c>
      <c r="K225" s="22" t="s">
        <v>1485</v>
      </c>
      <c r="L225" s="22" t="s">
        <v>1485</v>
      </c>
      <c r="M225" s="142" t="s">
        <v>2626</v>
      </c>
      <c r="N225" s="23"/>
      <c r="O225" s="23"/>
      <c r="P225" s="23"/>
      <c r="Q225" s="151"/>
    </row>
    <row r="226" spans="1:17" x14ac:dyDescent="0.3">
      <c r="A226" s="150">
        <v>226</v>
      </c>
      <c r="B226" s="20" t="s">
        <v>2627</v>
      </c>
      <c r="C226" s="23"/>
      <c r="D226" s="22" t="s">
        <v>1485</v>
      </c>
      <c r="E226" s="22" t="s">
        <v>1485</v>
      </c>
      <c r="F226" s="22" t="s">
        <v>1485</v>
      </c>
      <c r="G226" s="22" t="s">
        <v>1485</v>
      </c>
      <c r="H226" s="22" t="s">
        <v>1485</v>
      </c>
      <c r="I226" s="22" t="s">
        <v>1485</v>
      </c>
      <c r="J226" s="22" t="s">
        <v>1485</v>
      </c>
      <c r="K226" s="22" t="s">
        <v>1485</v>
      </c>
      <c r="L226" s="22" t="s">
        <v>1485</v>
      </c>
      <c r="M226" s="142" t="s">
        <v>2628</v>
      </c>
      <c r="N226" s="23"/>
      <c r="O226" s="23"/>
      <c r="P226" s="23"/>
      <c r="Q226" s="151"/>
    </row>
    <row r="227" spans="1:17" x14ac:dyDescent="0.3">
      <c r="A227" s="150">
        <v>227</v>
      </c>
      <c r="B227" s="20" t="s">
        <v>2629</v>
      </c>
      <c r="C227" s="23"/>
      <c r="D227" s="22" t="s">
        <v>1485</v>
      </c>
      <c r="E227" s="22" t="s">
        <v>1485</v>
      </c>
      <c r="F227" s="22" t="s">
        <v>1485</v>
      </c>
      <c r="G227" s="22" t="s">
        <v>1485</v>
      </c>
      <c r="H227" s="22" t="s">
        <v>1485</v>
      </c>
      <c r="I227" s="22" t="s">
        <v>1485</v>
      </c>
      <c r="J227" s="22" t="s">
        <v>1485</v>
      </c>
      <c r="K227" s="22" t="s">
        <v>1485</v>
      </c>
      <c r="L227" s="22" t="s">
        <v>1485</v>
      </c>
      <c r="M227" s="142" t="s">
        <v>2630</v>
      </c>
      <c r="N227" s="23"/>
      <c r="O227" s="23"/>
      <c r="P227" s="23"/>
      <c r="Q227" s="151"/>
    </row>
    <row r="228" spans="1:17" x14ac:dyDescent="0.3">
      <c r="A228" s="150">
        <v>228</v>
      </c>
      <c r="B228" s="20" t="s">
        <v>2631</v>
      </c>
      <c r="C228" s="23"/>
      <c r="D228" s="22" t="s">
        <v>1485</v>
      </c>
      <c r="E228" s="22" t="s">
        <v>1485</v>
      </c>
      <c r="F228" s="22" t="s">
        <v>1485</v>
      </c>
      <c r="G228" s="22" t="s">
        <v>1485</v>
      </c>
      <c r="H228" s="22" t="s">
        <v>1485</v>
      </c>
      <c r="I228" s="22" t="s">
        <v>1485</v>
      </c>
      <c r="J228" s="22" t="s">
        <v>1485</v>
      </c>
      <c r="K228" s="22" t="s">
        <v>1485</v>
      </c>
      <c r="L228" s="22" t="s">
        <v>1485</v>
      </c>
      <c r="M228" s="142" t="s">
        <v>2632</v>
      </c>
      <c r="N228" s="23"/>
      <c r="O228" s="23"/>
      <c r="P228" s="23"/>
      <c r="Q228" s="151"/>
    </row>
    <row r="229" spans="1:17" x14ac:dyDescent="0.3">
      <c r="A229" s="150">
        <v>229</v>
      </c>
      <c r="B229" s="20" t="s">
        <v>2633</v>
      </c>
      <c r="C229" s="23"/>
      <c r="D229" s="22" t="s">
        <v>1485</v>
      </c>
      <c r="E229" s="22" t="s">
        <v>1485</v>
      </c>
      <c r="F229" s="22" t="s">
        <v>1485</v>
      </c>
      <c r="G229" s="22" t="s">
        <v>1485</v>
      </c>
      <c r="H229" s="22" t="s">
        <v>1485</v>
      </c>
      <c r="I229" s="22" t="s">
        <v>1485</v>
      </c>
      <c r="J229" s="22" t="s">
        <v>1485</v>
      </c>
      <c r="K229" s="22" t="s">
        <v>1485</v>
      </c>
      <c r="L229" s="22" t="s">
        <v>1485</v>
      </c>
      <c r="M229" s="142" t="s">
        <v>2634</v>
      </c>
      <c r="N229" s="23"/>
      <c r="O229" s="23"/>
      <c r="P229" s="23"/>
      <c r="Q229" s="151"/>
    </row>
    <row r="230" spans="1:17" x14ac:dyDescent="0.3">
      <c r="A230" s="150">
        <v>230</v>
      </c>
      <c r="B230" s="20" t="s">
        <v>2635</v>
      </c>
      <c r="C230" s="23"/>
      <c r="D230" s="22" t="s">
        <v>1485</v>
      </c>
      <c r="E230" s="22" t="s">
        <v>1485</v>
      </c>
      <c r="F230" s="22" t="s">
        <v>1485</v>
      </c>
      <c r="G230" s="22" t="s">
        <v>1485</v>
      </c>
      <c r="H230" s="22" t="s">
        <v>1485</v>
      </c>
      <c r="I230" s="22" t="s">
        <v>1485</v>
      </c>
      <c r="J230" s="22" t="s">
        <v>1485</v>
      </c>
      <c r="K230" s="22" t="s">
        <v>1485</v>
      </c>
      <c r="L230" s="22" t="s">
        <v>1485</v>
      </c>
      <c r="M230" s="142" t="s">
        <v>2636</v>
      </c>
      <c r="N230" s="23"/>
      <c r="O230" s="23"/>
      <c r="P230" s="23"/>
      <c r="Q230" s="151"/>
    </row>
    <row r="231" spans="1:17" x14ac:dyDescent="0.3">
      <c r="A231" s="150">
        <v>231</v>
      </c>
      <c r="B231" s="20" t="s">
        <v>2637</v>
      </c>
      <c r="C231" s="23"/>
      <c r="D231" s="22" t="s">
        <v>1485</v>
      </c>
      <c r="E231" s="22" t="s">
        <v>1485</v>
      </c>
      <c r="F231" s="22" t="s">
        <v>1485</v>
      </c>
      <c r="G231" s="22" t="s">
        <v>1485</v>
      </c>
      <c r="H231" s="22" t="s">
        <v>1485</v>
      </c>
      <c r="I231" s="22" t="s">
        <v>1485</v>
      </c>
      <c r="J231" s="22" t="s">
        <v>1485</v>
      </c>
      <c r="K231" s="22" t="s">
        <v>1485</v>
      </c>
      <c r="L231" s="22" t="s">
        <v>1485</v>
      </c>
      <c r="M231" s="142" t="s">
        <v>2638</v>
      </c>
      <c r="N231" s="23"/>
      <c r="O231" s="23"/>
      <c r="P231" s="23"/>
      <c r="Q231" s="151"/>
    </row>
    <row r="232" spans="1:17" x14ac:dyDescent="0.3">
      <c r="A232" s="150">
        <v>232</v>
      </c>
      <c r="B232" s="20" t="s">
        <v>2639</v>
      </c>
      <c r="C232" s="23"/>
      <c r="D232" s="22" t="s">
        <v>1485</v>
      </c>
      <c r="E232" s="22" t="s">
        <v>1485</v>
      </c>
      <c r="F232" s="22" t="s">
        <v>1485</v>
      </c>
      <c r="G232" s="22" t="s">
        <v>1485</v>
      </c>
      <c r="H232" s="22" t="s">
        <v>1485</v>
      </c>
      <c r="I232" s="22" t="s">
        <v>1485</v>
      </c>
      <c r="J232" s="22" t="s">
        <v>1485</v>
      </c>
      <c r="K232" s="22" t="s">
        <v>1485</v>
      </c>
      <c r="L232" s="22" t="s">
        <v>1485</v>
      </c>
      <c r="M232" s="142" t="s">
        <v>2640</v>
      </c>
      <c r="N232" s="23"/>
      <c r="O232" s="23"/>
      <c r="P232" s="23"/>
      <c r="Q232" s="151"/>
    </row>
    <row r="233" spans="1:17" x14ac:dyDescent="0.3">
      <c r="A233" s="150">
        <v>233</v>
      </c>
      <c r="B233" s="20" t="s">
        <v>2641</v>
      </c>
      <c r="C233" s="23"/>
      <c r="D233" s="22" t="s">
        <v>1485</v>
      </c>
      <c r="E233" s="22" t="s">
        <v>1485</v>
      </c>
      <c r="F233" s="22" t="s">
        <v>1485</v>
      </c>
      <c r="G233" s="22" t="s">
        <v>1485</v>
      </c>
      <c r="H233" s="22" t="s">
        <v>1485</v>
      </c>
      <c r="I233" s="22" t="s">
        <v>1485</v>
      </c>
      <c r="J233" s="22" t="s">
        <v>1485</v>
      </c>
      <c r="K233" s="22" t="s">
        <v>1485</v>
      </c>
      <c r="L233" s="22" t="s">
        <v>1485</v>
      </c>
      <c r="M233" s="142" t="s">
        <v>2642</v>
      </c>
      <c r="N233" s="23"/>
      <c r="O233" s="23"/>
      <c r="P233" s="23"/>
      <c r="Q233" s="151"/>
    </row>
    <row r="234" spans="1:17" x14ac:dyDescent="0.3">
      <c r="A234" s="150">
        <v>234</v>
      </c>
      <c r="B234" s="20" t="s">
        <v>2643</v>
      </c>
      <c r="C234" s="23"/>
      <c r="D234" s="22" t="s">
        <v>1485</v>
      </c>
      <c r="E234" s="22" t="s">
        <v>1485</v>
      </c>
      <c r="F234" s="22" t="s">
        <v>1485</v>
      </c>
      <c r="G234" s="22" t="s">
        <v>1485</v>
      </c>
      <c r="H234" s="22" t="s">
        <v>1485</v>
      </c>
      <c r="I234" s="22" t="s">
        <v>1485</v>
      </c>
      <c r="J234" s="22" t="s">
        <v>1485</v>
      </c>
      <c r="K234" s="22" t="s">
        <v>1485</v>
      </c>
      <c r="L234" s="22" t="s">
        <v>1485</v>
      </c>
      <c r="M234" s="142" t="s">
        <v>2644</v>
      </c>
      <c r="N234" s="23"/>
      <c r="O234" s="23"/>
      <c r="P234" s="23"/>
      <c r="Q234" s="151"/>
    </row>
    <row r="235" spans="1:17" x14ac:dyDescent="0.3">
      <c r="A235" s="150">
        <v>235</v>
      </c>
      <c r="B235" s="20" t="s">
        <v>2645</v>
      </c>
      <c r="C235" s="23"/>
      <c r="D235" s="22" t="s">
        <v>1485</v>
      </c>
      <c r="E235" s="22" t="s">
        <v>1485</v>
      </c>
      <c r="F235" s="22" t="s">
        <v>1485</v>
      </c>
      <c r="G235" s="22" t="s">
        <v>1485</v>
      </c>
      <c r="H235" s="22" t="s">
        <v>1485</v>
      </c>
      <c r="I235" s="22" t="s">
        <v>1485</v>
      </c>
      <c r="J235" s="22" t="s">
        <v>1485</v>
      </c>
      <c r="K235" s="22" t="s">
        <v>1485</v>
      </c>
      <c r="L235" s="22" t="s">
        <v>1485</v>
      </c>
      <c r="M235" s="142" t="s">
        <v>2646</v>
      </c>
      <c r="N235" s="23"/>
      <c r="O235" s="23"/>
      <c r="P235" s="23"/>
      <c r="Q235" s="151"/>
    </row>
    <row r="236" spans="1:17" ht="15" thickBot="1" x14ac:dyDescent="0.35">
      <c r="A236" s="156">
        <v>236</v>
      </c>
      <c r="B236" s="29" t="s">
        <v>2647</v>
      </c>
      <c r="C236" s="140"/>
      <c r="D236" s="26" t="s">
        <v>1485</v>
      </c>
      <c r="E236" s="26" t="s">
        <v>1485</v>
      </c>
      <c r="F236" s="26" t="s">
        <v>1485</v>
      </c>
      <c r="G236" s="26" t="s">
        <v>1485</v>
      </c>
      <c r="H236" s="26" t="s">
        <v>1485</v>
      </c>
      <c r="I236" s="26" t="s">
        <v>1485</v>
      </c>
      <c r="J236" s="26" t="s">
        <v>1485</v>
      </c>
      <c r="K236" s="26" t="s">
        <v>1485</v>
      </c>
      <c r="L236" s="26" t="s">
        <v>1485</v>
      </c>
      <c r="M236" s="157" t="s">
        <v>2648</v>
      </c>
      <c r="N236" s="140"/>
      <c r="O236" s="140"/>
      <c r="P236" s="140"/>
      <c r="Q236" s="158"/>
    </row>
    <row r="237" spans="1:17" x14ac:dyDescent="0.3">
      <c r="L237" s="143"/>
      <c r="M237" s="143"/>
    </row>
    <row r="238" spans="1:17" x14ac:dyDescent="0.3">
      <c r="L238" s="143"/>
      <c r="M238" s="143"/>
    </row>
    <row r="239" spans="1:17" x14ac:dyDescent="0.3">
      <c r="L239" s="143"/>
      <c r="M239" s="143"/>
    </row>
    <row r="240" spans="1:17" x14ac:dyDescent="0.3">
      <c r="L240" s="143"/>
      <c r="M240" s="143"/>
    </row>
  </sheetData>
  <autoFilter ref="A1:Q227" xr:uid="{E612F1E8-7489-403A-9125-304D9A65CE3D}">
    <sortState xmlns:xlrd2="http://schemas.microsoft.com/office/spreadsheetml/2017/richdata2" ref="A2:Q236">
      <sortCondition ref="A1:A227"/>
    </sortState>
  </autoFilter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B3457-D5AC-4162-924D-523D0CC9D6DC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40718b82-e758-472c-9931-883aa2d80902"/>
    <ds:schemaRef ds:uri="http://schemas.microsoft.com/office/infopath/2007/PartnerControls"/>
    <ds:schemaRef ds:uri="http://schemas.openxmlformats.org/package/2006/metadata/core-properties"/>
    <ds:schemaRef ds:uri="29584fcd-d7ce-4fdf-a5e4-d93d7b869c1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Title</vt:lpstr>
      <vt:lpstr>S32K344_Pinout</vt:lpstr>
      <vt:lpstr>S32K3_Pinout_Mapping</vt:lpstr>
      <vt:lpstr>S32K344_IO Signal Table</vt:lpstr>
      <vt:lpstr>S32K344_Input Muxing</vt:lpstr>
      <vt:lpstr>S32K344_Supplies</vt:lpstr>
      <vt:lpstr>S32K344_Misc Pins</vt:lpstr>
      <vt:lpstr>S32K344_PeripheralSummaries</vt:lpstr>
      <vt:lpstr>S32K314_S32K324_S32K344_100lqfp</vt:lpstr>
      <vt:lpstr>S32K344_172hdqfp</vt:lpstr>
      <vt:lpstr>S32K344_257bga</vt:lpstr>
      <vt:lpstr>S32K34x_Ethernet Use cases</vt:lpstr>
      <vt:lpstr>TSPC Selection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2025-10-31T17:39:56Z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